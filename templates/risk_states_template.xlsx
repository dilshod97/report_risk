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00" windowWidth="34560" windowHeight="19440" tabRatio="600" firstSheet="0" activeTab="0" autoFilterDateGrouping="1"/>
  </bookViews>
  <sheets>
    <sheet name="Риск йўналишлари" sheetId="1" state="visible" r:id="rId1"/>
    <sheet name="Вазирликлар кесимида" sheetId="2" state="visible" r:id="rId2"/>
    <sheet name="Ходимлар кесимида" sheetId="3" state="visible" r:id="rId3"/>
    <sheet name="Рўйхат" sheetId="4" state="hidden" r:id="rId4"/>
  </sheets>
  <definedNames>
    <definedName name="_xlnm._FilterDatabase" localSheetId="0" hidden="1">'Риск йўналишлари'!$A$5:$AI$98</definedName>
    <definedName name="_xlnm._FilterDatabase" localSheetId="1" hidden="1">'Вазирликлар кесимида'!$A$5:$AI$132</definedName>
    <definedName name="_xlnm.Print_Area" localSheetId="2">'Ходимлар кесимида'!$A$1:$M$31</definedName>
    <definedName name="_xlnm._FilterDatabase" localSheetId="3" hidden="1">'Рўйхат'!$A$2:$AR$1474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charset val="204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FFFF0000"/>
      <sz val="12"/>
      <scheme val="minor"/>
    </font>
    <font>
      <name val="Aptos Narrow"/>
      <color rgb="FFC00000"/>
      <sz val="12"/>
      <scheme val="minor"/>
    </font>
    <font>
      <name val="Aptos Narrow"/>
      <color theme="4"/>
      <sz val="12"/>
      <scheme val="minor"/>
    </font>
    <font>
      <name val="Aptos Narrow"/>
      <color theme="6"/>
      <sz val="12"/>
      <scheme val="minor"/>
    </font>
    <font>
      <name val="Aptos Narrow"/>
      <b val="1"/>
      <color theme="4"/>
      <sz val="12"/>
      <scheme val="minor"/>
    </font>
    <font>
      <name val="Aptos Narrow"/>
      <b val="1"/>
      <color rgb="FFC00000"/>
      <sz val="12"/>
      <scheme val="minor"/>
    </font>
    <font>
      <name val="Aptos Narrow"/>
      <b val="1"/>
      <color theme="6"/>
      <sz val="12"/>
      <scheme val="minor"/>
    </font>
    <font>
      <name val="Aptos Narrow"/>
      <b val="1"/>
      <color rgb="FFFF0000"/>
      <sz val="12"/>
      <scheme val="minor"/>
    </font>
    <font>
      <name val="Aptos Narrow"/>
      <color theme="5"/>
      <sz val="12"/>
      <scheme val="minor"/>
    </font>
    <font>
      <name val="Aptos Narrow"/>
      <charset val="204"/>
      <family val="2"/>
      <color theme="1"/>
      <sz val="14"/>
      <scheme val="minor"/>
    </font>
    <font>
      <name val="Aptos Narrow"/>
      <b val="1"/>
      <color theme="1"/>
      <sz val="14"/>
      <scheme val="minor"/>
    </font>
    <font>
      <name val="Aptos Narrow"/>
      <i val="1"/>
      <color theme="1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4" fontId="0" fillId="0" borderId="0" pivotButton="0" quotePrefix="0" xfId="0"/>
    <xf numFmtId="0" fontId="5" fillId="0" borderId="7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 wrapText="1"/>
    </xf>
    <xf numFmtId="3" fontId="8" fillId="0" borderId="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" pivotButton="0" quotePrefix="0" xfId="0"/>
    <xf numFmtId="3" fontId="0" fillId="0" borderId="6" pivotButton="0" quotePrefix="0" xfId="0"/>
    <xf numFmtId="3" fontId="0" fillId="0" borderId="1" pivotButton="0" quotePrefix="0" xfId="0"/>
    <xf numFmtId="3" fontId="0" fillId="0" borderId="7" pivotButton="0" quotePrefix="0" xfId="0"/>
    <xf numFmtId="0" fontId="1" fillId="0" borderId="6" applyAlignment="1" pivotButton="0" quotePrefix="0" xfId="0">
      <alignment vertical="center" wrapText="1"/>
    </xf>
    <xf numFmtId="0" fontId="0" fillId="0" borderId="9" pivotButton="0" quotePrefix="0" xfId="0"/>
    <xf numFmtId="3" fontId="0" fillId="0" borderId="8" pivotButton="0" quotePrefix="0" xfId="0"/>
    <xf numFmtId="3" fontId="0" fillId="0" borderId="9" pivotButton="0" quotePrefix="0" xfId="0"/>
    <xf numFmtId="3" fontId="0" fillId="0" borderId="10" pivotButton="0" quotePrefix="0" xfId="0"/>
    <xf numFmtId="0" fontId="0" fillId="0" borderId="6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14" fontId="0" fillId="0" borderId="7" applyAlignment="1" pivotButton="0" quotePrefix="0" xfId="0">
      <alignment horizontal="center" vertical="center"/>
    </xf>
    <xf numFmtId="14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3" fontId="0" fillId="0" borderId="13" pivotButton="0" quotePrefix="0" xfId="0"/>
    <xf numFmtId="3" fontId="0" fillId="0" borderId="14" pivotButton="0" quotePrefix="0" xfId="0"/>
    <xf numFmtId="0" fontId="10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0" borderId="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3" fontId="0" fillId="0" borderId="6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0" fillId="0" borderId="13" applyAlignment="1" pivotButton="0" quotePrefix="0" xfId="0">
      <alignment vertical="center"/>
    </xf>
    <xf numFmtId="3" fontId="0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8" applyAlignment="1" pivotButton="0" quotePrefix="0" xfId="0">
      <alignment vertical="top"/>
    </xf>
    <xf numFmtId="0" fontId="0" fillId="0" borderId="15" pivotButton="0" quotePrefix="0" xfId="0"/>
    <xf numFmtId="0" fontId="0" fillId="0" borderId="15" applyAlignment="1" pivotButton="0" quotePrefix="0" xfId="0">
      <alignment vertical="top" wrapText="1"/>
    </xf>
    <xf numFmtId="0" fontId="0" fillId="0" borderId="8" pivotButton="0" quotePrefix="0" xfId="0"/>
    <xf numFmtId="0" fontId="4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" fillId="0" borderId="18" applyAlignment="1" pivotButton="0" quotePrefix="0" xfId="0">
      <alignment vertical="center" wrapText="1"/>
    </xf>
    <xf numFmtId="0" fontId="1" fillId="0" borderId="19" applyAlignment="1" pivotButton="0" quotePrefix="0" xfId="0">
      <alignment vertical="center" wrapText="1"/>
    </xf>
    <xf numFmtId="3" fontId="6" fillId="0" borderId="17" applyAlignment="1" pivotButton="0" quotePrefix="0" xfId="0">
      <alignment horizontal="center" vertical="center" wrapText="1"/>
    </xf>
    <xf numFmtId="3" fontId="7" fillId="0" borderId="18" applyAlignment="1" pivotButton="0" quotePrefix="0" xfId="0">
      <alignment horizontal="center" vertical="center" wrapText="1"/>
    </xf>
    <xf numFmtId="3" fontId="8" fillId="0" borderId="18" applyAlignment="1" pivotButton="0" quotePrefix="0" xfId="0">
      <alignment horizontal="center" vertical="center" wrapText="1"/>
    </xf>
    <xf numFmtId="3" fontId="9" fillId="0" borderId="18" applyAlignment="1" pivotButton="0" quotePrefix="0" xfId="0">
      <alignment horizontal="center" vertical="center" wrapText="1"/>
    </xf>
    <xf numFmtId="3" fontId="10" fillId="0" borderId="18" applyAlignment="1" pivotButton="0" quotePrefix="0" xfId="0">
      <alignment horizontal="center" vertical="center" wrapText="1"/>
    </xf>
    <xf numFmtId="3" fontId="8" fillId="0" borderId="20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top"/>
    </xf>
    <xf numFmtId="0" fontId="0" fillId="0" borderId="1" applyAlignment="1" pivotButton="0" quotePrefix="0" xfId="0">
      <alignment vertical="center" wrapText="1"/>
    </xf>
    <xf numFmtId="3" fontId="6" fillId="0" borderId="2" applyAlignment="1" pivotButton="0" quotePrefix="0" xfId="0">
      <alignment horizontal="center" vertical="center" wrapText="1"/>
    </xf>
    <xf numFmtId="3" fontId="0" fillId="0" borderId="2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 wrapText="1"/>
    </xf>
    <xf numFmtId="3" fontId="8" fillId="0" borderId="13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4" fillId="8" borderId="6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8" borderId="1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0" fillId="9" borderId="6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3" fontId="0" fillId="9" borderId="6" applyAlignment="1" pivotButton="0" quotePrefix="0" xfId="0">
      <alignment vertical="center"/>
    </xf>
    <xf numFmtId="3" fontId="0" fillId="9" borderId="1" applyAlignment="1" pivotButton="0" quotePrefix="0" xfId="0">
      <alignment vertical="center"/>
    </xf>
    <xf numFmtId="3" fontId="0" fillId="9" borderId="7" applyAlignment="1" pivotButton="0" quotePrefix="0" xfId="0">
      <alignment vertical="center"/>
    </xf>
    <xf numFmtId="0" fontId="0" fillId="9" borderId="8" applyAlignment="1" pivotButton="0" quotePrefix="0" xfId="0">
      <alignment vertical="center"/>
    </xf>
    <xf numFmtId="0" fontId="0" fillId="9" borderId="9" applyAlignment="1" pivotButton="0" quotePrefix="0" xfId="0">
      <alignment vertical="center"/>
    </xf>
    <xf numFmtId="3" fontId="0" fillId="9" borderId="8" applyAlignment="1" pivotButton="0" quotePrefix="0" xfId="0">
      <alignment vertical="center"/>
    </xf>
    <xf numFmtId="3" fontId="0" fillId="9" borderId="9" applyAlignment="1" pivotButton="0" quotePrefix="0" xfId="0">
      <alignment vertical="center"/>
    </xf>
    <xf numFmtId="3" fontId="0" fillId="9" borderId="10" applyAlignment="1" pivotButton="0" quotePrefix="0" xfId="0">
      <alignment vertical="center"/>
    </xf>
    <xf numFmtId="3" fontId="0" fillId="9" borderId="13" applyAlignment="1" pivotButton="0" quotePrefix="0" xfId="0">
      <alignment vertical="center"/>
    </xf>
    <xf numFmtId="3" fontId="0" fillId="9" borderId="14" applyAlignment="1" pivotButton="0" quotePrefix="0" xfId="0">
      <alignment vertical="center"/>
    </xf>
    <xf numFmtId="3" fontId="0" fillId="9" borderId="2" applyAlignment="1" pivotButton="0" quotePrefix="0" xfId="0">
      <alignment vertical="center"/>
    </xf>
    <xf numFmtId="3" fontId="0" fillId="9" borderId="11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3" fontId="0" fillId="2" borderId="0" pivotButton="0" quotePrefix="0" xfId="0"/>
    <xf numFmtId="3" fontId="0" fillId="3" borderId="0" pivotButton="0" quotePrefix="0" xfId="0"/>
    <xf numFmtId="3" fontId="0" fillId="4" borderId="0" pivotButton="0" quotePrefix="0" xfId="0"/>
    <xf numFmtId="3" fontId="0" fillId="5" borderId="0" pivotButton="0" quotePrefix="0" xfId="0"/>
    <xf numFmtId="3" fontId="0" fillId="6" borderId="0" pivotButton="0" quotePrefix="0" xfId="0"/>
    <xf numFmtId="3" fontId="0" fillId="7" borderId="0" pivotButton="0" quotePrefix="0" xfId="0"/>
    <xf numFmtId="0" fontId="0" fillId="0" borderId="16" pivotButton="0" quotePrefix="0" xfId="0"/>
    <xf numFmtId="0" fontId="0" fillId="0" borderId="25" applyAlignment="1" pivotButton="0" quotePrefix="0" xfId="0">
      <alignment vertical="top" wrapText="1"/>
    </xf>
    <xf numFmtId="0" fontId="0" fillId="9" borderId="1" applyAlignment="1" pivotButton="0" quotePrefix="0" xfId="0">
      <alignment vertical="center" wrapText="1"/>
    </xf>
    <xf numFmtId="3" fontId="0" fillId="0" borderId="1" applyAlignment="1" pivotButton="0" quotePrefix="0" xfId="0">
      <alignment horizontal="center" vertical="center"/>
    </xf>
    <xf numFmtId="3" fontId="0" fillId="9" borderId="9" applyAlignment="1" pivotButton="0" quotePrefix="0" xfId="0">
      <alignment horizontal="center" vertical="center"/>
    </xf>
    <xf numFmtId="0" fontId="1" fillId="8" borderId="3" applyAlignment="1" pivotButton="0" quotePrefix="0" xfId="0">
      <alignment horizontal="center" vertical="center" wrapText="1"/>
    </xf>
    <xf numFmtId="0" fontId="1" fillId="8" borderId="6" applyAlignment="1" pivotButton="0" quotePrefix="0" xfId="0">
      <alignment horizontal="center" vertical="center" wrapText="1"/>
    </xf>
    <xf numFmtId="0" fontId="1" fillId="8" borderId="5" applyAlignment="1" pivotButton="0" quotePrefix="0" xfId="0">
      <alignment horizontal="center" vertical="center" wrapText="1"/>
    </xf>
    <xf numFmtId="0" fontId="1" fillId="8" borderId="7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0" fillId="9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" fillId="8" borderId="3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8" borderId="5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8" borderId="22" applyAlignment="1" pivotButton="0" quotePrefix="0" xfId="0">
      <alignment horizontal="center" vertical="center"/>
    </xf>
    <xf numFmtId="0" fontId="1" fillId="8" borderId="23" applyAlignment="1" pivotButton="0" quotePrefix="0" xfId="0">
      <alignment horizontal="center" vertical="center"/>
    </xf>
    <xf numFmtId="0" fontId="1" fillId="8" borderId="24" applyAlignment="1" pivotButton="0" quotePrefix="0" xfId="0">
      <alignment horizontal="center" vertical="center"/>
    </xf>
    <xf numFmtId="0" fontId="1" fillId="8" borderId="12" applyAlignment="1" pivotButton="0" quotePrefix="0" xfId="0">
      <alignment horizontal="center" vertical="center"/>
    </xf>
    <xf numFmtId="0" fontId="1" fillId="8" borderId="2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32" pivotButton="0" quotePrefix="0" xfId="0"/>
    <xf numFmtId="0" fontId="0" fillId="0" borderId="30" pivotButton="0" quotePrefix="0" xfId="0"/>
    <xf numFmtId="0" fontId="1" fillId="8" borderId="36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" pivotButton="0" quotePrefix="0" xfId="0"/>
    <xf numFmtId="0" fontId="0" fillId="0" borderId="1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"/>
  <sheetViews>
    <sheetView zoomScaleNormal="100" workbookViewId="0">
      <selection activeCell="B61" sqref="B61"/>
    </sheetView>
  </sheetViews>
  <sheetFormatPr baseColWidth="10" defaultColWidth="11.5" defaultRowHeight="16"/>
  <cols>
    <col width="3.1640625" bestFit="1" customWidth="1" min="1" max="1"/>
    <col width="114.6640625" bestFit="1" customWidth="1" min="2" max="2"/>
    <col width="35.6640625" bestFit="1" customWidth="1" min="3" max="3"/>
    <col width="11.6640625" bestFit="1" customWidth="1" min="4" max="4"/>
    <col width="13.6640625" customWidth="1" min="5" max="7"/>
    <col width="22.83203125" customWidth="1" min="8" max="8"/>
    <col width="20.5" customWidth="1" min="9" max="9"/>
    <col width="13.6640625" customWidth="1" min="10" max="12"/>
    <col width="12.6640625" customWidth="1" min="13" max="13"/>
    <col width="20.5" customWidth="1" min="14" max="14"/>
    <col width="13.6640625" customWidth="1" min="15" max="17"/>
    <col width="23" customWidth="1" min="18" max="18"/>
    <col width="20.5" customWidth="1" min="19" max="19"/>
    <col width="13.6640625" customWidth="1" min="20" max="22"/>
    <col width="23" customWidth="1" min="23" max="23"/>
    <col width="20.5" customWidth="1" min="24" max="24"/>
    <col width="13.6640625" customWidth="1" min="25" max="27"/>
    <col width="23" customWidth="1" min="28" max="28"/>
    <col width="20.5" customWidth="1" min="29" max="29"/>
    <col width="13.6640625" customWidth="1" min="30" max="32"/>
    <col width="23" customWidth="1" min="33" max="33"/>
    <col width="20.5" customWidth="1" min="34" max="34"/>
    <col width="13.6640625" customWidth="1" min="35" max="35"/>
  </cols>
  <sheetData>
    <row r="1" ht="19" customHeight="1">
      <c r="A1" s="123" t="inlineStr">
        <is>
          <t>"Масофавий аудит" ААТ томонидан аниқланган риск ҳолатларини назоратга олиш ҳамда уларни бартараф этилиши тўғрисида риск йўналишлари кесимида маълумот</t>
        </is>
      </c>
    </row>
    <row r="2" ht="17" customHeight="1" thickBot="1"/>
    <row r="3">
      <c r="A3" s="132" t="inlineStr">
        <is>
          <t>№</t>
        </is>
      </c>
      <c r="B3" s="130" t="inlineStr">
        <is>
          <t>Риск йўналиши</t>
        </is>
      </c>
      <c r="C3" s="130" t="inlineStr">
        <is>
          <t>Масъул ходим</t>
        </is>
      </c>
      <c r="D3" s="128" t="inlineStr">
        <is>
          <t>Охирги аниқланган сана</t>
        </is>
      </c>
      <c r="E3" s="124" t="inlineStr">
        <is>
          <t>Жами</t>
        </is>
      </c>
      <c r="F3" s="136" t="n"/>
      <c r="G3" s="136" t="n"/>
      <c r="H3" s="136" t="n"/>
      <c r="I3" s="136" t="n"/>
      <c r="J3" s="137" t="n"/>
      <c r="K3" s="124" t="inlineStr">
        <is>
          <t>Охирги 16 кунликда</t>
        </is>
      </c>
      <c r="L3" s="136" t="n"/>
      <c r="M3" s="136" t="n"/>
      <c r="N3" s="136" t="n"/>
      <c r="O3" s="137" t="n"/>
      <c r="P3" s="124" t="inlineStr">
        <is>
          <t>Охирги 16 - 30 кунликда</t>
        </is>
      </c>
      <c r="Q3" s="136" t="n"/>
      <c r="R3" s="136" t="n"/>
      <c r="S3" s="136" t="n"/>
      <c r="T3" s="137" t="n"/>
      <c r="U3" s="124" t="inlineStr">
        <is>
          <t>Охирги 1 - 6 ойгача</t>
        </is>
      </c>
      <c r="V3" s="136" t="n"/>
      <c r="W3" s="136" t="n"/>
      <c r="X3" s="136" t="n"/>
      <c r="Y3" s="137" t="n"/>
      <c r="Z3" s="124" t="inlineStr">
        <is>
          <t>Охирги 6 - 12 ойгача</t>
        </is>
      </c>
      <c r="AA3" s="136" t="n"/>
      <c r="AB3" s="136" t="n"/>
      <c r="AC3" s="136" t="n"/>
      <c r="AD3" s="137" t="n"/>
      <c r="AE3" s="124" t="inlineStr">
        <is>
          <t>1 йилдан ортиқ</t>
        </is>
      </c>
      <c r="AF3" s="136" t="n"/>
      <c r="AG3" s="136" t="n"/>
      <c r="AH3" s="136" t="n"/>
      <c r="AI3" s="137" t="n"/>
    </row>
    <row r="4" ht="35" customFormat="1" customHeight="1" s="1" thickBot="1">
      <c r="A4" s="138" t="n"/>
      <c r="B4" s="139" t="n"/>
      <c r="C4" s="139" t="n"/>
      <c r="D4" s="140" t="n"/>
      <c r="E4" s="49" t="inlineStr">
        <is>
          <t>Аниқланган</t>
        </is>
      </c>
      <c r="F4" s="50" t="inlineStr">
        <is>
          <t>Назоратга олинмаган</t>
        </is>
      </c>
      <c r="G4" s="51" t="inlineStr">
        <is>
          <t>Назоратга олинган</t>
        </is>
      </c>
      <c r="H4" s="52" t="inlineStr">
        <is>
          <t>Назоратга олинган лекин ижроси таъминланмаган</t>
        </is>
      </c>
      <c r="I4" s="53" t="inlineStr">
        <is>
          <t>Шундан назоратдан ечиш учун юборилган</t>
        </is>
      </c>
      <c r="J4" s="51" t="inlineStr">
        <is>
          <t>Назоратдан ечилган</t>
        </is>
      </c>
      <c r="K4" s="49" t="inlineStr">
        <is>
          <t>Аниқланган</t>
        </is>
      </c>
      <c r="L4" s="50" t="inlineStr">
        <is>
          <t>Назоратга олинмаган</t>
        </is>
      </c>
      <c r="M4" s="51" t="inlineStr">
        <is>
          <t>Назоратга олинган</t>
        </is>
      </c>
      <c r="N4" s="53" t="inlineStr">
        <is>
          <t>Шундан назоратдан ечиш учун юборилган</t>
        </is>
      </c>
      <c r="O4" s="51" t="inlineStr">
        <is>
          <t>Назоратдан ечилган</t>
        </is>
      </c>
      <c r="P4" s="49" t="inlineStr">
        <is>
          <t>Аниқланган</t>
        </is>
      </c>
      <c r="Q4" s="50" t="inlineStr">
        <is>
          <t>Назоратга олинмаган</t>
        </is>
      </c>
      <c r="R4" s="52" t="inlineStr">
        <is>
          <t>Назоратга олинган лекин ижроси таъминланмаган</t>
        </is>
      </c>
      <c r="S4" s="53" t="inlineStr">
        <is>
          <t>Шундан назоратдан ечиш учун юборилган</t>
        </is>
      </c>
      <c r="T4" s="51" t="inlineStr">
        <is>
          <t>Назоратдан ечилган</t>
        </is>
      </c>
      <c r="U4" s="49" t="inlineStr">
        <is>
          <t>Аниқланган</t>
        </is>
      </c>
      <c r="V4" s="50" t="inlineStr">
        <is>
          <t>Назоратга олинмаган</t>
        </is>
      </c>
      <c r="W4" s="52" t="inlineStr">
        <is>
          <t>Назоратга олинган лекин ижроси таъминланмаган</t>
        </is>
      </c>
      <c r="X4" s="53" t="inlineStr">
        <is>
          <t>Шундан назоратдан ечиш учун юборилган</t>
        </is>
      </c>
      <c r="Y4" s="51" t="inlineStr">
        <is>
          <t>Назоратдан ечилган</t>
        </is>
      </c>
      <c r="Z4" s="49" t="inlineStr">
        <is>
          <t>Аниқланган</t>
        </is>
      </c>
      <c r="AA4" s="50" t="inlineStr">
        <is>
          <t>Назоратга олинмаган</t>
        </is>
      </c>
      <c r="AB4" s="52" t="inlineStr">
        <is>
          <t>Назоратга олинган лекин ижроси таъминланмаган</t>
        </is>
      </c>
      <c r="AC4" s="53" t="inlineStr">
        <is>
          <t>Шундан назоратдан ечиш учун юборилган</t>
        </is>
      </c>
      <c r="AD4" s="51" t="inlineStr">
        <is>
          <t>Назоратдан ечилган</t>
        </is>
      </c>
      <c r="AE4" s="49" t="inlineStr">
        <is>
          <t>Аниқланган</t>
        </is>
      </c>
      <c r="AF4" s="50" t="inlineStr">
        <is>
          <t>Назоратга олинмаган</t>
        </is>
      </c>
      <c r="AG4" s="52" t="inlineStr">
        <is>
          <t>Назоратга олинган лекин ижроси таъминланмаган</t>
        </is>
      </c>
      <c r="AH4" s="53" t="inlineStr">
        <is>
          <t>Шундан назоратдан ечиш учун юборилган</t>
        </is>
      </c>
      <c r="AI4" s="54" t="inlineStr">
        <is>
          <t>Назоратдан ечилган</t>
        </is>
      </c>
    </row>
    <row r="5" ht="16" customFormat="1" customHeight="1" s="1" thickBot="1">
      <c r="A5" s="55" t="n"/>
      <c r="B5" s="56" t="inlineStr">
        <is>
          <t>Жами:</t>
        </is>
      </c>
      <c r="C5" s="56" t="n"/>
      <c r="D5" s="57" t="n"/>
      <c r="E5" s="58">
        <f>SUM(E6:E10044)</f>
        <v/>
      </c>
      <c r="F5" s="59">
        <f>SUM(F6:F10044)</f>
        <v/>
      </c>
      <c r="G5" s="60">
        <f>SUM(G6:G10044)</f>
        <v/>
      </c>
      <c r="H5" s="61">
        <f>SUM(H6:H10044)</f>
        <v/>
      </c>
      <c r="I5" s="62">
        <f>SUM(I6:I10044)</f>
        <v/>
      </c>
      <c r="J5" s="60">
        <f>SUM(J6:J10044)</f>
        <v/>
      </c>
      <c r="K5" s="58">
        <f>SUM(K6:K10044)</f>
        <v/>
      </c>
      <c r="L5" s="59">
        <f>SUM(L6:L10044)</f>
        <v/>
      </c>
      <c r="M5" s="60">
        <f>SUM(M6:M10044)</f>
        <v/>
      </c>
      <c r="N5" s="62">
        <f>SUM(N6:N10044)</f>
        <v/>
      </c>
      <c r="O5" s="60">
        <f>SUM(O6:O10044)</f>
        <v/>
      </c>
      <c r="P5" s="58">
        <f>SUM(P6:P10044)</f>
        <v/>
      </c>
      <c r="Q5" s="59">
        <f>SUM(Q6:Q10044)</f>
        <v/>
      </c>
      <c r="R5" s="61">
        <f>SUM(R6:R10044)</f>
        <v/>
      </c>
      <c r="S5" s="62">
        <f>SUM(S6:S10044)</f>
        <v/>
      </c>
      <c r="T5" s="60">
        <f>SUM(T6:T10044)</f>
        <v/>
      </c>
      <c r="U5" s="58">
        <f>SUM(U6:U10044)</f>
        <v/>
      </c>
      <c r="V5" s="59">
        <f>SUM(V6:V10044)</f>
        <v/>
      </c>
      <c r="W5" s="61">
        <f>SUM(W6:W10044)</f>
        <v/>
      </c>
      <c r="X5" s="62">
        <f>SUM(X6:X10044)</f>
        <v/>
      </c>
      <c r="Y5" s="60">
        <f>SUM(Y6:Y10044)</f>
        <v/>
      </c>
      <c r="Z5" s="58">
        <f>SUM(Z6:Z10044)</f>
        <v/>
      </c>
      <c r="AA5" s="59">
        <f>SUM(AA6:AA10044)</f>
        <v/>
      </c>
      <c r="AB5" s="61">
        <f>SUM(AB6:AB10044)</f>
        <v/>
      </c>
      <c r="AC5" s="62">
        <f>SUM(AC6:AC10044)</f>
        <v/>
      </c>
      <c r="AD5" s="60">
        <f>SUM(AD6:AD10044)</f>
        <v/>
      </c>
      <c r="AE5" s="58">
        <f>SUM(AE6:AE10044)</f>
        <v/>
      </c>
      <c r="AF5" s="59">
        <f>SUM(AF6:AF10044)</f>
        <v/>
      </c>
      <c r="AG5" s="61">
        <f>SUM(AG6:AG10044)</f>
        <v/>
      </c>
      <c r="AH5" s="62">
        <f>SUM(AH6:AH10044)</f>
        <v/>
      </c>
      <c r="AI5" s="63">
        <f>SUM(AI6:AI10044)</f>
        <v/>
      </c>
    </row>
    <row r="6">
      <c r="A6" s="15" t="n">
        <v>1</v>
      </c>
      <c r="B6" s="16" t="inlineStr">
        <is>
          <t>Иш ҳақининг энг кам миқдоридан кам ҳисобланган ойлик иш ҳақлари таҳлили</t>
        </is>
      </c>
      <c r="C6" s="16">
        <f>IFERROR(VLOOKUP(B6,Рўйхат!A:E,5,0),"")</f>
        <v/>
      </c>
      <c r="D6" s="30">
        <f>IFERROR(VLOOKUP(B6,Рўйхат!A:F,6,0),"")</f>
        <v/>
      </c>
      <c r="E6" s="17">
        <f>+SUMIF(Рўйхат!$A:$A,'Риск йўналишлари'!$B6,Рўйхат!G:G)</f>
        <v/>
      </c>
      <c r="F6" s="18">
        <f>+SUMIF(Рўйхат!$A:$A,'Риск йўналишлари'!$B6,Рўйхат!H:H)</f>
        <v/>
      </c>
      <c r="G6" s="18">
        <f>M6</f>
        <v/>
      </c>
      <c r="H6" s="18">
        <f>R6+W6+AB6+AG6</f>
        <v/>
      </c>
      <c r="I6" s="18">
        <f>+SUMIF(Рўйхат!$A:$A,'Риск йўналишлари'!$B6,Рўйхат!J:J)</f>
        <v/>
      </c>
      <c r="J6" s="18">
        <f>+SUMIF(Рўйхат!$A:$A,'Риск йўналишлари'!$B6,Рўйхат!K:K)</f>
        <v/>
      </c>
      <c r="K6" s="17">
        <f>+SUMIF(Рўйхат!$A:$A,'Риск йўналишлари'!$B6,Рўйхат!L:L)</f>
        <v/>
      </c>
      <c r="L6" s="18">
        <f>+SUMIF(Рўйхат!$A:$A,'Риск йўналишлари'!$B6,Рўйхат!M:M)</f>
        <v/>
      </c>
      <c r="M6" s="18">
        <f>+SUMIF(Рўйхат!$A:$A,'Риск йўналишлари'!$B6,Рўйхат!N:N)</f>
        <v/>
      </c>
      <c r="N6" s="18">
        <f>+SUMIF(Рўйхат!$A:$A,'Риск йўналишлари'!$B6,Рўйхат!O:O)</f>
        <v/>
      </c>
      <c r="O6" s="18">
        <f>+SUMIF(Рўйхат!$A:$A,'Риск йўналишлари'!$B6,Рўйхат!P:P)</f>
        <v/>
      </c>
      <c r="P6" s="17">
        <f>+SUMIF(Рўйхат!$A:$A,'Риск йўналишлари'!$B6,Рўйхат!Q:Q)</f>
        <v/>
      </c>
      <c r="Q6" s="18">
        <f>+SUMIF(Рўйхат!$A:$A,'Риск йўналишлари'!$B6,Рўйхат!R:R)</f>
        <v/>
      </c>
      <c r="R6" s="18">
        <f>+SUMIF(Рўйхат!$A:$A,'Риск йўналишлари'!$B6,Рўйхат!S:S)</f>
        <v/>
      </c>
      <c r="S6" s="18">
        <f>+SUMIF(Рўйхат!$A:$A,'Риск йўналишлари'!$B6,Рўйхат!T:T)</f>
        <v/>
      </c>
      <c r="T6" s="18">
        <f>+SUMIF(Рўйхат!$A:$A,'Риск йўналишлари'!$B6,Рўйхат!U:U)</f>
        <v/>
      </c>
      <c r="U6" s="17">
        <f>+SUMIF(Рўйхат!$A:$A,'Риск йўналишлари'!$B6,Рўйхат!V:V)</f>
        <v/>
      </c>
      <c r="V6" s="18">
        <f>+SUMIF(Рўйхат!$A:$A,'Риск йўналишлари'!$B6,Рўйхат!W:W)</f>
        <v/>
      </c>
      <c r="W6" s="18">
        <f>+SUMIF(Рўйхат!$A:$A,'Риск йўналишлари'!$B6,Рўйхат!X:X)</f>
        <v/>
      </c>
      <c r="X6" s="18">
        <f>+SUMIF(Рўйхат!$A:$A,'Риск йўналишлари'!$B6,Рўйхат!Y:Y)</f>
        <v/>
      </c>
      <c r="Y6" s="18">
        <f>+SUMIF(Рўйхат!$A:$A,'Риск йўналишлари'!$B6,Рўйхат!Z:Z)</f>
        <v/>
      </c>
      <c r="Z6" s="17">
        <f>+SUMIF(Рўйхат!$A:$A,'Риск йўналишлари'!$B6,Рўйхат!AA:AA)</f>
        <v/>
      </c>
      <c r="AA6" s="18">
        <f>+SUMIF(Рўйхат!$A:$A,'Риск йўналишлари'!$B6,Рўйхат!AB:AB)</f>
        <v/>
      </c>
      <c r="AB6" s="18">
        <f>+SUMIF(Рўйхат!$A:$A,'Риск йўналишлари'!$B6,Рўйхат!AC:AC)</f>
        <v/>
      </c>
      <c r="AC6" s="18">
        <f>+SUMIF(Рўйхат!$A:$A,'Риск йўналишлари'!$B6,Рўйхат!AD:AD)</f>
        <v/>
      </c>
      <c r="AD6" s="18">
        <f>+SUMIF(Рўйхат!$A:$A,'Риск йўналишлари'!$B6,Рўйхат!AE:AE)</f>
        <v/>
      </c>
      <c r="AE6" s="17">
        <f>+SUMIF(Рўйхат!$A:$A,'Риск йўналишлари'!$B6,Рўйхат!AF:AF)</f>
        <v/>
      </c>
      <c r="AF6" s="18">
        <f>+SUMIF(Рўйхат!$A:$A,'Риск йўналишлари'!$B6,Рўйхат!AG:AG)</f>
        <v/>
      </c>
      <c r="AG6" s="18">
        <f>+SUMIF(Рўйхат!$A:$A,'Риск йўналишлари'!$B6,Рўйхат!AH:AH)</f>
        <v/>
      </c>
      <c r="AH6" s="33">
        <f>+SUMIF(Рўйхат!$A:$A,'Риск йўналишлари'!$B6,Рўйхат!AI:AI)</f>
        <v/>
      </c>
      <c r="AI6" s="19">
        <f>+SUMIF(Рўйхат!$A:$A,'Риск йўналишлари'!$B6,Рўйхат!AJ:AJ)</f>
        <v/>
      </c>
    </row>
    <row r="7">
      <c r="A7" s="15" t="n">
        <v>2</v>
      </c>
      <c r="B7" s="16" t="inlineStr">
        <is>
          <t>Мансабдор шахсларга боғлиқ етказиб берувчилар билан тузилган шартномалар</t>
        </is>
      </c>
      <c r="C7" s="16">
        <f>IFERROR(VLOOKUP(B7,Рўйхат!A:E,5,0),"")</f>
        <v/>
      </c>
      <c r="D7" s="30">
        <f>IFERROR(VLOOKUP(B7,Рўйхат!A:F,6,0),"")</f>
        <v/>
      </c>
      <c r="E7" s="17">
        <f>+SUMIF(Рўйхат!$A:$A,'Риск йўналишлари'!$B7,Рўйхат!G:G)</f>
        <v/>
      </c>
      <c r="F7" s="18">
        <f>+SUMIF(Рўйхат!$A:$A,'Риск йўналишлари'!$B7,Рўйхат!H:H)</f>
        <v/>
      </c>
      <c r="G7" s="18">
        <f>M7</f>
        <v/>
      </c>
      <c r="H7" s="18">
        <f>R7+W7+AB7+AG7</f>
        <v/>
      </c>
      <c r="I7" s="18">
        <f>+SUMIF(Рўйхат!$A:$A,'Риск йўналишлари'!$B7,Рўйхат!J:J)</f>
        <v/>
      </c>
      <c r="J7" s="18">
        <f>+SUMIF(Рўйхат!$A:$A,'Риск йўналишлари'!$B7,Рўйхат!K:K)</f>
        <v/>
      </c>
      <c r="K7" s="17">
        <f>+SUMIF(Рўйхат!$A:$A,'Риск йўналишлари'!$B7,Рўйхат!L:L)</f>
        <v/>
      </c>
      <c r="L7" s="18">
        <f>+SUMIF(Рўйхат!$A:$A,'Риск йўналишлари'!$B7,Рўйхат!M:M)</f>
        <v/>
      </c>
      <c r="M7" s="18">
        <f>+SUMIF(Рўйхат!$A:$A,'Риск йўналишлари'!$B7,Рўйхат!N:N)</f>
        <v/>
      </c>
      <c r="N7" s="18">
        <f>+SUMIF(Рўйхат!$A:$A,'Риск йўналишлари'!$B7,Рўйхат!O:O)</f>
        <v/>
      </c>
      <c r="O7" s="18">
        <f>+SUMIF(Рўйхат!$A:$A,'Риск йўналишлари'!$B7,Рўйхат!P:P)</f>
        <v/>
      </c>
      <c r="P7" s="17">
        <f>+SUMIF(Рўйхат!$A:$A,'Риск йўналишлари'!$B7,Рўйхат!Q:Q)</f>
        <v/>
      </c>
      <c r="Q7" s="18">
        <f>+SUMIF(Рўйхат!$A:$A,'Риск йўналишлари'!$B7,Рўйхат!R:R)</f>
        <v/>
      </c>
      <c r="R7" s="18">
        <f>+SUMIF(Рўйхат!$A:$A,'Риск йўналишлари'!$B7,Рўйхат!S:S)</f>
        <v/>
      </c>
      <c r="S7" s="18">
        <f>+SUMIF(Рўйхат!$A:$A,'Риск йўналишлари'!$B7,Рўйхат!T:T)</f>
        <v/>
      </c>
      <c r="T7" s="18">
        <f>+SUMIF(Рўйхат!$A:$A,'Риск йўналишлари'!$B7,Рўйхат!U:U)</f>
        <v/>
      </c>
      <c r="U7" s="17">
        <f>+SUMIF(Рўйхат!$A:$A,'Риск йўналишлари'!$B7,Рўйхат!V:V)</f>
        <v/>
      </c>
      <c r="V7" s="18">
        <f>+SUMIF(Рўйхат!$A:$A,'Риск йўналишлари'!$B7,Рўйхат!W:W)</f>
        <v/>
      </c>
      <c r="W7" s="18">
        <f>+SUMIF(Рўйхат!$A:$A,'Риск йўналишлари'!$B7,Рўйхат!X:X)</f>
        <v/>
      </c>
      <c r="X7" s="18">
        <f>+SUMIF(Рўйхат!$A:$A,'Риск йўналишлари'!$B7,Рўйхат!Y:Y)</f>
        <v/>
      </c>
      <c r="Y7" s="18">
        <f>+SUMIF(Рўйхат!$A:$A,'Риск йўналишлари'!$B7,Рўйхат!Z:Z)</f>
        <v/>
      </c>
      <c r="Z7" s="17">
        <f>+SUMIF(Рўйхат!$A:$A,'Риск йўналишлари'!$B7,Рўйхат!AA:AA)</f>
        <v/>
      </c>
      <c r="AA7" s="18">
        <f>+SUMIF(Рўйхат!$A:$A,'Риск йўналишлари'!$B7,Рўйхат!AB:AB)</f>
        <v/>
      </c>
      <c r="AB7" s="18">
        <f>+SUMIF(Рўйхат!$A:$A,'Риск йўналишлари'!$B7,Рўйхат!AC:AC)</f>
        <v/>
      </c>
      <c r="AC7" s="18">
        <f>+SUMIF(Рўйхат!$A:$A,'Риск йўналишлари'!$B7,Рўйхат!AD:AD)</f>
        <v/>
      </c>
      <c r="AD7" s="18">
        <f>+SUMIF(Рўйхат!$A:$A,'Риск йўналишлари'!$B7,Рўйхат!AE:AE)</f>
        <v/>
      </c>
      <c r="AE7" s="17">
        <f>+SUMIF(Рўйхат!$A:$A,'Риск йўналишлари'!$B7,Рўйхат!AF:AF)</f>
        <v/>
      </c>
      <c r="AF7" s="18">
        <f>+SUMIF(Рўйхат!$A:$A,'Риск йўналишлари'!$B7,Рўйхат!AG:AG)</f>
        <v/>
      </c>
      <c r="AG7" s="18">
        <f>+SUMIF(Рўйхат!$A:$A,'Риск йўналишлари'!$B7,Рўйхат!AH:AH)</f>
        <v/>
      </c>
      <c r="AH7" s="33">
        <f>+SUMIF(Рўйхат!$A:$A,'Риск йўналишлари'!$B7,Рўйхат!AI:AI)</f>
        <v/>
      </c>
      <c r="AI7" s="19">
        <f>+SUMIF(Рўйхат!$A:$A,'Риск йўналишлари'!$B7,Рўйхат!AJ:AJ)</f>
        <v/>
      </c>
    </row>
    <row r="8">
      <c r="A8" s="15" t="n">
        <v>3</v>
      </c>
      <c r="B8" s="16" t="inlineStr">
        <is>
          <t>Давлат улуши мавжуд корхоналарда непотизм таҳлили</t>
        </is>
      </c>
      <c r="C8" s="16">
        <f>IFERROR(VLOOKUP(B8,Рўйхат!A:E,5,0),"")</f>
        <v/>
      </c>
      <c r="D8" s="30">
        <f>IFERROR(VLOOKUP(B8,Рўйхат!A:F,6,0),"")</f>
        <v/>
      </c>
      <c r="E8" s="17">
        <f>+SUMIF(Рўйхат!$A:$A,'Риск йўналишлари'!$B8,Рўйхат!G:G)</f>
        <v/>
      </c>
      <c r="F8" s="18">
        <f>+SUMIF(Рўйхат!$A:$A,'Риск йўналишлари'!$B8,Рўйхат!H:H)</f>
        <v/>
      </c>
      <c r="G8" s="18">
        <f>M8</f>
        <v/>
      </c>
      <c r="H8" s="18">
        <f>R8+W8+AB8+AG8</f>
        <v/>
      </c>
      <c r="I8" s="18">
        <f>+SUMIF(Рўйхат!$A:$A,'Риск йўналишлари'!$B8,Рўйхат!J:J)</f>
        <v/>
      </c>
      <c r="J8" s="18">
        <f>+SUMIF(Рўйхат!$A:$A,'Риск йўналишлари'!$B8,Рўйхат!K:K)</f>
        <v/>
      </c>
      <c r="K8" s="17">
        <f>+SUMIF(Рўйхат!$A:$A,'Риск йўналишлари'!$B8,Рўйхат!L:L)</f>
        <v/>
      </c>
      <c r="L8" s="18">
        <f>+SUMIF(Рўйхат!$A:$A,'Риск йўналишлари'!$B8,Рўйхат!M:M)</f>
        <v/>
      </c>
      <c r="M8" s="18">
        <f>+SUMIF(Рўйхат!$A:$A,'Риск йўналишлари'!$B8,Рўйхат!N:N)</f>
        <v/>
      </c>
      <c r="N8" s="18">
        <f>+SUMIF(Рўйхат!$A:$A,'Риск йўналишлари'!$B8,Рўйхат!O:O)</f>
        <v/>
      </c>
      <c r="O8" s="18">
        <f>+SUMIF(Рўйхат!$A:$A,'Риск йўналишлари'!$B8,Рўйхат!P:P)</f>
        <v/>
      </c>
      <c r="P8" s="17">
        <f>+SUMIF(Рўйхат!$A:$A,'Риск йўналишлари'!$B8,Рўйхат!Q:Q)</f>
        <v/>
      </c>
      <c r="Q8" s="18">
        <f>+SUMIF(Рўйхат!$A:$A,'Риск йўналишлари'!$B8,Рўйхат!R:R)</f>
        <v/>
      </c>
      <c r="R8" s="18">
        <f>+SUMIF(Рўйхат!$A:$A,'Риск йўналишлари'!$B8,Рўйхат!S:S)</f>
        <v/>
      </c>
      <c r="S8" s="18">
        <f>+SUMIF(Рўйхат!$A:$A,'Риск йўналишлари'!$B8,Рўйхат!T:T)</f>
        <v/>
      </c>
      <c r="T8" s="18">
        <f>+SUMIF(Рўйхат!$A:$A,'Риск йўналишлари'!$B8,Рўйхат!U:U)</f>
        <v/>
      </c>
      <c r="U8" s="17">
        <f>+SUMIF(Рўйхат!$A:$A,'Риск йўналишлари'!$B8,Рўйхат!V:V)</f>
        <v/>
      </c>
      <c r="V8" s="18">
        <f>+SUMIF(Рўйхат!$A:$A,'Риск йўналишлари'!$B8,Рўйхат!W:W)</f>
        <v/>
      </c>
      <c r="W8" s="18">
        <f>+SUMIF(Рўйхат!$A:$A,'Риск йўналишлари'!$B8,Рўйхат!X:X)</f>
        <v/>
      </c>
      <c r="X8" s="18">
        <f>+SUMIF(Рўйхат!$A:$A,'Риск йўналишлари'!$B8,Рўйхат!Y:Y)</f>
        <v/>
      </c>
      <c r="Y8" s="18">
        <f>+SUMIF(Рўйхат!$A:$A,'Риск йўналишлари'!$B8,Рўйхат!Z:Z)</f>
        <v/>
      </c>
      <c r="Z8" s="17">
        <f>+SUMIF(Рўйхат!$A:$A,'Риск йўналишлари'!$B8,Рўйхат!AA:AA)</f>
        <v/>
      </c>
      <c r="AA8" s="18">
        <f>+SUMIF(Рўйхат!$A:$A,'Риск йўналишлари'!$B8,Рўйхат!AB:AB)</f>
        <v/>
      </c>
      <c r="AB8" s="18">
        <f>+SUMIF(Рўйхат!$A:$A,'Риск йўналишлари'!$B8,Рўйхат!AC:AC)</f>
        <v/>
      </c>
      <c r="AC8" s="18">
        <f>+SUMIF(Рўйхат!$A:$A,'Риск йўналишлари'!$B8,Рўйхат!AD:AD)</f>
        <v/>
      </c>
      <c r="AD8" s="18">
        <f>+SUMIF(Рўйхат!$A:$A,'Риск йўналишлари'!$B8,Рўйхат!AE:AE)</f>
        <v/>
      </c>
      <c r="AE8" s="17">
        <f>+SUMIF(Рўйхат!$A:$A,'Риск йўналишлари'!$B8,Рўйхат!AF:AF)</f>
        <v/>
      </c>
      <c r="AF8" s="18">
        <f>+SUMIF(Рўйхат!$A:$A,'Риск йўналишлари'!$B8,Рўйхат!AG:AG)</f>
        <v/>
      </c>
      <c r="AG8" s="18">
        <f>+SUMIF(Рўйхат!$A:$A,'Риск йўналишлари'!$B8,Рўйхат!AH:AH)</f>
        <v/>
      </c>
      <c r="AH8" s="33">
        <f>+SUMIF(Рўйхат!$A:$A,'Риск йўналишлари'!$B8,Рўйхат!AI:AI)</f>
        <v/>
      </c>
      <c r="AI8" s="19">
        <f>+SUMIF(Рўйхат!$A:$A,'Риск йўналишлари'!$B8,Рўйхат!AJ:AJ)</f>
        <v/>
      </c>
    </row>
    <row r="9">
      <c r="A9" s="15" t="n">
        <v>4</v>
      </c>
      <c r="B9" s="16" t="inlineStr">
        <is>
          <t>Тўғридан-тўғри шартномалар мониторинги</t>
        </is>
      </c>
      <c r="C9" s="16">
        <f>IFERROR(VLOOKUP(B9,Рўйхат!A:E,5,0),"")</f>
        <v/>
      </c>
      <c r="D9" s="30">
        <f>IFERROR(VLOOKUP(B9,Рўйхат!A:F,6,0),"")</f>
        <v/>
      </c>
      <c r="E9" s="17">
        <f>+SUMIF(Рўйхат!$A:$A,'Риск йўналишлари'!$B9,Рўйхат!G:G)</f>
        <v/>
      </c>
      <c r="F9" s="18">
        <f>+SUMIF(Рўйхат!$A:$A,'Риск йўналишлари'!$B9,Рўйхат!H:H)</f>
        <v/>
      </c>
      <c r="G9" s="18">
        <f>M9</f>
        <v/>
      </c>
      <c r="H9" s="18">
        <f>R9+W9+AB9+AG9</f>
        <v/>
      </c>
      <c r="I9" s="18">
        <f>+SUMIF(Рўйхат!$A:$A,'Риск йўналишлари'!$B9,Рўйхат!J:J)</f>
        <v/>
      </c>
      <c r="J9" s="18">
        <f>+SUMIF(Рўйхат!$A:$A,'Риск йўналишлари'!$B9,Рўйхат!K:K)</f>
        <v/>
      </c>
      <c r="K9" s="17">
        <f>+SUMIF(Рўйхат!$A:$A,'Риск йўналишлари'!$B9,Рўйхат!L:L)</f>
        <v/>
      </c>
      <c r="L9" s="18">
        <f>+SUMIF(Рўйхат!$A:$A,'Риск йўналишлари'!$B9,Рўйхат!M:M)</f>
        <v/>
      </c>
      <c r="M9" s="18">
        <f>+SUMIF(Рўйхат!$A:$A,'Риск йўналишлари'!$B9,Рўйхат!N:N)</f>
        <v/>
      </c>
      <c r="N9" s="18">
        <f>+SUMIF(Рўйхат!$A:$A,'Риск йўналишлари'!$B9,Рўйхат!O:O)</f>
        <v/>
      </c>
      <c r="O9" s="18">
        <f>+SUMIF(Рўйхат!$A:$A,'Риск йўналишлари'!$B9,Рўйхат!P:P)</f>
        <v/>
      </c>
      <c r="P9" s="17">
        <f>+SUMIF(Рўйхат!$A:$A,'Риск йўналишлари'!$B9,Рўйхат!Q:Q)</f>
        <v/>
      </c>
      <c r="Q9" s="18">
        <f>+SUMIF(Рўйхат!$A:$A,'Риск йўналишлари'!$B9,Рўйхат!R:R)</f>
        <v/>
      </c>
      <c r="R9" s="18">
        <f>+SUMIF(Рўйхат!$A:$A,'Риск йўналишлари'!$B9,Рўйхат!S:S)</f>
        <v/>
      </c>
      <c r="S9" s="18">
        <f>+SUMIF(Рўйхат!$A:$A,'Риск йўналишлари'!$B9,Рўйхат!T:T)</f>
        <v/>
      </c>
      <c r="T9" s="18">
        <f>+SUMIF(Рўйхат!$A:$A,'Риск йўналишлари'!$B9,Рўйхат!U:U)</f>
        <v/>
      </c>
      <c r="U9" s="17">
        <f>+SUMIF(Рўйхат!$A:$A,'Риск йўналишлари'!$B9,Рўйхат!V:V)</f>
        <v/>
      </c>
      <c r="V9" s="18">
        <f>+SUMIF(Рўйхат!$A:$A,'Риск йўналишлари'!$B9,Рўйхат!W:W)</f>
        <v/>
      </c>
      <c r="W9" s="18">
        <f>+SUMIF(Рўйхат!$A:$A,'Риск йўналишлари'!$B9,Рўйхат!X:X)</f>
        <v/>
      </c>
      <c r="X9" s="18">
        <f>+SUMIF(Рўйхат!$A:$A,'Риск йўналишлари'!$B9,Рўйхат!Y:Y)</f>
        <v/>
      </c>
      <c r="Y9" s="18">
        <f>+SUMIF(Рўйхат!$A:$A,'Риск йўналишлари'!$B9,Рўйхат!Z:Z)</f>
        <v/>
      </c>
      <c r="Z9" s="17">
        <f>+SUMIF(Рўйхат!$A:$A,'Риск йўналишлари'!$B9,Рўйхат!AA:AA)</f>
        <v/>
      </c>
      <c r="AA9" s="18">
        <f>+SUMIF(Рўйхат!$A:$A,'Риск йўналишлари'!$B9,Рўйхат!AB:AB)</f>
        <v/>
      </c>
      <c r="AB9" s="18">
        <f>+SUMIF(Рўйхат!$A:$A,'Риск йўналишлари'!$B9,Рўйхат!AC:AC)</f>
        <v/>
      </c>
      <c r="AC9" s="18">
        <f>+SUMIF(Рўйхат!$A:$A,'Риск йўналишлари'!$B9,Рўйхат!AD:AD)</f>
        <v/>
      </c>
      <c r="AD9" s="18">
        <f>+SUMIF(Рўйхат!$A:$A,'Риск йўналишлари'!$B9,Рўйхат!AE:AE)</f>
        <v/>
      </c>
      <c r="AE9" s="17">
        <f>+SUMIF(Рўйхат!$A:$A,'Риск йўналишлари'!$B9,Рўйхат!AF:AF)</f>
        <v/>
      </c>
      <c r="AF9" s="18">
        <f>+SUMIF(Рўйхат!$A:$A,'Риск йўналишлари'!$B9,Рўйхат!AG:AG)</f>
        <v/>
      </c>
      <c r="AG9" s="18">
        <f>+SUMIF(Рўйхат!$A:$A,'Риск йўналишлари'!$B9,Рўйхат!AH:AH)</f>
        <v/>
      </c>
      <c r="AH9" s="33">
        <f>+SUMIF(Рўйхат!$A:$A,'Риск йўналишлари'!$B9,Рўйхат!AI:AI)</f>
        <v/>
      </c>
      <c r="AI9" s="19">
        <f>+SUMIF(Рўйхат!$A:$A,'Риск йўналишлари'!$B9,Рўйхат!AJ:AJ)</f>
        <v/>
      </c>
    </row>
    <row r="10">
      <c r="A10" s="15" t="n">
        <v>5</v>
      </c>
      <c r="B10" s="16" t="inlineStr">
        <is>
          <t>Қишлоқ хўжалигида фойдаланилган сув ҳажми таҳлили</t>
        </is>
      </c>
      <c r="C10" s="16">
        <f>IFERROR(VLOOKUP(B10,Рўйхат!A:E,5,0),"")</f>
        <v/>
      </c>
      <c r="D10" s="30">
        <f>IFERROR(VLOOKUP(B10,Рўйхат!A:F,6,0),"")</f>
        <v/>
      </c>
      <c r="E10" s="17">
        <f>+SUMIF(Рўйхат!$A:$A,'Риск йўналишлари'!$B10,Рўйхат!G:G)</f>
        <v/>
      </c>
      <c r="F10" s="18">
        <f>+SUMIF(Рўйхат!$A:$A,'Риск йўналишлари'!$B10,Рўйхат!H:H)</f>
        <v/>
      </c>
      <c r="G10" s="18">
        <f>M10</f>
        <v/>
      </c>
      <c r="H10" s="18">
        <f>R10+W10+AB10+AG10</f>
        <v/>
      </c>
      <c r="I10" s="18">
        <f>+SUMIF(Рўйхат!$A:$A,'Риск йўналишлари'!$B10,Рўйхат!J:J)</f>
        <v/>
      </c>
      <c r="J10" s="18">
        <f>+SUMIF(Рўйхат!$A:$A,'Риск йўналишлари'!$B10,Рўйхат!K:K)</f>
        <v/>
      </c>
      <c r="K10" s="17">
        <f>+SUMIF(Рўйхат!$A:$A,'Риск йўналишлари'!$B10,Рўйхат!L:L)</f>
        <v/>
      </c>
      <c r="L10" s="18">
        <f>+SUMIF(Рўйхат!$A:$A,'Риск йўналишлари'!$B10,Рўйхат!M:M)</f>
        <v/>
      </c>
      <c r="M10" s="18">
        <f>+SUMIF(Рўйхат!$A:$A,'Риск йўналишлари'!$B10,Рўйхат!N:N)</f>
        <v/>
      </c>
      <c r="N10" s="18">
        <f>+SUMIF(Рўйхат!$A:$A,'Риск йўналишлари'!$B10,Рўйхат!O:O)</f>
        <v/>
      </c>
      <c r="O10" s="18">
        <f>+SUMIF(Рўйхат!$A:$A,'Риск йўналишлари'!$B10,Рўйхат!P:P)</f>
        <v/>
      </c>
      <c r="P10" s="17">
        <f>+SUMIF(Рўйхат!$A:$A,'Риск йўналишлари'!$B10,Рўйхат!Q:Q)</f>
        <v/>
      </c>
      <c r="Q10" s="18">
        <f>+SUMIF(Рўйхат!$A:$A,'Риск йўналишлари'!$B10,Рўйхат!R:R)</f>
        <v/>
      </c>
      <c r="R10" s="18">
        <f>+SUMIF(Рўйхат!$A:$A,'Риск йўналишлари'!$B10,Рўйхат!S:S)</f>
        <v/>
      </c>
      <c r="S10" s="18">
        <f>+SUMIF(Рўйхат!$A:$A,'Риск йўналишлари'!$B10,Рўйхат!T:T)</f>
        <v/>
      </c>
      <c r="T10" s="18">
        <f>+SUMIF(Рўйхат!$A:$A,'Риск йўналишлари'!$B10,Рўйхат!U:U)</f>
        <v/>
      </c>
      <c r="U10" s="17">
        <f>+SUMIF(Рўйхат!$A:$A,'Риск йўналишлари'!$B10,Рўйхат!V:V)</f>
        <v/>
      </c>
      <c r="V10" s="18">
        <f>+SUMIF(Рўйхат!$A:$A,'Риск йўналишлари'!$B10,Рўйхат!W:W)</f>
        <v/>
      </c>
      <c r="W10" s="18">
        <f>+SUMIF(Рўйхат!$A:$A,'Риск йўналишлари'!$B10,Рўйхат!X:X)</f>
        <v/>
      </c>
      <c r="X10" s="18">
        <f>+SUMIF(Рўйхат!$A:$A,'Риск йўналишлари'!$B10,Рўйхат!Y:Y)</f>
        <v/>
      </c>
      <c r="Y10" s="18">
        <f>+SUMIF(Рўйхат!$A:$A,'Риск йўналишлари'!$B10,Рўйхат!Z:Z)</f>
        <v/>
      </c>
      <c r="Z10" s="17">
        <f>+SUMIF(Рўйхат!$A:$A,'Риск йўналишлари'!$B10,Рўйхат!AA:AA)</f>
        <v/>
      </c>
      <c r="AA10" s="18">
        <f>+SUMIF(Рўйхат!$A:$A,'Риск йўналишлари'!$B10,Рўйхат!AB:AB)</f>
        <v/>
      </c>
      <c r="AB10" s="18">
        <f>+SUMIF(Рўйхат!$A:$A,'Риск йўналишлари'!$B10,Рўйхат!AC:AC)</f>
        <v/>
      </c>
      <c r="AC10" s="18">
        <f>+SUMIF(Рўйхат!$A:$A,'Риск йўналишлари'!$B10,Рўйхат!AD:AD)</f>
        <v/>
      </c>
      <c r="AD10" s="18">
        <f>+SUMIF(Рўйхат!$A:$A,'Риск йўналишлари'!$B10,Рўйхат!AE:AE)</f>
        <v/>
      </c>
      <c r="AE10" s="17">
        <f>+SUMIF(Рўйхат!$A:$A,'Риск йўналишлари'!$B10,Рўйхат!AF:AF)</f>
        <v/>
      </c>
      <c r="AF10" s="18">
        <f>+SUMIF(Рўйхат!$A:$A,'Риск йўналишлари'!$B10,Рўйхат!AG:AG)</f>
        <v/>
      </c>
      <c r="AG10" s="18">
        <f>+SUMIF(Рўйхат!$A:$A,'Риск йўналишлари'!$B10,Рўйхат!AH:AH)</f>
        <v/>
      </c>
      <c r="AH10" s="33">
        <f>+SUMIF(Рўйхат!$A:$A,'Риск йўналишлари'!$B10,Рўйхат!AI:AI)</f>
        <v/>
      </c>
      <c r="AI10" s="19">
        <f>+SUMIF(Рўйхат!$A:$A,'Риск йўналишлари'!$B10,Рўйхат!AJ:AJ)</f>
        <v/>
      </c>
    </row>
    <row r="11">
      <c r="A11" s="15" t="n">
        <v>6</v>
      </c>
      <c r="B11" s="16" t="inlineStr">
        <is>
          <t>Манфаатлар тўқнашуви (COOPERATION AI)</t>
        </is>
      </c>
      <c r="C11" s="16">
        <f>IFERROR(VLOOKUP(B11,Рўйхат!A:E,5,0),"")</f>
        <v/>
      </c>
      <c r="D11" s="30">
        <f>IFERROR(VLOOKUP(B11,Рўйхат!A:F,6,0),"")</f>
        <v/>
      </c>
      <c r="E11" s="17">
        <f>+SUMIF(Рўйхат!$A:$A,'Риск йўналишлари'!$B11,Рўйхат!G:G)</f>
        <v/>
      </c>
      <c r="F11" s="18">
        <f>+SUMIF(Рўйхат!$A:$A,'Риск йўналишлари'!$B11,Рўйхат!H:H)</f>
        <v/>
      </c>
      <c r="G11" s="18">
        <f>M11</f>
        <v/>
      </c>
      <c r="H11" s="18">
        <f>R11+W11+AB11+AG11</f>
        <v/>
      </c>
      <c r="I11" s="18">
        <f>+SUMIF(Рўйхат!$A:$A,'Риск йўналишлари'!$B11,Рўйхат!J:J)</f>
        <v/>
      </c>
      <c r="J11" s="18">
        <f>+SUMIF(Рўйхат!$A:$A,'Риск йўналишлари'!$B11,Рўйхат!K:K)</f>
        <v/>
      </c>
      <c r="K11" s="17">
        <f>+SUMIF(Рўйхат!$A:$A,'Риск йўналишлари'!$B11,Рўйхат!L:L)</f>
        <v/>
      </c>
      <c r="L11" s="18">
        <f>+SUMIF(Рўйхат!$A:$A,'Риск йўналишлари'!$B11,Рўйхат!M:M)</f>
        <v/>
      </c>
      <c r="M11" s="18">
        <f>+SUMIF(Рўйхат!$A:$A,'Риск йўналишлари'!$B11,Рўйхат!N:N)</f>
        <v/>
      </c>
      <c r="N11" s="18">
        <f>+SUMIF(Рўйхат!$A:$A,'Риск йўналишлари'!$B11,Рўйхат!O:O)</f>
        <v/>
      </c>
      <c r="O11" s="18">
        <f>+SUMIF(Рўйхат!$A:$A,'Риск йўналишлари'!$B11,Рўйхат!P:P)</f>
        <v/>
      </c>
      <c r="P11" s="17">
        <f>+SUMIF(Рўйхат!$A:$A,'Риск йўналишлари'!$B11,Рўйхат!Q:Q)</f>
        <v/>
      </c>
      <c r="Q11" s="18">
        <f>+SUMIF(Рўйхат!$A:$A,'Риск йўналишлари'!$B11,Рўйхат!R:R)</f>
        <v/>
      </c>
      <c r="R11" s="18">
        <f>+SUMIF(Рўйхат!$A:$A,'Риск йўналишлари'!$B11,Рўйхат!S:S)</f>
        <v/>
      </c>
      <c r="S11" s="18">
        <f>+SUMIF(Рўйхат!$A:$A,'Риск йўналишлари'!$B11,Рўйхат!T:T)</f>
        <v/>
      </c>
      <c r="T11" s="18">
        <f>+SUMIF(Рўйхат!$A:$A,'Риск йўналишлари'!$B11,Рўйхат!U:U)</f>
        <v/>
      </c>
      <c r="U11" s="17">
        <f>+SUMIF(Рўйхат!$A:$A,'Риск йўналишлари'!$B11,Рўйхат!V:V)</f>
        <v/>
      </c>
      <c r="V11" s="18">
        <f>+SUMIF(Рўйхат!$A:$A,'Риск йўналишлари'!$B11,Рўйхат!W:W)</f>
        <v/>
      </c>
      <c r="W11" s="18">
        <f>+SUMIF(Рўйхат!$A:$A,'Риск йўналишлари'!$B11,Рўйхат!X:X)</f>
        <v/>
      </c>
      <c r="X11" s="18">
        <f>+SUMIF(Рўйхат!$A:$A,'Риск йўналишлари'!$B11,Рўйхат!Y:Y)</f>
        <v/>
      </c>
      <c r="Y11" s="18">
        <f>+SUMIF(Рўйхат!$A:$A,'Риск йўналишлари'!$B11,Рўйхат!Z:Z)</f>
        <v/>
      </c>
      <c r="Z11" s="17">
        <f>+SUMIF(Рўйхат!$A:$A,'Риск йўналишлари'!$B11,Рўйхат!AA:AA)</f>
        <v/>
      </c>
      <c r="AA11" s="18">
        <f>+SUMIF(Рўйхат!$A:$A,'Риск йўналишлари'!$B11,Рўйхат!AB:AB)</f>
        <v/>
      </c>
      <c r="AB11" s="18">
        <f>+SUMIF(Рўйхат!$A:$A,'Риск йўналишлари'!$B11,Рўйхат!AC:AC)</f>
        <v/>
      </c>
      <c r="AC11" s="18">
        <f>+SUMIF(Рўйхат!$A:$A,'Риск йўналишлари'!$B11,Рўйхат!AD:AD)</f>
        <v/>
      </c>
      <c r="AD11" s="18">
        <f>+SUMIF(Рўйхат!$A:$A,'Риск йўналишлари'!$B11,Рўйхат!AE:AE)</f>
        <v/>
      </c>
      <c r="AE11" s="17">
        <f>+SUMIF(Рўйхат!$A:$A,'Риск йўналишлари'!$B11,Рўйхат!AF:AF)</f>
        <v/>
      </c>
      <c r="AF11" s="18">
        <f>+SUMIF(Рўйхат!$A:$A,'Риск йўналишлари'!$B11,Рўйхат!AG:AG)</f>
        <v/>
      </c>
      <c r="AG11" s="18">
        <f>+SUMIF(Рўйхат!$A:$A,'Риск йўналишлари'!$B11,Рўйхат!AH:AH)</f>
        <v/>
      </c>
      <c r="AH11" s="33">
        <f>+SUMIF(Рўйхат!$A:$A,'Риск йўналишлари'!$B11,Рўйхат!AI:AI)</f>
        <v/>
      </c>
      <c r="AI11" s="19">
        <f>+SUMIF(Рўйхат!$A:$A,'Риск йўналишлари'!$B11,Рўйхат!AJ:AJ)</f>
        <v/>
      </c>
    </row>
    <row r="12">
      <c r="A12" s="15" t="n">
        <v>7</v>
      </c>
      <c r="B12" s="16" t="inlineStr">
        <is>
          <t>Ундириш имкони мавжуд бўлган жисмоний шахсларнинг баланс ҳисобидан чиқарилган кредитлари таҳлили</t>
        </is>
      </c>
      <c r="C12" s="16">
        <f>IFERROR(VLOOKUP(B12,Рўйхат!A:E,5,0),"")</f>
        <v/>
      </c>
      <c r="D12" s="30">
        <f>IFERROR(VLOOKUP(B12,Рўйхат!A:F,6,0),"")</f>
        <v/>
      </c>
      <c r="E12" s="17">
        <f>+SUMIF(Рўйхат!$A:$A,'Риск йўналишлари'!$B12,Рўйхат!G:G)</f>
        <v/>
      </c>
      <c r="F12" s="18">
        <f>+SUMIF(Рўйхат!$A:$A,'Риск йўналишлари'!$B12,Рўйхат!H:H)</f>
        <v/>
      </c>
      <c r="G12" s="18">
        <f>M12</f>
        <v/>
      </c>
      <c r="H12" s="18">
        <f>R12+W12+AB12+AG12</f>
        <v/>
      </c>
      <c r="I12" s="18">
        <f>+SUMIF(Рўйхат!$A:$A,'Риск йўналишлари'!$B12,Рўйхат!J:J)</f>
        <v/>
      </c>
      <c r="J12" s="18">
        <f>+SUMIF(Рўйхат!$A:$A,'Риск йўналишлари'!$B12,Рўйхат!K:K)</f>
        <v/>
      </c>
      <c r="K12" s="17">
        <f>+SUMIF(Рўйхат!$A:$A,'Риск йўналишлари'!$B12,Рўйхат!L:L)</f>
        <v/>
      </c>
      <c r="L12" s="18">
        <f>+SUMIF(Рўйхат!$A:$A,'Риск йўналишлари'!$B12,Рўйхат!M:M)</f>
        <v/>
      </c>
      <c r="M12" s="18">
        <f>+SUMIF(Рўйхат!$A:$A,'Риск йўналишлари'!$B12,Рўйхат!N:N)</f>
        <v/>
      </c>
      <c r="N12" s="18">
        <f>+SUMIF(Рўйхат!$A:$A,'Риск йўналишлари'!$B12,Рўйхат!O:O)</f>
        <v/>
      </c>
      <c r="O12" s="18">
        <f>+SUMIF(Рўйхат!$A:$A,'Риск йўналишлари'!$B12,Рўйхат!P:P)</f>
        <v/>
      </c>
      <c r="P12" s="17">
        <f>+SUMIF(Рўйхат!$A:$A,'Риск йўналишлари'!$B12,Рўйхат!Q:Q)</f>
        <v/>
      </c>
      <c r="Q12" s="18">
        <f>+SUMIF(Рўйхат!$A:$A,'Риск йўналишлари'!$B12,Рўйхат!R:R)</f>
        <v/>
      </c>
      <c r="R12" s="18">
        <f>+SUMIF(Рўйхат!$A:$A,'Риск йўналишлари'!$B12,Рўйхат!S:S)</f>
        <v/>
      </c>
      <c r="S12" s="18">
        <f>+SUMIF(Рўйхат!$A:$A,'Риск йўналишлари'!$B12,Рўйхат!T:T)</f>
        <v/>
      </c>
      <c r="T12" s="18">
        <f>+SUMIF(Рўйхат!$A:$A,'Риск йўналишлари'!$B12,Рўйхат!U:U)</f>
        <v/>
      </c>
      <c r="U12" s="17">
        <f>+SUMIF(Рўйхат!$A:$A,'Риск йўналишлари'!$B12,Рўйхат!V:V)</f>
        <v/>
      </c>
      <c r="V12" s="18">
        <f>+SUMIF(Рўйхат!$A:$A,'Риск йўналишлари'!$B12,Рўйхат!W:W)</f>
        <v/>
      </c>
      <c r="W12" s="18">
        <f>+SUMIF(Рўйхат!$A:$A,'Риск йўналишлари'!$B12,Рўйхат!X:X)</f>
        <v/>
      </c>
      <c r="X12" s="18">
        <f>+SUMIF(Рўйхат!$A:$A,'Риск йўналишлари'!$B12,Рўйхат!Y:Y)</f>
        <v/>
      </c>
      <c r="Y12" s="18">
        <f>+SUMIF(Рўйхат!$A:$A,'Риск йўналишлари'!$B12,Рўйхат!Z:Z)</f>
        <v/>
      </c>
      <c r="Z12" s="17">
        <f>+SUMIF(Рўйхат!$A:$A,'Риск йўналишлари'!$B12,Рўйхат!AA:AA)</f>
        <v/>
      </c>
      <c r="AA12" s="18">
        <f>+SUMIF(Рўйхат!$A:$A,'Риск йўналишлари'!$B12,Рўйхат!AB:AB)</f>
        <v/>
      </c>
      <c r="AB12" s="18">
        <f>+SUMIF(Рўйхат!$A:$A,'Риск йўналишлари'!$B12,Рўйхат!AC:AC)</f>
        <v/>
      </c>
      <c r="AC12" s="18">
        <f>+SUMIF(Рўйхат!$A:$A,'Риск йўналишлари'!$B12,Рўйхат!AD:AD)</f>
        <v/>
      </c>
      <c r="AD12" s="18">
        <f>+SUMIF(Рўйхат!$A:$A,'Риск йўналишлари'!$B12,Рўйхат!AE:AE)</f>
        <v/>
      </c>
      <c r="AE12" s="17">
        <f>+SUMIF(Рўйхат!$A:$A,'Риск йўналишлари'!$B12,Рўйхат!AF:AF)</f>
        <v/>
      </c>
      <c r="AF12" s="18">
        <f>+SUMIF(Рўйхат!$A:$A,'Риск йўналишлари'!$B12,Рўйхат!AG:AG)</f>
        <v/>
      </c>
      <c r="AG12" s="18">
        <f>+SUMIF(Рўйхат!$A:$A,'Риск йўналишлари'!$B12,Рўйхат!AH:AH)</f>
        <v/>
      </c>
      <c r="AH12" s="33">
        <f>+SUMIF(Рўйхат!$A:$A,'Риск йўналишлари'!$B12,Рўйхат!AI:AI)</f>
        <v/>
      </c>
      <c r="AI12" s="19">
        <f>+SUMIF(Рўйхат!$A:$A,'Риск йўналишлари'!$B12,Рўйхат!AJ:AJ)</f>
        <v/>
      </c>
    </row>
    <row r="13">
      <c r="A13" s="15" t="n">
        <v>8</v>
      </c>
      <c r="B13" s="16" t="inlineStr">
        <is>
          <t>Рейтинг бали шаклланишида ишчи ходим сони таҳлили</t>
        </is>
      </c>
      <c r="C13" s="16">
        <f>IFERROR(VLOOKUP(B13,Рўйхат!A:E,5,0),"")</f>
        <v/>
      </c>
      <c r="D13" s="30">
        <f>IFERROR(VLOOKUP(B13,Рўйхат!A:F,6,0),"")</f>
        <v/>
      </c>
      <c r="E13" s="17">
        <f>+SUMIF(Рўйхат!$A:$A,'Риск йўналишлари'!$B13,Рўйхат!G:G)</f>
        <v/>
      </c>
      <c r="F13" s="18">
        <f>+SUMIF(Рўйхат!$A:$A,'Риск йўналишлари'!$B13,Рўйхат!H:H)</f>
        <v/>
      </c>
      <c r="G13" s="18">
        <f>M13</f>
        <v/>
      </c>
      <c r="H13" s="18">
        <f>R13+W13+AB13+AG13</f>
        <v/>
      </c>
      <c r="I13" s="18">
        <f>+SUMIF(Рўйхат!$A:$A,'Риск йўналишлари'!$B13,Рўйхат!J:J)</f>
        <v/>
      </c>
      <c r="J13" s="18">
        <f>+SUMIF(Рўйхат!$A:$A,'Риск йўналишлари'!$B13,Рўйхат!K:K)</f>
        <v/>
      </c>
      <c r="K13" s="17">
        <f>+SUMIF(Рўйхат!$A:$A,'Риск йўналишлари'!$B13,Рўйхат!L:L)</f>
        <v/>
      </c>
      <c r="L13" s="18">
        <f>+SUMIF(Рўйхат!$A:$A,'Риск йўналишлари'!$B13,Рўйхат!M:M)</f>
        <v/>
      </c>
      <c r="M13" s="18">
        <f>+SUMIF(Рўйхат!$A:$A,'Риск йўналишлари'!$B13,Рўйхат!N:N)</f>
        <v/>
      </c>
      <c r="N13" s="18">
        <f>+SUMIF(Рўйхат!$A:$A,'Риск йўналишлари'!$B13,Рўйхат!O:O)</f>
        <v/>
      </c>
      <c r="O13" s="18">
        <f>+SUMIF(Рўйхат!$A:$A,'Риск йўналишлари'!$B13,Рўйхат!P:P)</f>
        <v/>
      </c>
      <c r="P13" s="17">
        <f>+SUMIF(Рўйхат!$A:$A,'Риск йўналишлари'!$B13,Рўйхат!Q:Q)</f>
        <v/>
      </c>
      <c r="Q13" s="18">
        <f>+SUMIF(Рўйхат!$A:$A,'Риск йўналишлари'!$B13,Рўйхат!R:R)</f>
        <v/>
      </c>
      <c r="R13" s="18">
        <f>+SUMIF(Рўйхат!$A:$A,'Риск йўналишлари'!$B13,Рўйхат!S:S)</f>
        <v/>
      </c>
      <c r="S13" s="18">
        <f>+SUMIF(Рўйхат!$A:$A,'Риск йўналишлари'!$B13,Рўйхат!T:T)</f>
        <v/>
      </c>
      <c r="T13" s="18">
        <f>+SUMIF(Рўйхат!$A:$A,'Риск йўналишлари'!$B13,Рўйхат!U:U)</f>
        <v/>
      </c>
      <c r="U13" s="17">
        <f>+SUMIF(Рўйхат!$A:$A,'Риск йўналишлари'!$B13,Рўйхат!V:V)</f>
        <v/>
      </c>
      <c r="V13" s="18">
        <f>+SUMIF(Рўйхат!$A:$A,'Риск йўналишлари'!$B13,Рўйхат!W:W)</f>
        <v/>
      </c>
      <c r="W13" s="18">
        <f>+SUMIF(Рўйхат!$A:$A,'Риск йўналишлари'!$B13,Рўйхат!X:X)</f>
        <v/>
      </c>
      <c r="X13" s="18">
        <f>+SUMIF(Рўйхат!$A:$A,'Риск йўналишлари'!$B13,Рўйхат!Y:Y)</f>
        <v/>
      </c>
      <c r="Y13" s="18">
        <f>+SUMIF(Рўйхат!$A:$A,'Риск йўналишлари'!$B13,Рўйхат!Z:Z)</f>
        <v/>
      </c>
      <c r="Z13" s="17">
        <f>+SUMIF(Рўйхат!$A:$A,'Риск йўналишлари'!$B13,Рўйхат!AA:AA)</f>
        <v/>
      </c>
      <c r="AA13" s="18">
        <f>+SUMIF(Рўйхат!$A:$A,'Риск йўналишлари'!$B13,Рўйхат!AB:AB)</f>
        <v/>
      </c>
      <c r="AB13" s="18">
        <f>+SUMIF(Рўйхат!$A:$A,'Риск йўналишлари'!$B13,Рўйхат!AC:AC)</f>
        <v/>
      </c>
      <c r="AC13" s="18">
        <f>+SUMIF(Рўйхат!$A:$A,'Риск йўналишлари'!$B13,Рўйхат!AD:AD)</f>
        <v/>
      </c>
      <c r="AD13" s="18">
        <f>+SUMIF(Рўйхат!$A:$A,'Риск йўналишлари'!$B13,Рўйхат!AE:AE)</f>
        <v/>
      </c>
      <c r="AE13" s="17">
        <f>+SUMIF(Рўйхат!$A:$A,'Риск йўналишлари'!$B13,Рўйхат!AF:AF)</f>
        <v/>
      </c>
      <c r="AF13" s="18">
        <f>+SUMIF(Рўйхат!$A:$A,'Риск йўналишлари'!$B13,Рўйхат!AG:AG)</f>
        <v/>
      </c>
      <c r="AG13" s="18">
        <f>+SUMIF(Рўйхат!$A:$A,'Риск йўналишлари'!$B13,Рўйхат!AH:AH)</f>
        <v/>
      </c>
      <c r="AH13" s="33">
        <f>+SUMIF(Рўйхат!$A:$A,'Риск йўналишлари'!$B13,Рўйхат!AI:AI)</f>
        <v/>
      </c>
      <c r="AI13" s="19">
        <f>+SUMIF(Рўйхат!$A:$A,'Риск йўналишлари'!$B13,Рўйхат!AJ:AJ)</f>
        <v/>
      </c>
    </row>
    <row r="14">
      <c r="A14" s="15" t="n">
        <v>9</v>
      </c>
      <c r="B14" s="16" t="inlineStr">
        <is>
          <t>Импорт маҳсулотлари таҳлили</t>
        </is>
      </c>
      <c r="C14" s="16">
        <f>IFERROR(VLOOKUP(B14,Рўйхат!A:E,5,0),"")</f>
        <v/>
      </c>
      <c r="D14" s="30">
        <f>IFERROR(VLOOKUP(B14,Рўйхат!A:F,6,0),"")</f>
        <v/>
      </c>
      <c r="E14" s="17">
        <f>+SUMIF(Рўйхат!$A:$A,'Риск йўналишлари'!$B14,Рўйхат!G:G)</f>
        <v/>
      </c>
      <c r="F14" s="18">
        <f>+SUMIF(Рўйхат!$A:$A,'Риск йўналишлари'!$B14,Рўйхат!H:H)</f>
        <v/>
      </c>
      <c r="G14" s="18">
        <f>M14</f>
        <v/>
      </c>
      <c r="H14" s="18">
        <f>R14+W14+AB14+AG14</f>
        <v/>
      </c>
      <c r="I14" s="18">
        <f>+SUMIF(Рўйхат!$A:$A,'Риск йўналишлари'!$B14,Рўйхат!J:J)</f>
        <v/>
      </c>
      <c r="J14" s="18">
        <f>+SUMIF(Рўйхат!$A:$A,'Риск йўналишлари'!$B14,Рўйхат!K:K)</f>
        <v/>
      </c>
      <c r="K14" s="17">
        <f>+SUMIF(Рўйхат!$A:$A,'Риск йўналишлари'!$B14,Рўйхат!L:L)</f>
        <v/>
      </c>
      <c r="L14" s="18">
        <f>+SUMIF(Рўйхат!$A:$A,'Риск йўналишлари'!$B14,Рўйхат!M:M)</f>
        <v/>
      </c>
      <c r="M14" s="18">
        <f>+SUMIF(Рўйхат!$A:$A,'Риск йўналишлари'!$B14,Рўйхат!N:N)</f>
        <v/>
      </c>
      <c r="N14" s="18">
        <f>+SUMIF(Рўйхат!$A:$A,'Риск йўналишлари'!$B14,Рўйхат!O:O)</f>
        <v/>
      </c>
      <c r="O14" s="18">
        <f>+SUMIF(Рўйхат!$A:$A,'Риск йўналишлари'!$B14,Рўйхат!P:P)</f>
        <v/>
      </c>
      <c r="P14" s="17">
        <f>+SUMIF(Рўйхат!$A:$A,'Риск йўналишлари'!$B14,Рўйхат!Q:Q)</f>
        <v/>
      </c>
      <c r="Q14" s="18">
        <f>+SUMIF(Рўйхат!$A:$A,'Риск йўналишлари'!$B14,Рўйхат!R:R)</f>
        <v/>
      </c>
      <c r="R14" s="18">
        <f>+SUMIF(Рўйхат!$A:$A,'Риск йўналишлари'!$B14,Рўйхат!S:S)</f>
        <v/>
      </c>
      <c r="S14" s="18">
        <f>+SUMIF(Рўйхат!$A:$A,'Риск йўналишлари'!$B14,Рўйхат!T:T)</f>
        <v/>
      </c>
      <c r="T14" s="18">
        <f>+SUMIF(Рўйхат!$A:$A,'Риск йўналишлари'!$B14,Рўйхат!U:U)</f>
        <v/>
      </c>
      <c r="U14" s="17">
        <f>+SUMIF(Рўйхат!$A:$A,'Риск йўналишлари'!$B14,Рўйхат!V:V)</f>
        <v/>
      </c>
      <c r="V14" s="18">
        <f>+SUMIF(Рўйхат!$A:$A,'Риск йўналишлари'!$B14,Рўйхат!W:W)</f>
        <v/>
      </c>
      <c r="W14" s="18">
        <f>+SUMIF(Рўйхат!$A:$A,'Риск йўналишлари'!$B14,Рўйхат!X:X)</f>
        <v/>
      </c>
      <c r="X14" s="18">
        <f>+SUMIF(Рўйхат!$A:$A,'Риск йўналишлари'!$B14,Рўйхат!Y:Y)</f>
        <v/>
      </c>
      <c r="Y14" s="18">
        <f>+SUMIF(Рўйхат!$A:$A,'Риск йўналишлари'!$B14,Рўйхат!Z:Z)</f>
        <v/>
      </c>
      <c r="Z14" s="17">
        <f>+SUMIF(Рўйхат!$A:$A,'Риск йўналишлари'!$B14,Рўйхат!AA:AA)</f>
        <v/>
      </c>
      <c r="AA14" s="18">
        <f>+SUMIF(Рўйхат!$A:$A,'Риск йўналишлари'!$B14,Рўйхат!AB:AB)</f>
        <v/>
      </c>
      <c r="AB14" s="18">
        <f>+SUMIF(Рўйхат!$A:$A,'Риск йўналишлари'!$B14,Рўйхат!AC:AC)</f>
        <v/>
      </c>
      <c r="AC14" s="18">
        <f>+SUMIF(Рўйхат!$A:$A,'Риск йўналишлари'!$B14,Рўйхат!AD:AD)</f>
        <v/>
      </c>
      <c r="AD14" s="18">
        <f>+SUMIF(Рўйхат!$A:$A,'Риск йўналишлари'!$B14,Рўйхат!AE:AE)</f>
        <v/>
      </c>
      <c r="AE14" s="17">
        <f>+SUMIF(Рўйхат!$A:$A,'Риск йўналишлари'!$B14,Рўйхат!AF:AF)</f>
        <v/>
      </c>
      <c r="AF14" s="18">
        <f>+SUMIF(Рўйхат!$A:$A,'Риск йўналишлари'!$B14,Рўйхат!AG:AG)</f>
        <v/>
      </c>
      <c r="AG14" s="18">
        <f>+SUMIF(Рўйхат!$A:$A,'Риск йўналишлари'!$B14,Рўйхат!AH:AH)</f>
        <v/>
      </c>
      <c r="AH14" s="33">
        <f>+SUMIF(Рўйхат!$A:$A,'Риск йўналишлари'!$B14,Рўйхат!AI:AI)</f>
        <v/>
      </c>
      <c r="AI14" s="19">
        <f>+SUMIF(Рўйхат!$A:$A,'Риск йўналишлари'!$B14,Рўйхат!AJ:AJ)</f>
        <v/>
      </c>
    </row>
    <row r="15">
      <c r="A15" s="15" t="n">
        <v>10</v>
      </c>
      <c r="B15" s="16" t="inlineStr">
        <is>
          <t>Бюджет ташкилотларида непотизм ҳолатлари таҳлили</t>
        </is>
      </c>
      <c r="C15" s="16">
        <f>IFERROR(VLOOKUP(B15,Рўйхат!A:E,5,0),"")</f>
        <v/>
      </c>
      <c r="D15" s="30">
        <f>IFERROR(VLOOKUP(B15,Рўйхат!A:F,6,0),"")</f>
        <v/>
      </c>
      <c r="E15" s="17">
        <f>+SUMIF(Рўйхат!$A:$A,'Риск йўналишлари'!$B15,Рўйхат!G:G)</f>
        <v/>
      </c>
      <c r="F15" s="18">
        <f>+SUMIF(Рўйхат!$A:$A,'Риск йўналишлари'!$B15,Рўйхат!H:H)</f>
        <v/>
      </c>
      <c r="G15" s="18">
        <f>M15</f>
        <v/>
      </c>
      <c r="H15" s="18">
        <f>R15+W15+AB15+AG15</f>
        <v/>
      </c>
      <c r="I15" s="18">
        <f>+SUMIF(Рўйхат!$A:$A,'Риск йўналишлари'!$B15,Рўйхат!J:J)</f>
        <v/>
      </c>
      <c r="J15" s="18">
        <f>+SUMIF(Рўйхат!$A:$A,'Риск йўналишлари'!$B15,Рўйхат!K:K)</f>
        <v/>
      </c>
      <c r="K15" s="17">
        <f>+SUMIF(Рўйхат!$A:$A,'Риск йўналишлари'!$B15,Рўйхат!L:L)</f>
        <v/>
      </c>
      <c r="L15" s="18">
        <f>+SUMIF(Рўйхат!$A:$A,'Риск йўналишлари'!$B15,Рўйхат!M:M)</f>
        <v/>
      </c>
      <c r="M15" s="18">
        <f>+SUMIF(Рўйхат!$A:$A,'Риск йўналишлари'!$B15,Рўйхат!N:N)</f>
        <v/>
      </c>
      <c r="N15" s="18">
        <f>+SUMIF(Рўйхат!$A:$A,'Риск йўналишлари'!$B15,Рўйхат!O:O)</f>
        <v/>
      </c>
      <c r="O15" s="18">
        <f>+SUMIF(Рўйхат!$A:$A,'Риск йўналишлари'!$B15,Рўйхат!P:P)</f>
        <v/>
      </c>
      <c r="P15" s="17">
        <f>+SUMIF(Рўйхат!$A:$A,'Риск йўналишлари'!$B15,Рўйхат!Q:Q)</f>
        <v/>
      </c>
      <c r="Q15" s="18">
        <f>+SUMIF(Рўйхат!$A:$A,'Риск йўналишлари'!$B15,Рўйхат!R:R)</f>
        <v/>
      </c>
      <c r="R15" s="18">
        <f>+SUMIF(Рўйхат!$A:$A,'Риск йўналишлари'!$B15,Рўйхат!S:S)</f>
        <v/>
      </c>
      <c r="S15" s="18">
        <f>+SUMIF(Рўйхат!$A:$A,'Риск йўналишлари'!$B15,Рўйхат!T:T)</f>
        <v/>
      </c>
      <c r="T15" s="18">
        <f>+SUMIF(Рўйхат!$A:$A,'Риск йўналишлари'!$B15,Рўйхат!U:U)</f>
        <v/>
      </c>
      <c r="U15" s="17">
        <f>+SUMIF(Рўйхат!$A:$A,'Риск йўналишлари'!$B15,Рўйхат!V:V)</f>
        <v/>
      </c>
      <c r="V15" s="18">
        <f>+SUMIF(Рўйхат!$A:$A,'Риск йўналишлари'!$B15,Рўйхат!W:W)</f>
        <v/>
      </c>
      <c r="W15" s="18">
        <f>+SUMIF(Рўйхат!$A:$A,'Риск йўналишлари'!$B15,Рўйхат!X:X)</f>
        <v/>
      </c>
      <c r="X15" s="18">
        <f>+SUMIF(Рўйхат!$A:$A,'Риск йўналишлари'!$B15,Рўйхат!Y:Y)</f>
        <v/>
      </c>
      <c r="Y15" s="18">
        <f>+SUMIF(Рўйхат!$A:$A,'Риск йўналишлари'!$B15,Рўйхат!Z:Z)</f>
        <v/>
      </c>
      <c r="Z15" s="17">
        <f>+SUMIF(Рўйхат!$A:$A,'Риск йўналишлари'!$B15,Рўйхат!AA:AA)</f>
        <v/>
      </c>
      <c r="AA15" s="18">
        <f>+SUMIF(Рўйхат!$A:$A,'Риск йўналишлари'!$B15,Рўйхат!AB:AB)</f>
        <v/>
      </c>
      <c r="AB15" s="18">
        <f>+SUMIF(Рўйхат!$A:$A,'Риск йўналишлари'!$B15,Рўйхат!AC:AC)</f>
        <v/>
      </c>
      <c r="AC15" s="18">
        <f>+SUMIF(Рўйхат!$A:$A,'Риск йўналишлари'!$B15,Рўйхат!AD:AD)</f>
        <v/>
      </c>
      <c r="AD15" s="18">
        <f>+SUMIF(Рўйхат!$A:$A,'Риск йўналишлари'!$B15,Рўйхат!AE:AE)</f>
        <v/>
      </c>
      <c r="AE15" s="17">
        <f>+SUMIF(Рўйхат!$A:$A,'Риск йўналишлари'!$B15,Рўйхат!AF:AF)</f>
        <v/>
      </c>
      <c r="AF15" s="18">
        <f>+SUMIF(Рўйхат!$A:$A,'Риск йўналишлари'!$B15,Рўйхат!AG:AG)</f>
        <v/>
      </c>
      <c r="AG15" s="18">
        <f>+SUMIF(Рўйхат!$A:$A,'Риск йўналишлари'!$B15,Рўйхат!AH:AH)</f>
        <v/>
      </c>
      <c r="AH15" s="33">
        <f>+SUMIF(Рўйхат!$A:$A,'Риск йўналишлари'!$B15,Рўйхат!AI:AI)</f>
        <v/>
      </c>
      <c r="AI15" s="19">
        <f>+SUMIF(Рўйхат!$A:$A,'Риск йўналишлари'!$B15,Рўйхат!AJ:AJ)</f>
        <v/>
      </c>
    </row>
    <row r="16">
      <c r="A16" s="15" t="n">
        <v>11</v>
      </c>
      <c r="B16" s="16" t="inlineStr">
        <is>
          <t>Ундириш имкони мавжуд бўлган жисмоний шахсларнинг муаммоли кредитлари таҳлили</t>
        </is>
      </c>
      <c r="C16" s="16">
        <f>IFERROR(VLOOKUP(B16,Рўйхат!A:E,5,0),"")</f>
        <v/>
      </c>
      <c r="D16" s="30">
        <f>IFERROR(VLOOKUP(B16,Рўйхат!A:F,6,0),"")</f>
        <v/>
      </c>
      <c r="E16" s="17">
        <f>+SUMIF(Рўйхат!$A:$A,'Риск йўналишлари'!$B16,Рўйхат!G:G)</f>
        <v/>
      </c>
      <c r="F16" s="18">
        <f>+SUMIF(Рўйхат!$A:$A,'Риск йўналишлари'!$B16,Рўйхат!H:H)</f>
        <v/>
      </c>
      <c r="G16" s="18">
        <f>M16</f>
        <v/>
      </c>
      <c r="H16" s="18">
        <f>R16+W16+AB16+AG16</f>
        <v/>
      </c>
      <c r="I16" s="18">
        <f>+SUMIF(Рўйхат!$A:$A,'Риск йўналишлари'!$B16,Рўйхат!J:J)</f>
        <v/>
      </c>
      <c r="J16" s="18">
        <f>+SUMIF(Рўйхат!$A:$A,'Риск йўналишлари'!$B16,Рўйхат!K:K)</f>
        <v/>
      </c>
      <c r="K16" s="17">
        <f>+SUMIF(Рўйхат!$A:$A,'Риск йўналишлари'!$B16,Рўйхат!L:L)</f>
        <v/>
      </c>
      <c r="L16" s="18">
        <f>+SUMIF(Рўйхат!$A:$A,'Риск йўналишлари'!$B16,Рўйхат!M:M)</f>
        <v/>
      </c>
      <c r="M16" s="18">
        <f>+SUMIF(Рўйхат!$A:$A,'Риск йўналишлари'!$B16,Рўйхат!N:N)</f>
        <v/>
      </c>
      <c r="N16" s="18">
        <f>+SUMIF(Рўйхат!$A:$A,'Риск йўналишлари'!$B16,Рўйхат!O:O)</f>
        <v/>
      </c>
      <c r="O16" s="18">
        <f>+SUMIF(Рўйхат!$A:$A,'Риск йўналишлари'!$B16,Рўйхат!P:P)</f>
        <v/>
      </c>
      <c r="P16" s="17">
        <f>+SUMIF(Рўйхат!$A:$A,'Риск йўналишлари'!$B16,Рўйхат!Q:Q)</f>
        <v/>
      </c>
      <c r="Q16" s="18">
        <f>+SUMIF(Рўйхат!$A:$A,'Риск йўналишлари'!$B16,Рўйхат!R:R)</f>
        <v/>
      </c>
      <c r="R16" s="18">
        <f>+SUMIF(Рўйхат!$A:$A,'Риск йўналишлари'!$B16,Рўйхат!S:S)</f>
        <v/>
      </c>
      <c r="S16" s="18">
        <f>+SUMIF(Рўйхат!$A:$A,'Риск йўналишлари'!$B16,Рўйхат!T:T)</f>
        <v/>
      </c>
      <c r="T16" s="18">
        <f>+SUMIF(Рўйхат!$A:$A,'Риск йўналишлари'!$B16,Рўйхат!U:U)</f>
        <v/>
      </c>
      <c r="U16" s="17">
        <f>+SUMIF(Рўйхат!$A:$A,'Риск йўналишлари'!$B16,Рўйхат!V:V)</f>
        <v/>
      </c>
      <c r="V16" s="18">
        <f>+SUMIF(Рўйхат!$A:$A,'Риск йўналишлари'!$B16,Рўйхат!W:W)</f>
        <v/>
      </c>
      <c r="W16" s="18">
        <f>+SUMIF(Рўйхат!$A:$A,'Риск йўналишлари'!$B16,Рўйхат!X:X)</f>
        <v/>
      </c>
      <c r="X16" s="18">
        <f>+SUMIF(Рўйхат!$A:$A,'Риск йўналишлари'!$B16,Рўйхат!Y:Y)</f>
        <v/>
      </c>
      <c r="Y16" s="18">
        <f>+SUMIF(Рўйхат!$A:$A,'Риск йўналишлари'!$B16,Рўйхат!Z:Z)</f>
        <v/>
      </c>
      <c r="Z16" s="17">
        <f>+SUMIF(Рўйхат!$A:$A,'Риск йўналишлари'!$B16,Рўйхат!AA:AA)</f>
        <v/>
      </c>
      <c r="AA16" s="18">
        <f>+SUMIF(Рўйхат!$A:$A,'Риск йўналишлари'!$B16,Рўйхат!AB:AB)</f>
        <v/>
      </c>
      <c r="AB16" s="18">
        <f>+SUMIF(Рўйхат!$A:$A,'Риск йўналишлари'!$B16,Рўйхат!AC:AC)</f>
        <v/>
      </c>
      <c r="AC16" s="18">
        <f>+SUMIF(Рўйхат!$A:$A,'Риск йўналишлари'!$B16,Рўйхат!AD:AD)</f>
        <v/>
      </c>
      <c r="AD16" s="18">
        <f>+SUMIF(Рўйхат!$A:$A,'Риск йўналишлари'!$B16,Рўйхат!AE:AE)</f>
        <v/>
      </c>
      <c r="AE16" s="17">
        <f>+SUMIF(Рўйхат!$A:$A,'Риск йўналишлари'!$B16,Рўйхат!AF:AF)</f>
        <v/>
      </c>
      <c r="AF16" s="18">
        <f>+SUMIF(Рўйхат!$A:$A,'Риск йўналишлари'!$B16,Рўйхат!AG:AG)</f>
        <v/>
      </c>
      <c r="AG16" s="18">
        <f>+SUMIF(Рўйхат!$A:$A,'Риск йўналишлари'!$B16,Рўйхат!AH:AH)</f>
        <v/>
      </c>
      <c r="AH16" s="33">
        <f>+SUMIF(Рўйхат!$A:$A,'Риск йўналишлари'!$B16,Рўйхат!AI:AI)</f>
        <v/>
      </c>
      <c r="AI16" s="19">
        <f>+SUMIF(Рўйхат!$A:$A,'Риск йўналишлари'!$B16,Рўйхат!AJ:AJ)</f>
        <v/>
      </c>
    </row>
    <row r="17">
      <c r="A17" s="15" t="n">
        <v>12</v>
      </c>
      <c r="B17" s="16" t="inlineStr">
        <is>
          <t>Бюджет ташкилотларида ишловчиларнинг 4 ва ундан ортиқ даромад манбаига эга фуқаролар</t>
        </is>
      </c>
      <c r="C17" s="16">
        <f>IFERROR(VLOOKUP(B17,Рўйхат!A:E,5,0),"")</f>
        <v/>
      </c>
      <c r="D17" s="30">
        <f>IFERROR(VLOOKUP(B17,Рўйхат!A:F,6,0),"")</f>
        <v/>
      </c>
      <c r="E17" s="17">
        <f>+SUMIF(Рўйхат!$A:$A,'Риск йўналишлари'!$B17,Рўйхат!G:G)</f>
        <v/>
      </c>
      <c r="F17" s="18">
        <f>+SUMIF(Рўйхат!$A:$A,'Риск йўналишлари'!$B17,Рўйхат!H:H)</f>
        <v/>
      </c>
      <c r="G17" s="18">
        <f>M17</f>
        <v/>
      </c>
      <c r="H17" s="18">
        <f>R17+W17+AB17+AG17</f>
        <v/>
      </c>
      <c r="I17" s="18">
        <f>+SUMIF(Рўйхат!$A:$A,'Риск йўналишлари'!$B17,Рўйхат!J:J)</f>
        <v/>
      </c>
      <c r="J17" s="18">
        <f>+SUMIF(Рўйхат!$A:$A,'Риск йўналишлари'!$B17,Рўйхат!K:K)</f>
        <v/>
      </c>
      <c r="K17" s="17">
        <f>+SUMIF(Рўйхат!$A:$A,'Риск йўналишлари'!$B17,Рўйхат!L:L)</f>
        <v/>
      </c>
      <c r="L17" s="18">
        <f>+SUMIF(Рўйхат!$A:$A,'Риск йўналишлари'!$B17,Рўйхат!M:M)</f>
        <v/>
      </c>
      <c r="M17" s="18">
        <f>+SUMIF(Рўйхат!$A:$A,'Риск йўналишлари'!$B17,Рўйхат!N:N)</f>
        <v/>
      </c>
      <c r="N17" s="18">
        <f>+SUMIF(Рўйхат!$A:$A,'Риск йўналишлари'!$B17,Рўйхат!O:O)</f>
        <v/>
      </c>
      <c r="O17" s="18">
        <f>+SUMIF(Рўйхат!$A:$A,'Риск йўналишлари'!$B17,Рўйхат!P:P)</f>
        <v/>
      </c>
      <c r="P17" s="17">
        <f>+SUMIF(Рўйхат!$A:$A,'Риск йўналишлари'!$B17,Рўйхат!Q:Q)</f>
        <v/>
      </c>
      <c r="Q17" s="18">
        <f>+SUMIF(Рўйхат!$A:$A,'Риск йўналишлари'!$B17,Рўйхат!R:R)</f>
        <v/>
      </c>
      <c r="R17" s="18">
        <f>+SUMIF(Рўйхат!$A:$A,'Риск йўналишлари'!$B17,Рўйхат!S:S)</f>
        <v/>
      </c>
      <c r="S17" s="18">
        <f>+SUMIF(Рўйхат!$A:$A,'Риск йўналишлари'!$B17,Рўйхат!T:T)</f>
        <v/>
      </c>
      <c r="T17" s="18">
        <f>+SUMIF(Рўйхат!$A:$A,'Риск йўналишлари'!$B17,Рўйхат!U:U)</f>
        <v/>
      </c>
      <c r="U17" s="17">
        <f>+SUMIF(Рўйхат!$A:$A,'Риск йўналишлари'!$B17,Рўйхат!V:V)</f>
        <v/>
      </c>
      <c r="V17" s="18">
        <f>+SUMIF(Рўйхат!$A:$A,'Риск йўналишлари'!$B17,Рўйхат!W:W)</f>
        <v/>
      </c>
      <c r="W17" s="18">
        <f>+SUMIF(Рўйхат!$A:$A,'Риск йўналишлари'!$B17,Рўйхат!X:X)</f>
        <v/>
      </c>
      <c r="X17" s="18">
        <f>+SUMIF(Рўйхат!$A:$A,'Риск йўналишлари'!$B17,Рўйхат!Y:Y)</f>
        <v/>
      </c>
      <c r="Y17" s="18">
        <f>+SUMIF(Рўйхат!$A:$A,'Риск йўналишлари'!$B17,Рўйхат!Z:Z)</f>
        <v/>
      </c>
      <c r="Z17" s="17">
        <f>+SUMIF(Рўйхат!$A:$A,'Риск йўналишлари'!$B17,Рўйхат!AA:AA)</f>
        <v/>
      </c>
      <c r="AA17" s="18">
        <f>+SUMIF(Рўйхат!$A:$A,'Риск йўналишлари'!$B17,Рўйхат!AB:AB)</f>
        <v/>
      </c>
      <c r="AB17" s="18">
        <f>+SUMIF(Рўйхат!$A:$A,'Риск йўналишлари'!$B17,Рўйхат!AC:AC)</f>
        <v/>
      </c>
      <c r="AC17" s="18">
        <f>+SUMIF(Рўйхат!$A:$A,'Риск йўналишлари'!$B17,Рўйхат!AD:AD)</f>
        <v/>
      </c>
      <c r="AD17" s="18">
        <f>+SUMIF(Рўйхат!$A:$A,'Риск йўналишлари'!$B17,Рўйхат!AE:AE)</f>
        <v/>
      </c>
      <c r="AE17" s="17">
        <f>+SUMIF(Рўйхат!$A:$A,'Риск йўналишлари'!$B17,Рўйхат!AF:AF)</f>
        <v/>
      </c>
      <c r="AF17" s="18">
        <f>+SUMIF(Рўйхат!$A:$A,'Риск йўналишлари'!$B17,Рўйхат!AG:AG)</f>
        <v/>
      </c>
      <c r="AG17" s="18">
        <f>+SUMIF(Рўйхат!$A:$A,'Риск йўналишлари'!$B17,Рўйхат!AH:AH)</f>
        <v/>
      </c>
      <c r="AH17" s="33">
        <f>+SUMIF(Рўйхат!$A:$A,'Риск йўналишлари'!$B17,Рўйхат!AI:AI)</f>
        <v/>
      </c>
      <c r="AI17" s="19">
        <f>+SUMIF(Рўйхат!$A:$A,'Риск йўналишлари'!$B17,Рўйхат!AJ:AJ)</f>
        <v/>
      </c>
    </row>
    <row r="18">
      <c r="A18" s="15" t="n">
        <v>13</v>
      </c>
      <c r="B18" s="16" t="inlineStr">
        <is>
          <t>Тузатиш киритилган ЭҲФлар бўйича ҚҚСга қайта ҳисобот олинмаган ҳолатлар таҳлили</t>
        </is>
      </c>
      <c r="C18" s="16">
        <f>IFERROR(VLOOKUP(B18,Рўйхат!A:E,5,0),"")</f>
        <v/>
      </c>
      <c r="D18" s="30">
        <f>IFERROR(VLOOKUP(B18,Рўйхат!A:F,6,0),"")</f>
        <v/>
      </c>
      <c r="E18" s="17">
        <f>+SUMIF(Рўйхат!$A:$A,'Риск йўналишлари'!$B18,Рўйхат!G:G)</f>
        <v/>
      </c>
      <c r="F18" s="18">
        <f>+SUMIF(Рўйхат!$A:$A,'Риск йўналишлари'!$B18,Рўйхат!H:H)</f>
        <v/>
      </c>
      <c r="G18" s="18">
        <f>M18</f>
        <v/>
      </c>
      <c r="H18" s="18">
        <f>R18+W18+AB18+AG18</f>
        <v/>
      </c>
      <c r="I18" s="18">
        <f>+SUMIF(Рўйхат!$A:$A,'Риск йўналишлари'!$B18,Рўйхат!J:J)</f>
        <v/>
      </c>
      <c r="J18" s="18">
        <f>+SUMIF(Рўйхат!$A:$A,'Риск йўналишлари'!$B18,Рўйхат!K:K)</f>
        <v/>
      </c>
      <c r="K18" s="17">
        <f>+SUMIF(Рўйхат!$A:$A,'Риск йўналишлари'!$B18,Рўйхат!L:L)</f>
        <v/>
      </c>
      <c r="L18" s="18">
        <f>+SUMIF(Рўйхат!$A:$A,'Риск йўналишлари'!$B18,Рўйхат!M:M)</f>
        <v/>
      </c>
      <c r="M18" s="18">
        <f>+SUMIF(Рўйхат!$A:$A,'Риск йўналишлари'!$B18,Рўйхат!N:N)</f>
        <v/>
      </c>
      <c r="N18" s="18">
        <f>+SUMIF(Рўйхат!$A:$A,'Риск йўналишлари'!$B18,Рўйхат!O:O)</f>
        <v/>
      </c>
      <c r="O18" s="18">
        <f>+SUMIF(Рўйхат!$A:$A,'Риск йўналишлари'!$B18,Рўйхат!P:P)</f>
        <v/>
      </c>
      <c r="P18" s="17">
        <f>+SUMIF(Рўйхат!$A:$A,'Риск йўналишлари'!$B18,Рўйхат!Q:Q)</f>
        <v/>
      </c>
      <c r="Q18" s="18">
        <f>+SUMIF(Рўйхат!$A:$A,'Риск йўналишлари'!$B18,Рўйхат!R:R)</f>
        <v/>
      </c>
      <c r="R18" s="18">
        <f>+SUMIF(Рўйхат!$A:$A,'Риск йўналишлари'!$B18,Рўйхат!S:S)</f>
        <v/>
      </c>
      <c r="S18" s="18">
        <f>+SUMIF(Рўйхат!$A:$A,'Риск йўналишлари'!$B18,Рўйхат!T:T)</f>
        <v/>
      </c>
      <c r="T18" s="18">
        <f>+SUMIF(Рўйхат!$A:$A,'Риск йўналишлари'!$B18,Рўйхат!U:U)</f>
        <v/>
      </c>
      <c r="U18" s="17">
        <f>+SUMIF(Рўйхат!$A:$A,'Риск йўналишлари'!$B18,Рўйхат!V:V)</f>
        <v/>
      </c>
      <c r="V18" s="18">
        <f>+SUMIF(Рўйхат!$A:$A,'Риск йўналишлари'!$B18,Рўйхат!W:W)</f>
        <v/>
      </c>
      <c r="W18" s="18">
        <f>+SUMIF(Рўйхат!$A:$A,'Риск йўналишлари'!$B18,Рўйхат!X:X)</f>
        <v/>
      </c>
      <c r="X18" s="18">
        <f>+SUMIF(Рўйхат!$A:$A,'Риск йўналишлари'!$B18,Рўйхат!Y:Y)</f>
        <v/>
      </c>
      <c r="Y18" s="18">
        <f>+SUMIF(Рўйхат!$A:$A,'Риск йўналишлари'!$B18,Рўйхат!Z:Z)</f>
        <v/>
      </c>
      <c r="Z18" s="17">
        <f>+SUMIF(Рўйхат!$A:$A,'Риск йўналишлари'!$B18,Рўйхат!AA:AA)</f>
        <v/>
      </c>
      <c r="AA18" s="18">
        <f>+SUMIF(Рўйхат!$A:$A,'Риск йўналишлари'!$B18,Рўйхат!AB:AB)</f>
        <v/>
      </c>
      <c r="AB18" s="18">
        <f>+SUMIF(Рўйхат!$A:$A,'Риск йўналишлари'!$B18,Рўйхат!AC:AC)</f>
        <v/>
      </c>
      <c r="AC18" s="18">
        <f>+SUMIF(Рўйхат!$A:$A,'Риск йўналишлари'!$B18,Рўйхат!AD:AD)</f>
        <v/>
      </c>
      <c r="AD18" s="18">
        <f>+SUMIF(Рўйхат!$A:$A,'Риск йўналишлари'!$B18,Рўйхат!AE:AE)</f>
        <v/>
      </c>
      <c r="AE18" s="17">
        <f>+SUMIF(Рўйхат!$A:$A,'Риск йўналишлари'!$B18,Рўйхат!AF:AF)</f>
        <v/>
      </c>
      <c r="AF18" s="18">
        <f>+SUMIF(Рўйхат!$A:$A,'Риск йўналишлари'!$B18,Рўйхат!AG:AG)</f>
        <v/>
      </c>
      <c r="AG18" s="18">
        <f>+SUMIF(Рўйхат!$A:$A,'Риск йўналишлари'!$B18,Рўйхат!AH:AH)</f>
        <v/>
      </c>
      <c r="AH18" s="33">
        <f>+SUMIF(Рўйхат!$A:$A,'Риск йўналишлари'!$B18,Рўйхат!AI:AI)</f>
        <v/>
      </c>
      <c r="AI18" s="19">
        <f>+SUMIF(Рўйхат!$A:$A,'Риск йўналишлари'!$B18,Рўйхат!AJ:AJ)</f>
        <v/>
      </c>
    </row>
    <row r="19">
      <c r="A19" s="15" t="n">
        <v>14</v>
      </c>
      <c r="B19" s="16" t="inlineStr">
        <is>
          <t>Давлат харидларида нарх таҳлили</t>
        </is>
      </c>
      <c r="C19" s="16">
        <f>IFERROR(VLOOKUP(B19,Рўйхат!A:E,5,0),"")</f>
        <v/>
      </c>
      <c r="D19" s="30">
        <f>IFERROR(VLOOKUP(B19,Рўйхат!A:F,6,0),"")</f>
        <v/>
      </c>
      <c r="E19" s="17">
        <f>+SUMIF(Рўйхат!$A:$A,'Риск йўналишлари'!$B19,Рўйхат!G:G)</f>
        <v/>
      </c>
      <c r="F19" s="18">
        <f>+SUMIF(Рўйхат!$A:$A,'Риск йўналишлари'!$B19,Рўйхат!H:H)</f>
        <v/>
      </c>
      <c r="G19" s="18">
        <f>M19</f>
        <v/>
      </c>
      <c r="H19" s="18">
        <f>R19+W19+AB19+AG19</f>
        <v/>
      </c>
      <c r="I19" s="18">
        <f>+SUMIF(Рўйхат!$A:$A,'Риск йўналишлари'!$B19,Рўйхат!J:J)</f>
        <v/>
      </c>
      <c r="J19" s="18">
        <f>+SUMIF(Рўйхат!$A:$A,'Риск йўналишлари'!$B19,Рўйхат!K:K)</f>
        <v/>
      </c>
      <c r="K19" s="17">
        <f>+SUMIF(Рўйхат!$A:$A,'Риск йўналишлари'!$B19,Рўйхат!L:L)</f>
        <v/>
      </c>
      <c r="L19" s="18">
        <f>+SUMIF(Рўйхат!$A:$A,'Риск йўналишлари'!$B19,Рўйхат!M:M)</f>
        <v/>
      </c>
      <c r="M19" s="18">
        <f>+SUMIF(Рўйхат!$A:$A,'Риск йўналишлари'!$B19,Рўйхат!N:N)</f>
        <v/>
      </c>
      <c r="N19" s="18">
        <f>+SUMIF(Рўйхат!$A:$A,'Риск йўналишлари'!$B19,Рўйхат!O:O)</f>
        <v/>
      </c>
      <c r="O19" s="18">
        <f>+SUMIF(Рўйхат!$A:$A,'Риск йўналишлари'!$B19,Рўйхат!P:P)</f>
        <v/>
      </c>
      <c r="P19" s="17">
        <f>+SUMIF(Рўйхат!$A:$A,'Риск йўналишлари'!$B19,Рўйхат!Q:Q)</f>
        <v/>
      </c>
      <c r="Q19" s="18">
        <f>+SUMIF(Рўйхат!$A:$A,'Риск йўналишлари'!$B19,Рўйхат!R:R)</f>
        <v/>
      </c>
      <c r="R19" s="18">
        <f>+SUMIF(Рўйхат!$A:$A,'Риск йўналишлари'!$B19,Рўйхат!S:S)</f>
        <v/>
      </c>
      <c r="S19" s="18">
        <f>+SUMIF(Рўйхат!$A:$A,'Риск йўналишлари'!$B19,Рўйхат!T:T)</f>
        <v/>
      </c>
      <c r="T19" s="18">
        <f>+SUMIF(Рўйхат!$A:$A,'Риск йўналишлари'!$B19,Рўйхат!U:U)</f>
        <v/>
      </c>
      <c r="U19" s="17">
        <f>+SUMIF(Рўйхат!$A:$A,'Риск йўналишлари'!$B19,Рўйхат!V:V)</f>
        <v/>
      </c>
      <c r="V19" s="18">
        <f>+SUMIF(Рўйхат!$A:$A,'Риск йўналишлари'!$B19,Рўйхат!W:W)</f>
        <v/>
      </c>
      <c r="W19" s="18">
        <f>+SUMIF(Рўйхат!$A:$A,'Риск йўналишлари'!$B19,Рўйхат!X:X)</f>
        <v/>
      </c>
      <c r="X19" s="18">
        <f>+SUMIF(Рўйхат!$A:$A,'Риск йўналишлари'!$B19,Рўйхат!Y:Y)</f>
        <v/>
      </c>
      <c r="Y19" s="18">
        <f>+SUMIF(Рўйхат!$A:$A,'Риск йўналишлари'!$B19,Рўйхат!Z:Z)</f>
        <v/>
      </c>
      <c r="Z19" s="17">
        <f>+SUMIF(Рўйхат!$A:$A,'Риск йўналишлари'!$B19,Рўйхат!AA:AA)</f>
        <v/>
      </c>
      <c r="AA19" s="18">
        <f>+SUMIF(Рўйхат!$A:$A,'Риск йўналишлари'!$B19,Рўйхат!AB:AB)</f>
        <v/>
      </c>
      <c r="AB19" s="18">
        <f>+SUMIF(Рўйхат!$A:$A,'Риск йўналишлари'!$B19,Рўйхат!AC:AC)</f>
        <v/>
      </c>
      <c r="AC19" s="18">
        <f>+SUMIF(Рўйхат!$A:$A,'Риск йўналишлари'!$B19,Рўйхат!AD:AD)</f>
        <v/>
      </c>
      <c r="AD19" s="18">
        <f>+SUMIF(Рўйхат!$A:$A,'Риск йўналишлари'!$B19,Рўйхат!AE:AE)</f>
        <v/>
      </c>
      <c r="AE19" s="17">
        <f>+SUMIF(Рўйхат!$A:$A,'Риск йўналишлари'!$B19,Рўйхат!AF:AF)</f>
        <v/>
      </c>
      <c r="AF19" s="18">
        <f>+SUMIF(Рўйхат!$A:$A,'Риск йўналишлари'!$B19,Рўйхат!AG:AG)</f>
        <v/>
      </c>
      <c r="AG19" s="18">
        <f>+SUMIF(Рўйхат!$A:$A,'Риск йўналишлари'!$B19,Рўйхат!AH:AH)</f>
        <v/>
      </c>
      <c r="AH19" s="33">
        <f>+SUMIF(Рўйхат!$A:$A,'Риск йўналишлари'!$B19,Рўйхат!AI:AI)</f>
        <v/>
      </c>
      <c r="AI19" s="19">
        <f>+SUMIF(Рўйхат!$A:$A,'Риск йўналишлари'!$B19,Рўйхат!AJ:AJ)</f>
        <v/>
      </c>
    </row>
    <row r="20">
      <c r="A20" s="15" t="n">
        <v>15</v>
      </c>
      <c r="B20" s="16" t="inlineStr">
        <is>
          <t>Солиқ ҳисоботларида энг кўп ҳисобланган иш ҳақи тўғрисида</t>
        </is>
      </c>
      <c r="C20" s="16">
        <f>IFERROR(VLOOKUP(B20,Рўйхат!A:E,5,0),"")</f>
        <v/>
      </c>
      <c r="D20" s="30">
        <f>IFERROR(VLOOKUP(B20,Рўйхат!A:F,6,0),"")</f>
        <v/>
      </c>
      <c r="E20" s="17">
        <f>+SUMIF(Рўйхат!$A:$A,'Риск йўналишлари'!$B20,Рўйхат!G:G)</f>
        <v/>
      </c>
      <c r="F20" s="18">
        <f>+SUMIF(Рўйхат!$A:$A,'Риск йўналишлари'!$B20,Рўйхат!H:H)</f>
        <v/>
      </c>
      <c r="G20" s="18">
        <f>M20</f>
        <v/>
      </c>
      <c r="H20" s="18">
        <f>R20+W20+AB20+AG20</f>
        <v/>
      </c>
      <c r="I20" s="18">
        <f>+SUMIF(Рўйхат!$A:$A,'Риск йўналишлари'!$B20,Рўйхат!J:J)</f>
        <v/>
      </c>
      <c r="J20" s="18">
        <f>+SUMIF(Рўйхат!$A:$A,'Риск йўналишлари'!$B20,Рўйхат!K:K)</f>
        <v/>
      </c>
      <c r="K20" s="17">
        <f>+SUMIF(Рўйхат!$A:$A,'Риск йўналишлари'!$B20,Рўйхат!L:L)</f>
        <v/>
      </c>
      <c r="L20" s="18">
        <f>+SUMIF(Рўйхат!$A:$A,'Риск йўналишлари'!$B20,Рўйхат!M:M)</f>
        <v/>
      </c>
      <c r="M20" s="18">
        <f>+SUMIF(Рўйхат!$A:$A,'Риск йўналишлари'!$B20,Рўйхат!N:N)</f>
        <v/>
      </c>
      <c r="N20" s="18">
        <f>+SUMIF(Рўйхат!$A:$A,'Риск йўналишлари'!$B20,Рўйхат!O:O)</f>
        <v/>
      </c>
      <c r="O20" s="18">
        <f>+SUMIF(Рўйхат!$A:$A,'Риск йўналишлари'!$B20,Рўйхат!P:P)</f>
        <v/>
      </c>
      <c r="P20" s="17">
        <f>+SUMIF(Рўйхат!$A:$A,'Риск йўналишлари'!$B20,Рўйхат!Q:Q)</f>
        <v/>
      </c>
      <c r="Q20" s="18">
        <f>+SUMIF(Рўйхат!$A:$A,'Риск йўналишлари'!$B20,Рўйхат!R:R)</f>
        <v/>
      </c>
      <c r="R20" s="18">
        <f>+SUMIF(Рўйхат!$A:$A,'Риск йўналишлари'!$B20,Рўйхат!S:S)</f>
        <v/>
      </c>
      <c r="S20" s="18">
        <f>+SUMIF(Рўйхат!$A:$A,'Риск йўналишлари'!$B20,Рўйхат!T:T)</f>
        <v/>
      </c>
      <c r="T20" s="18">
        <f>+SUMIF(Рўйхат!$A:$A,'Риск йўналишлари'!$B20,Рўйхат!U:U)</f>
        <v/>
      </c>
      <c r="U20" s="17">
        <f>+SUMIF(Рўйхат!$A:$A,'Риск йўналишлари'!$B20,Рўйхат!V:V)</f>
        <v/>
      </c>
      <c r="V20" s="18">
        <f>+SUMIF(Рўйхат!$A:$A,'Риск йўналишлари'!$B20,Рўйхат!W:W)</f>
        <v/>
      </c>
      <c r="W20" s="18">
        <f>+SUMIF(Рўйхат!$A:$A,'Риск йўналишлари'!$B20,Рўйхат!X:X)</f>
        <v/>
      </c>
      <c r="X20" s="18">
        <f>+SUMIF(Рўйхат!$A:$A,'Риск йўналишлари'!$B20,Рўйхат!Y:Y)</f>
        <v/>
      </c>
      <c r="Y20" s="18">
        <f>+SUMIF(Рўйхат!$A:$A,'Риск йўналишлари'!$B20,Рўйхат!Z:Z)</f>
        <v/>
      </c>
      <c r="Z20" s="17">
        <f>+SUMIF(Рўйхат!$A:$A,'Риск йўналишлари'!$B20,Рўйхат!AA:AA)</f>
        <v/>
      </c>
      <c r="AA20" s="18">
        <f>+SUMIF(Рўйхат!$A:$A,'Риск йўналишлари'!$B20,Рўйхат!AB:AB)</f>
        <v/>
      </c>
      <c r="AB20" s="18">
        <f>+SUMIF(Рўйхат!$A:$A,'Риск йўналишлари'!$B20,Рўйхат!AC:AC)</f>
        <v/>
      </c>
      <c r="AC20" s="18">
        <f>+SUMIF(Рўйхат!$A:$A,'Риск йўналишлари'!$B20,Рўйхат!AD:AD)</f>
        <v/>
      </c>
      <c r="AD20" s="18">
        <f>+SUMIF(Рўйхат!$A:$A,'Риск йўналишлари'!$B20,Рўйхат!AE:AE)</f>
        <v/>
      </c>
      <c r="AE20" s="17">
        <f>+SUMIF(Рўйхат!$A:$A,'Риск йўналишлари'!$B20,Рўйхат!AF:AF)</f>
        <v/>
      </c>
      <c r="AF20" s="18">
        <f>+SUMIF(Рўйхат!$A:$A,'Риск йўналишлари'!$B20,Рўйхат!AG:AG)</f>
        <v/>
      </c>
      <c r="AG20" s="18">
        <f>+SUMIF(Рўйхат!$A:$A,'Риск йўналишлари'!$B20,Рўйхат!AH:AH)</f>
        <v/>
      </c>
      <c r="AH20" s="33">
        <f>+SUMIF(Рўйхат!$A:$A,'Риск йўналишлари'!$B20,Рўйхат!AI:AI)</f>
        <v/>
      </c>
      <c r="AI20" s="19">
        <f>+SUMIF(Рўйхат!$A:$A,'Риск йўналишлари'!$B20,Рўйхат!AJ:AJ)</f>
        <v/>
      </c>
    </row>
    <row r="21">
      <c r="A21" s="15" t="n">
        <v>16</v>
      </c>
      <c r="B21" s="16" t="inlineStr">
        <is>
          <t>Рейтинг бахолашда ЯММТ орқали олинган ишчи ходимлар сони солиқ ҳисоботлари билан солиштирмаси</t>
        </is>
      </c>
      <c r="C21" s="16">
        <f>IFERROR(VLOOKUP(B21,Рўйхат!A:E,5,0),"")</f>
        <v/>
      </c>
      <c r="D21" s="30">
        <f>IFERROR(VLOOKUP(B21,Рўйхат!A:F,6,0),"")</f>
        <v/>
      </c>
      <c r="E21" s="17">
        <f>+SUMIF(Рўйхат!$A:$A,'Риск йўналишлари'!$B21,Рўйхат!G:G)</f>
        <v/>
      </c>
      <c r="F21" s="18">
        <f>+SUMIF(Рўйхат!$A:$A,'Риск йўналишлари'!$B21,Рўйхат!H:H)</f>
        <v/>
      </c>
      <c r="G21" s="18">
        <f>M21</f>
        <v/>
      </c>
      <c r="H21" s="18">
        <f>R21+W21+AB21+AG21</f>
        <v/>
      </c>
      <c r="I21" s="18">
        <f>+SUMIF(Рўйхат!$A:$A,'Риск йўналишлари'!$B21,Рўйхат!J:J)</f>
        <v/>
      </c>
      <c r="J21" s="18">
        <f>+SUMIF(Рўйхат!$A:$A,'Риск йўналишлари'!$B21,Рўйхат!K:K)</f>
        <v/>
      </c>
      <c r="K21" s="17">
        <f>+SUMIF(Рўйхат!$A:$A,'Риск йўналишлари'!$B21,Рўйхат!L:L)</f>
        <v/>
      </c>
      <c r="L21" s="18">
        <f>+SUMIF(Рўйхат!$A:$A,'Риск йўналишлари'!$B21,Рўйхат!M:M)</f>
        <v/>
      </c>
      <c r="M21" s="18">
        <f>+SUMIF(Рўйхат!$A:$A,'Риск йўналишлари'!$B21,Рўйхат!N:N)</f>
        <v/>
      </c>
      <c r="N21" s="18">
        <f>+SUMIF(Рўйхат!$A:$A,'Риск йўналишлари'!$B21,Рўйхат!O:O)</f>
        <v/>
      </c>
      <c r="O21" s="18">
        <f>+SUMIF(Рўйхат!$A:$A,'Риск йўналишлари'!$B21,Рўйхат!P:P)</f>
        <v/>
      </c>
      <c r="P21" s="17">
        <f>+SUMIF(Рўйхат!$A:$A,'Риск йўналишлари'!$B21,Рўйхат!Q:Q)</f>
        <v/>
      </c>
      <c r="Q21" s="18">
        <f>+SUMIF(Рўйхат!$A:$A,'Риск йўналишлари'!$B21,Рўйхат!R:R)</f>
        <v/>
      </c>
      <c r="R21" s="18">
        <f>+SUMIF(Рўйхат!$A:$A,'Риск йўналишлари'!$B21,Рўйхат!S:S)</f>
        <v/>
      </c>
      <c r="S21" s="18">
        <f>+SUMIF(Рўйхат!$A:$A,'Риск йўналишлари'!$B21,Рўйхат!T:T)</f>
        <v/>
      </c>
      <c r="T21" s="18">
        <f>+SUMIF(Рўйхат!$A:$A,'Риск йўналишлари'!$B21,Рўйхат!U:U)</f>
        <v/>
      </c>
      <c r="U21" s="17">
        <f>+SUMIF(Рўйхат!$A:$A,'Риск йўналишлари'!$B21,Рўйхат!V:V)</f>
        <v/>
      </c>
      <c r="V21" s="18">
        <f>+SUMIF(Рўйхат!$A:$A,'Риск йўналишлари'!$B21,Рўйхат!W:W)</f>
        <v/>
      </c>
      <c r="W21" s="18">
        <f>+SUMIF(Рўйхат!$A:$A,'Риск йўналишлари'!$B21,Рўйхат!X:X)</f>
        <v/>
      </c>
      <c r="X21" s="18">
        <f>+SUMIF(Рўйхат!$A:$A,'Риск йўналишлари'!$B21,Рўйхат!Y:Y)</f>
        <v/>
      </c>
      <c r="Y21" s="18">
        <f>+SUMIF(Рўйхат!$A:$A,'Риск йўналишлари'!$B21,Рўйхат!Z:Z)</f>
        <v/>
      </c>
      <c r="Z21" s="17">
        <f>+SUMIF(Рўйхат!$A:$A,'Риск йўналишлари'!$B21,Рўйхат!AA:AA)</f>
        <v/>
      </c>
      <c r="AA21" s="18">
        <f>+SUMIF(Рўйхат!$A:$A,'Риск йўналишлари'!$B21,Рўйхат!AB:AB)</f>
        <v/>
      </c>
      <c r="AB21" s="18">
        <f>+SUMIF(Рўйхат!$A:$A,'Риск йўналишлари'!$B21,Рўйхат!AC:AC)</f>
        <v/>
      </c>
      <c r="AC21" s="18">
        <f>+SUMIF(Рўйхат!$A:$A,'Риск йўналишлари'!$B21,Рўйхат!AD:AD)</f>
        <v/>
      </c>
      <c r="AD21" s="18">
        <f>+SUMIF(Рўйхат!$A:$A,'Риск йўналишлари'!$B21,Рўйхат!AE:AE)</f>
        <v/>
      </c>
      <c r="AE21" s="17">
        <f>+SUMIF(Рўйхат!$A:$A,'Риск йўналишлари'!$B21,Рўйхат!AF:AF)</f>
        <v/>
      </c>
      <c r="AF21" s="18">
        <f>+SUMIF(Рўйхат!$A:$A,'Риск йўналишлари'!$B21,Рўйхат!AG:AG)</f>
        <v/>
      </c>
      <c r="AG21" s="18">
        <f>+SUMIF(Рўйхат!$A:$A,'Риск йўналишлари'!$B21,Рўйхат!AH:AH)</f>
        <v/>
      </c>
      <c r="AH21" s="33">
        <f>+SUMIF(Рўйхат!$A:$A,'Риск йўналишлари'!$B21,Рўйхат!AI:AI)</f>
        <v/>
      </c>
      <c r="AI21" s="19">
        <f>+SUMIF(Рўйхат!$A:$A,'Риск йўналишлари'!$B21,Рўйхат!AJ:AJ)</f>
        <v/>
      </c>
    </row>
    <row r="22">
      <c r="A22" s="15" t="n">
        <v>17</v>
      </c>
      <c r="B22" s="16" t="inlineStr">
        <is>
          <t>Давлат харидларида манфаалар тўқнашуви (Ғазначилик маълумотига асосан AI)</t>
        </is>
      </c>
      <c r="C22" s="16">
        <f>IFERROR(VLOOKUP(B22,Рўйхат!A:E,5,0),"")</f>
        <v/>
      </c>
      <c r="D22" s="30">
        <f>IFERROR(VLOOKUP(B22,Рўйхат!A:F,6,0),"")</f>
        <v/>
      </c>
      <c r="E22" s="17">
        <f>+SUMIF(Рўйхат!$A:$A,'Риск йўналишлари'!$B22,Рўйхат!G:G)</f>
        <v/>
      </c>
      <c r="F22" s="18">
        <f>+SUMIF(Рўйхат!$A:$A,'Риск йўналишлари'!$B22,Рўйхат!H:H)</f>
        <v/>
      </c>
      <c r="G22" s="18">
        <f>M22</f>
        <v/>
      </c>
      <c r="H22" s="18">
        <f>R22+W22+AB22+AG22</f>
        <v/>
      </c>
      <c r="I22" s="18">
        <f>+SUMIF(Рўйхат!$A:$A,'Риск йўналишлари'!$B22,Рўйхат!J:J)</f>
        <v/>
      </c>
      <c r="J22" s="18">
        <f>+SUMIF(Рўйхат!$A:$A,'Риск йўналишлари'!$B22,Рўйхат!K:K)</f>
        <v/>
      </c>
      <c r="K22" s="17">
        <f>+SUMIF(Рўйхат!$A:$A,'Риск йўналишлари'!$B22,Рўйхат!L:L)</f>
        <v/>
      </c>
      <c r="L22" s="18">
        <f>+SUMIF(Рўйхат!$A:$A,'Риск йўналишлари'!$B22,Рўйхат!M:M)</f>
        <v/>
      </c>
      <c r="M22" s="18">
        <f>+SUMIF(Рўйхат!$A:$A,'Риск йўналишлари'!$B22,Рўйхат!N:N)</f>
        <v/>
      </c>
      <c r="N22" s="18">
        <f>+SUMIF(Рўйхат!$A:$A,'Риск йўналишлари'!$B22,Рўйхат!O:O)</f>
        <v/>
      </c>
      <c r="O22" s="18">
        <f>+SUMIF(Рўйхат!$A:$A,'Риск йўналишлари'!$B22,Рўйхат!P:P)</f>
        <v/>
      </c>
      <c r="P22" s="17">
        <f>+SUMIF(Рўйхат!$A:$A,'Риск йўналишлари'!$B22,Рўйхат!Q:Q)</f>
        <v/>
      </c>
      <c r="Q22" s="18">
        <f>+SUMIF(Рўйхат!$A:$A,'Риск йўналишлари'!$B22,Рўйхат!R:R)</f>
        <v/>
      </c>
      <c r="R22" s="18">
        <f>+SUMIF(Рўйхат!$A:$A,'Риск йўналишлари'!$B22,Рўйхат!S:S)</f>
        <v/>
      </c>
      <c r="S22" s="18">
        <f>+SUMIF(Рўйхат!$A:$A,'Риск йўналишлари'!$B22,Рўйхат!T:T)</f>
        <v/>
      </c>
      <c r="T22" s="18">
        <f>+SUMIF(Рўйхат!$A:$A,'Риск йўналишлари'!$B22,Рўйхат!U:U)</f>
        <v/>
      </c>
      <c r="U22" s="17">
        <f>+SUMIF(Рўйхат!$A:$A,'Риск йўналишлари'!$B22,Рўйхат!V:V)</f>
        <v/>
      </c>
      <c r="V22" s="18">
        <f>+SUMIF(Рўйхат!$A:$A,'Риск йўналишлари'!$B22,Рўйхат!W:W)</f>
        <v/>
      </c>
      <c r="W22" s="18">
        <f>+SUMIF(Рўйхат!$A:$A,'Риск йўналишлари'!$B22,Рўйхат!X:X)</f>
        <v/>
      </c>
      <c r="X22" s="18">
        <f>+SUMIF(Рўйхат!$A:$A,'Риск йўналишлари'!$B22,Рўйхат!Y:Y)</f>
        <v/>
      </c>
      <c r="Y22" s="18">
        <f>+SUMIF(Рўйхат!$A:$A,'Риск йўналишлари'!$B22,Рўйхат!Z:Z)</f>
        <v/>
      </c>
      <c r="Z22" s="17">
        <f>+SUMIF(Рўйхат!$A:$A,'Риск йўналишлари'!$B22,Рўйхат!AA:AA)</f>
        <v/>
      </c>
      <c r="AA22" s="18">
        <f>+SUMIF(Рўйхат!$A:$A,'Риск йўналишлари'!$B22,Рўйхат!AB:AB)</f>
        <v/>
      </c>
      <c r="AB22" s="18">
        <f>+SUMIF(Рўйхат!$A:$A,'Риск йўналишлари'!$B22,Рўйхат!AC:AC)</f>
        <v/>
      </c>
      <c r="AC22" s="18">
        <f>+SUMIF(Рўйхат!$A:$A,'Риск йўналишлари'!$B22,Рўйхат!AD:AD)</f>
        <v/>
      </c>
      <c r="AD22" s="18">
        <f>+SUMIF(Рўйхат!$A:$A,'Риск йўналишлари'!$B22,Рўйхат!AE:AE)</f>
        <v/>
      </c>
      <c r="AE22" s="17">
        <f>+SUMIF(Рўйхат!$A:$A,'Риск йўналишлари'!$B22,Рўйхат!AF:AF)</f>
        <v/>
      </c>
      <c r="AF22" s="18">
        <f>+SUMIF(Рўйхат!$A:$A,'Риск йўналишлари'!$B22,Рўйхат!AG:AG)</f>
        <v/>
      </c>
      <c r="AG22" s="18">
        <f>+SUMIF(Рўйхат!$A:$A,'Риск йўналишлари'!$B22,Рўйхат!AH:AH)</f>
        <v/>
      </c>
      <c r="AH22" s="33">
        <f>+SUMIF(Рўйхат!$A:$A,'Риск йўналишлари'!$B22,Рўйхат!AI:AI)</f>
        <v/>
      </c>
      <c r="AI22" s="19">
        <f>+SUMIF(Рўйхат!$A:$A,'Риск йўналишлари'!$B22,Рўйхат!AJ:AJ)</f>
        <v/>
      </c>
    </row>
    <row r="23">
      <c r="A23" s="15" t="n">
        <v>18</v>
      </c>
      <c r="B23" s="16" t="inlineStr">
        <is>
          <t>Давлат улуши мавжуд ташкилотларида ишловчиларнинг 4 ва ундан ортиқ даромад манбаига эга фуқаролар</t>
        </is>
      </c>
      <c r="C23" s="16">
        <f>IFERROR(VLOOKUP(B23,Рўйхат!A:E,5,0),"")</f>
        <v/>
      </c>
      <c r="D23" s="30">
        <f>IFERROR(VLOOKUP(B23,Рўйхат!A:F,6,0),"")</f>
        <v/>
      </c>
      <c r="E23" s="17">
        <f>+SUMIF(Рўйхат!$A:$A,'Риск йўналишлари'!$B23,Рўйхат!G:G)</f>
        <v/>
      </c>
      <c r="F23" s="18">
        <f>+SUMIF(Рўйхат!$A:$A,'Риск йўналишлари'!$B23,Рўйхат!H:H)</f>
        <v/>
      </c>
      <c r="G23" s="18">
        <f>M23</f>
        <v/>
      </c>
      <c r="H23" s="18">
        <f>R23+W23+AB23+AG23</f>
        <v/>
      </c>
      <c r="I23" s="18">
        <f>+SUMIF(Рўйхат!$A:$A,'Риск йўналишлари'!$B23,Рўйхат!J:J)</f>
        <v/>
      </c>
      <c r="J23" s="18">
        <f>+SUMIF(Рўйхат!$A:$A,'Риск йўналишлари'!$B23,Рўйхат!K:K)</f>
        <v/>
      </c>
      <c r="K23" s="17">
        <f>+SUMIF(Рўйхат!$A:$A,'Риск йўналишлари'!$B23,Рўйхат!L:L)</f>
        <v/>
      </c>
      <c r="L23" s="18">
        <f>+SUMIF(Рўйхат!$A:$A,'Риск йўналишлари'!$B23,Рўйхат!M:M)</f>
        <v/>
      </c>
      <c r="M23" s="18">
        <f>+SUMIF(Рўйхат!$A:$A,'Риск йўналишлари'!$B23,Рўйхат!N:N)</f>
        <v/>
      </c>
      <c r="N23" s="18">
        <f>+SUMIF(Рўйхат!$A:$A,'Риск йўналишлари'!$B23,Рўйхат!O:O)</f>
        <v/>
      </c>
      <c r="O23" s="18">
        <f>+SUMIF(Рўйхат!$A:$A,'Риск йўналишлари'!$B23,Рўйхат!P:P)</f>
        <v/>
      </c>
      <c r="P23" s="17">
        <f>+SUMIF(Рўйхат!$A:$A,'Риск йўналишлари'!$B23,Рўйхат!Q:Q)</f>
        <v/>
      </c>
      <c r="Q23" s="18">
        <f>+SUMIF(Рўйхат!$A:$A,'Риск йўналишлари'!$B23,Рўйхат!R:R)</f>
        <v/>
      </c>
      <c r="R23" s="18">
        <f>+SUMIF(Рўйхат!$A:$A,'Риск йўналишлари'!$B23,Рўйхат!S:S)</f>
        <v/>
      </c>
      <c r="S23" s="18">
        <f>+SUMIF(Рўйхат!$A:$A,'Риск йўналишлари'!$B23,Рўйхат!T:T)</f>
        <v/>
      </c>
      <c r="T23" s="18">
        <f>+SUMIF(Рўйхат!$A:$A,'Риск йўналишлари'!$B23,Рўйхат!U:U)</f>
        <v/>
      </c>
      <c r="U23" s="17">
        <f>+SUMIF(Рўйхат!$A:$A,'Риск йўналишлари'!$B23,Рўйхат!V:V)</f>
        <v/>
      </c>
      <c r="V23" s="18">
        <f>+SUMIF(Рўйхат!$A:$A,'Риск йўналишлари'!$B23,Рўйхат!W:W)</f>
        <v/>
      </c>
      <c r="W23" s="18">
        <f>+SUMIF(Рўйхат!$A:$A,'Риск йўналишлари'!$B23,Рўйхат!X:X)</f>
        <v/>
      </c>
      <c r="X23" s="18">
        <f>+SUMIF(Рўйхат!$A:$A,'Риск йўналишлари'!$B23,Рўйхат!Y:Y)</f>
        <v/>
      </c>
      <c r="Y23" s="18">
        <f>+SUMIF(Рўйхат!$A:$A,'Риск йўналишлари'!$B23,Рўйхат!Z:Z)</f>
        <v/>
      </c>
      <c r="Z23" s="17">
        <f>+SUMIF(Рўйхат!$A:$A,'Риск йўналишлари'!$B23,Рўйхат!AA:AA)</f>
        <v/>
      </c>
      <c r="AA23" s="18">
        <f>+SUMIF(Рўйхат!$A:$A,'Риск йўналишлари'!$B23,Рўйхат!AB:AB)</f>
        <v/>
      </c>
      <c r="AB23" s="18">
        <f>+SUMIF(Рўйхат!$A:$A,'Риск йўналишлари'!$B23,Рўйхат!AC:AC)</f>
        <v/>
      </c>
      <c r="AC23" s="18">
        <f>+SUMIF(Рўйхат!$A:$A,'Риск йўналишлари'!$B23,Рўйхат!AD:AD)</f>
        <v/>
      </c>
      <c r="AD23" s="18">
        <f>+SUMIF(Рўйхат!$A:$A,'Риск йўналишлари'!$B23,Рўйхат!AE:AE)</f>
        <v/>
      </c>
      <c r="AE23" s="17">
        <f>+SUMIF(Рўйхат!$A:$A,'Риск йўналишлари'!$B23,Рўйхат!AF:AF)</f>
        <v/>
      </c>
      <c r="AF23" s="18">
        <f>+SUMIF(Рўйхат!$A:$A,'Риск йўналишлари'!$B23,Рўйхат!AG:AG)</f>
        <v/>
      </c>
      <c r="AG23" s="18">
        <f>+SUMIF(Рўйхат!$A:$A,'Риск йўналишлари'!$B23,Рўйхат!AH:AH)</f>
        <v/>
      </c>
      <c r="AH23" s="33">
        <f>+SUMIF(Рўйхат!$A:$A,'Риск йўналишлари'!$B23,Рўйхат!AI:AI)</f>
        <v/>
      </c>
      <c r="AI23" s="19">
        <f>+SUMIF(Рўйхат!$A:$A,'Риск йўналишлари'!$B23,Рўйхат!AJ:AJ)</f>
        <v/>
      </c>
    </row>
    <row r="24">
      <c r="A24" s="15" t="n">
        <v>19</v>
      </c>
      <c r="B24" s="16" t="inlineStr">
        <is>
          <t>Давлат харидларида манфаатлар тўқнашуви</t>
        </is>
      </c>
      <c r="C24" s="16">
        <f>IFERROR(VLOOKUP(B24,Рўйхат!A:E,5,0),"")</f>
        <v/>
      </c>
      <c r="D24" s="30">
        <f>IFERROR(VLOOKUP(B24,Рўйхат!A:F,6,0),"")</f>
        <v/>
      </c>
      <c r="E24" s="17">
        <f>+SUMIF(Рўйхат!$A:$A,'Риск йўналишлари'!$B24,Рўйхат!G:G)</f>
        <v/>
      </c>
      <c r="F24" s="18">
        <f>+SUMIF(Рўйхат!$A:$A,'Риск йўналишлари'!$B24,Рўйхат!H:H)</f>
        <v/>
      </c>
      <c r="G24" s="18">
        <f>M24</f>
        <v/>
      </c>
      <c r="H24" s="18">
        <f>R24+W24+AB24+AG24</f>
        <v/>
      </c>
      <c r="I24" s="18">
        <f>+SUMIF(Рўйхат!$A:$A,'Риск йўналишлари'!$B24,Рўйхат!J:J)</f>
        <v/>
      </c>
      <c r="J24" s="18">
        <f>+SUMIF(Рўйхат!$A:$A,'Риск йўналишлари'!$B24,Рўйхат!K:K)</f>
        <v/>
      </c>
      <c r="K24" s="17">
        <f>+SUMIF(Рўйхат!$A:$A,'Риск йўналишлари'!$B24,Рўйхат!L:L)</f>
        <v/>
      </c>
      <c r="L24" s="18">
        <f>+SUMIF(Рўйхат!$A:$A,'Риск йўналишлари'!$B24,Рўйхат!M:M)</f>
        <v/>
      </c>
      <c r="M24" s="18">
        <f>+SUMIF(Рўйхат!$A:$A,'Риск йўналишлари'!$B24,Рўйхат!N:N)</f>
        <v/>
      </c>
      <c r="N24" s="18">
        <f>+SUMIF(Рўйхат!$A:$A,'Риск йўналишлари'!$B24,Рўйхат!O:O)</f>
        <v/>
      </c>
      <c r="O24" s="18">
        <f>+SUMIF(Рўйхат!$A:$A,'Риск йўналишлари'!$B24,Рўйхат!P:P)</f>
        <v/>
      </c>
      <c r="P24" s="17">
        <f>+SUMIF(Рўйхат!$A:$A,'Риск йўналишлари'!$B24,Рўйхат!Q:Q)</f>
        <v/>
      </c>
      <c r="Q24" s="18">
        <f>+SUMIF(Рўйхат!$A:$A,'Риск йўналишлари'!$B24,Рўйхат!R:R)</f>
        <v/>
      </c>
      <c r="R24" s="18">
        <f>+SUMIF(Рўйхат!$A:$A,'Риск йўналишлари'!$B24,Рўйхат!S:S)</f>
        <v/>
      </c>
      <c r="S24" s="18">
        <f>+SUMIF(Рўйхат!$A:$A,'Риск йўналишлари'!$B24,Рўйхат!T:T)</f>
        <v/>
      </c>
      <c r="T24" s="18">
        <f>+SUMIF(Рўйхат!$A:$A,'Риск йўналишлари'!$B24,Рўйхат!U:U)</f>
        <v/>
      </c>
      <c r="U24" s="17">
        <f>+SUMIF(Рўйхат!$A:$A,'Риск йўналишлари'!$B24,Рўйхат!V:V)</f>
        <v/>
      </c>
      <c r="V24" s="18">
        <f>+SUMIF(Рўйхат!$A:$A,'Риск йўналишлари'!$B24,Рўйхат!W:W)</f>
        <v/>
      </c>
      <c r="W24" s="18">
        <f>+SUMIF(Рўйхат!$A:$A,'Риск йўналишлари'!$B24,Рўйхат!X:X)</f>
        <v/>
      </c>
      <c r="X24" s="18">
        <f>+SUMIF(Рўйхат!$A:$A,'Риск йўналишлари'!$B24,Рўйхат!Y:Y)</f>
        <v/>
      </c>
      <c r="Y24" s="18">
        <f>+SUMIF(Рўйхат!$A:$A,'Риск йўналишлари'!$B24,Рўйхат!Z:Z)</f>
        <v/>
      </c>
      <c r="Z24" s="17">
        <f>+SUMIF(Рўйхат!$A:$A,'Риск йўналишлари'!$B24,Рўйхат!AA:AA)</f>
        <v/>
      </c>
      <c r="AA24" s="18">
        <f>+SUMIF(Рўйхат!$A:$A,'Риск йўналишлари'!$B24,Рўйхат!AB:AB)</f>
        <v/>
      </c>
      <c r="AB24" s="18">
        <f>+SUMIF(Рўйхат!$A:$A,'Риск йўналишлари'!$B24,Рўйхат!AC:AC)</f>
        <v/>
      </c>
      <c r="AC24" s="18">
        <f>+SUMIF(Рўйхат!$A:$A,'Риск йўналишлари'!$B24,Рўйхат!AD:AD)</f>
        <v/>
      </c>
      <c r="AD24" s="18">
        <f>+SUMIF(Рўйхат!$A:$A,'Риск йўналишлари'!$B24,Рўйхат!AE:AE)</f>
        <v/>
      </c>
      <c r="AE24" s="17">
        <f>+SUMIF(Рўйхат!$A:$A,'Риск йўналишлари'!$B24,Рўйхат!AF:AF)</f>
        <v/>
      </c>
      <c r="AF24" s="18">
        <f>+SUMIF(Рўйхат!$A:$A,'Риск йўналишлари'!$B24,Рўйхат!AG:AG)</f>
        <v/>
      </c>
      <c r="AG24" s="18">
        <f>+SUMIF(Рўйхат!$A:$A,'Риск йўналишлари'!$B24,Рўйхат!AH:AH)</f>
        <v/>
      </c>
      <c r="AH24" s="33">
        <f>+SUMIF(Рўйхат!$A:$A,'Риск йўналишлари'!$B24,Рўйхат!AI:AI)</f>
        <v/>
      </c>
      <c r="AI24" s="19">
        <f>+SUMIF(Рўйхат!$A:$A,'Риск йўналишлари'!$B24,Рўйхат!AJ:AJ)</f>
        <v/>
      </c>
    </row>
    <row r="25">
      <c r="A25" s="15" t="n">
        <v>20</v>
      </c>
      <c r="B25" s="16" t="inlineStr">
        <is>
          <t>Рейтинг бахолашда бир транспорт воситасини 2 ва ундан ортиқ ҳисобга олиш</t>
        </is>
      </c>
      <c r="C25" s="16">
        <f>IFERROR(VLOOKUP(B25,Рўйхат!A:E,5,0),"")</f>
        <v/>
      </c>
      <c r="D25" s="30">
        <f>IFERROR(VLOOKUP(B25,Рўйхат!A:F,6,0),"")</f>
        <v/>
      </c>
      <c r="E25" s="17">
        <f>+SUMIF(Рўйхат!$A:$A,'Риск йўналишлари'!$B25,Рўйхат!G:G)</f>
        <v/>
      </c>
      <c r="F25" s="18">
        <f>+SUMIF(Рўйхат!$A:$A,'Риск йўналишлари'!$B25,Рўйхат!H:H)</f>
        <v/>
      </c>
      <c r="G25" s="18">
        <f>M25</f>
        <v/>
      </c>
      <c r="H25" s="18">
        <f>R25+W25+AB25+AG25</f>
        <v/>
      </c>
      <c r="I25" s="18">
        <f>+SUMIF(Рўйхат!$A:$A,'Риск йўналишлари'!$B25,Рўйхат!J:J)</f>
        <v/>
      </c>
      <c r="J25" s="18">
        <f>+SUMIF(Рўйхат!$A:$A,'Риск йўналишлари'!$B25,Рўйхат!K:K)</f>
        <v/>
      </c>
      <c r="K25" s="17">
        <f>+SUMIF(Рўйхат!$A:$A,'Риск йўналишлари'!$B25,Рўйхат!L:L)</f>
        <v/>
      </c>
      <c r="L25" s="18">
        <f>+SUMIF(Рўйхат!$A:$A,'Риск йўналишлари'!$B25,Рўйхат!M:M)</f>
        <v/>
      </c>
      <c r="M25" s="18">
        <f>+SUMIF(Рўйхат!$A:$A,'Риск йўналишлари'!$B25,Рўйхат!N:N)</f>
        <v/>
      </c>
      <c r="N25" s="18">
        <f>+SUMIF(Рўйхат!$A:$A,'Риск йўналишлари'!$B25,Рўйхат!O:O)</f>
        <v/>
      </c>
      <c r="O25" s="18">
        <f>+SUMIF(Рўйхат!$A:$A,'Риск йўналишлари'!$B25,Рўйхат!P:P)</f>
        <v/>
      </c>
      <c r="P25" s="17">
        <f>+SUMIF(Рўйхат!$A:$A,'Риск йўналишлари'!$B25,Рўйхат!Q:Q)</f>
        <v/>
      </c>
      <c r="Q25" s="18">
        <f>+SUMIF(Рўйхат!$A:$A,'Риск йўналишлари'!$B25,Рўйхат!R:R)</f>
        <v/>
      </c>
      <c r="R25" s="18">
        <f>+SUMIF(Рўйхат!$A:$A,'Риск йўналишлари'!$B25,Рўйхат!S:S)</f>
        <v/>
      </c>
      <c r="S25" s="18">
        <f>+SUMIF(Рўйхат!$A:$A,'Риск йўналишлари'!$B25,Рўйхат!T:T)</f>
        <v/>
      </c>
      <c r="T25" s="18">
        <f>+SUMIF(Рўйхат!$A:$A,'Риск йўналишлари'!$B25,Рўйхат!U:U)</f>
        <v/>
      </c>
      <c r="U25" s="17">
        <f>+SUMIF(Рўйхат!$A:$A,'Риск йўналишлари'!$B25,Рўйхат!V:V)</f>
        <v/>
      </c>
      <c r="V25" s="18">
        <f>+SUMIF(Рўйхат!$A:$A,'Риск йўналишлари'!$B25,Рўйхат!W:W)</f>
        <v/>
      </c>
      <c r="W25" s="18">
        <f>+SUMIF(Рўйхат!$A:$A,'Риск йўналишлари'!$B25,Рўйхат!X:X)</f>
        <v/>
      </c>
      <c r="X25" s="18">
        <f>+SUMIF(Рўйхат!$A:$A,'Риск йўналишлари'!$B25,Рўйхат!Y:Y)</f>
        <v/>
      </c>
      <c r="Y25" s="18">
        <f>+SUMIF(Рўйхат!$A:$A,'Риск йўналишлари'!$B25,Рўйхат!Z:Z)</f>
        <v/>
      </c>
      <c r="Z25" s="17">
        <f>+SUMIF(Рўйхат!$A:$A,'Риск йўналишлари'!$B25,Рўйхат!AA:AA)</f>
        <v/>
      </c>
      <c r="AA25" s="18">
        <f>+SUMIF(Рўйхат!$A:$A,'Риск йўналишлари'!$B25,Рўйхат!AB:AB)</f>
        <v/>
      </c>
      <c r="AB25" s="18">
        <f>+SUMIF(Рўйхат!$A:$A,'Риск йўналишлари'!$B25,Рўйхат!AC:AC)</f>
        <v/>
      </c>
      <c r="AC25" s="18">
        <f>+SUMIF(Рўйхат!$A:$A,'Риск йўналишлари'!$B25,Рўйхат!AD:AD)</f>
        <v/>
      </c>
      <c r="AD25" s="18">
        <f>+SUMIF(Рўйхат!$A:$A,'Риск йўналишлари'!$B25,Рўйхат!AE:AE)</f>
        <v/>
      </c>
      <c r="AE25" s="17">
        <f>+SUMIF(Рўйхат!$A:$A,'Риск йўналишлари'!$B25,Рўйхат!AF:AF)</f>
        <v/>
      </c>
      <c r="AF25" s="18">
        <f>+SUMIF(Рўйхат!$A:$A,'Риск йўналишлари'!$B25,Рўйхат!AG:AG)</f>
        <v/>
      </c>
      <c r="AG25" s="18">
        <f>+SUMIF(Рўйхат!$A:$A,'Риск йўналишлари'!$B25,Рўйхат!AH:AH)</f>
        <v/>
      </c>
      <c r="AH25" s="33">
        <f>+SUMIF(Рўйхат!$A:$A,'Риск йўналишлари'!$B25,Рўйхат!AI:AI)</f>
        <v/>
      </c>
      <c r="AI25" s="19">
        <f>+SUMIF(Рўйхат!$A:$A,'Риск йўналишлари'!$B25,Рўйхат!AJ:AJ)</f>
        <v/>
      </c>
    </row>
    <row r="26">
      <c r="A26" s="15" t="n">
        <v>21</v>
      </c>
      <c r="B26" s="16" t="inlineStr">
        <is>
          <t>Манфаатлар тўқнашуви (Qurilish AI)</t>
        </is>
      </c>
      <c r="C26" s="16">
        <f>IFERROR(VLOOKUP(B26,Рўйхат!A:E,5,0),"")</f>
        <v/>
      </c>
      <c r="D26" s="30">
        <f>IFERROR(VLOOKUP(B26,Рўйхат!A:F,6,0),"")</f>
        <v/>
      </c>
      <c r="E26" s="17">
        <f>+SUMIF(Рўйхат!$A:$A,'Риск йўналишлари'!$B26,Рўйхат!G:G)</f>
        <v/>
      </c>
      <c r="F26" s="18">
        <f>+SUMIF(Рўйхат!$A:$A,'Риск йўналишлари'!$B26,Рўйхат!H:H)</f>
        <v/>
      </c>
      <c r="G26" s="18">
        <f>M26</f>
        <v/>
      </c>
      <c r="H26" s="18">
        <f>R26+W26+AB26+AG26</f>
        <v/>
      </c>
      <c r="I26" s="18">
        <f>+SUMIF(Рўйхат!$A:$A,'Риск йўналишлари'!$B26,Рўйхат!J:J)</f>
        <v/>
      </c>
      <c r="J26" s="18">
        <f>+SUMIF(Рўйхат!$A:$A,'Риск йўналишлари'!$B26,Рўйхат!K:K)</f>
        <v/>
      </c>
      <c r="K26" s="17">
        <f>+SUMIF(Рўйхат!$A:$A,'Риск йўналишлари'!$B26,Рўйхат!L:L)</f>
        <v/>
      </c>
      <c r="L26" s="18">
        <f>+SUMIF(Рўйхат!$A:$A,'Риск йўналишлари'!$B26,Рўйхат!M:M)</f>
        <v/>
      </c>
      <c r="M26" s="18">
        <f>+SUMIF(Рўйхат!$A:$A,'Риск йўналишлари'!$B26,Рўйхат!N:N)</f>
        <v/>
      </c>
      <c r="N26" s="18">
        <f>+SUMIF(Рўйхат!$A:$A,'Риск йўналишлари'!$B26,Рўйхат!O:O)</f>
        <v/>
      </c>
      <c r="O26" s="18">
        <f>+SUMIF(Рўйхат!$A:$A,'Риск йўналишлари'!$B26,Рўйхат!P:P)</f>
        <v/>
      </c>
      <c r="P26" s="17">
        <f>+SUMIF(Рўйхат!$A:$A,'Риск йўналишлари'!$B26,Рўйхат!Q:Q)</f>
        <v/>
      </c>
      <c r="Q26" s="18">
        <f>+SUMIF(Рўйхат!$A:$A,'Риск йўналишлари'!$B26,Рўйхат!R:R)</f>
        <v/>
      </c>
      <c r="R26" s="18">
        <f>+SUMIF(Рўйхат!$A:$A,'Риск йўналишлари'!$B26,Рўйхат!S:S)</f>
        <v/>
      </c>
      <c r="S26" s="18">
        <f>+SUMIF(Рўйхат!$A:$A,'Риск йўналишлари'!$B26,Рўйхат!T:T)</f>
        <v/>
      </c>
      <c r="T26" s="18">
        <f>+SUMIF(Рўйхат!$A:$A,'Риск йўналишлари'!$B26,Рўйхат!U:U)</f>
        <v/>
      </c>
      <c r="U26" s="17">
        <f>+SUMIF(Рўйхат!$A:$A,'Риск йўналишлари'!$B26,Рўйхат!V:V)</f>
        <v/>
      </c>
      <c r="V26" s="18">
        <f>+SUMIF(Рўйхат!$A:$A,'Риск йўналишлари'!$B26,Рўйхат!W:W)</f>
        <v/>
      </c>
      <c r="W26" s="18">
        <f>+SUMIF(Рўйхат!$A:$A,'Риск йўналишлари'!$B26,Рўйхат!X:X)</f>
        <v/>
      </c>
      <c r="X26" s="18">
        <f>+SUMIF(Рўйхат!$A:$A,'Риск йўналишлари'!$B26,Рўйхат!Y:Y)</f>
        <v/>
      </c>
      <c r="Y26" s="18">
        <f>+SUMIF(Рўйхат!$A:$A,'Риск йўналишлари'!$B26,Рўйхат!Z:Z)</f>
        <v/>
      </c>
      <c r="Z26" s="17">
        <f>+SUMIF(Рўйхат!$A:$A,'Риск йўналишлари'!$B26,Рўйхат!AA:AA)</f>
        <v/>
      </c>
      <c r="AA26" s="18">
        <f>+SUMIF(Рўйхат!$A:$A,'Риск йўналишлари'!$B26,Рўйхат!AB:AB)</f>
        <v/>
      </c>
      <c r="AB26" s="18">
        <f>+SUMIF(Рўйхат!$A:$A,'Риск йўналишлари'!$B26,Рўйхат!AC:AC)</f>
        <v/>
      </c>
      <c r="AC26" s="18">
        <f>+SUMIF(Рўйхат!$A:$A,'Риск йўналишлари'!$B26,Рўйхат!AD:AD)</f>
        <v/>
      </c>
      <c r="AD26" s="18">
        <f>+SUMIF(Рўйхат!$A:$A,'Риск йўналишлари'!$B26,Рўйхат!AE:AE)</f>
        <v/>
      </c>
      <c r="AE26" s="17">
        <f>+SUMIF(Рўйхат!$A:$A,'Риск йўналишлари'!$B26,Рўйхат!AF:AF)</f>
        <v/>
      </c>
      <c r="AF26" s="18">
        <f>+SUMIF(Рўйхат!$A:$A,'Риск йўналишлари'!$B26,Рўйхат!AG:AG)</f>
        <v/>
      </c>
      <c r="AG26" s="18">
        <f>+SUMIF(Рўйхат!$A:$A,'Риск йўналишлари'!$B26,Рўйхат!AH:AH)</f>
        <v/>
      </c>
      <c r="AH26" s="33">
        <f>+SUMIF(Рўйхат!$A:$A,'Риск йўналишлари'!$B26,Рўйхат!AI:AI)</f>
        <v/>
      </c>
      <c r="AI26" s="19">
        <f>+SUMIF(Рўйхат!$A:$A,'Риск йўналишлари'!$B26,Рўйхат!AJ:AJ)</f>
        <v/>
      </c>
    </row>
    <row r="27">
      <c r="A27" s="15" t="n">
        <v>22</v>
      </c>
      <c r="B27" s="16" t="inlineStr">
        <is>
          <t>Бюджет ташкилотда энг кўп ҳисобланган иш ҳақи тўғрисида</t>
        </is>
      </c>
      <c r="C27" s="16">
        <f>IFERROR(VLOOKUP(B27,Рўйхат!A:E,5,0),"")</f>
        <v/>
      </c>
      <c r="D27" s="30">
        <f>IFERROR(VLOOKUP(B27,Рўйхат!A:F,6,0),"")</f>
        <v/>
      </c>
      <c r="E27" s="17">
        <f>+SUMIF(Рўйхат!$A:$A,'Риск йўналишлари'!$B27,Рўйхат!G:G)</f>
        <v/>
      </c>
      <c r="F27" s="18">
        <f>+SUMIF(Рўйхат!$A:$A,'Риск йўналишлари'!$B27,Рўйхат!H:H)</f>
        <v/>
      </c>
      <c r="G27" s="18">
        <f>M27</f>
        <v/>
      </c>
      <c r="H27" s="18">
        <f>R27+W27+AB27+AG27</f>
        <v/>
      </c>
      <c r="I27" s="18">
        <f>+SUMIF(Рўйхат!$A:$A,'Риск йўналишлари'!$B27,Рўйхат!J:J)</f>
        <v/>
      </c>
      <c r="J27" s="18">
        <f>+SUMIF(Рўйхат!$A:$A,'Риск йўналишлари'!$B27,Рўйхат!K:K)</f>
        <v/>
      </c>
      <c r="K27" s="17">
        <f>+SUMIF(Рўйхат!$A:$A,'Риск йўналишлари'!$B27,Рўйхат!L:L)</f>
        <v/>
      </c>
      <c r="L27" s="18">
        <f>+SUMIF(Рўйхат!$A:$A,'Риск йўналишлари'!$B27,Рўйхат!M:M)</f>
        <v/>
      </c>
      <c r="M27" s="18">
        <f>+SUMIF(Рўйхат!$A:$A,'Риск йўналишлари'!$B27,Рўйхат!N:N)</f>
        <v/>
      </c>
      <c r="N27" s="18">
        <f>+SUMIF(Рўйхат!$A:$A,'Риск йўналишлари'!$B27,Рўйхат!O:O)</f>
        <v/>
      </c>
      <c r="O27" s="18">
        <f>+SUMIF(Рўйхат!$A:$A,'Риск йўналишлари'!$B27,Рўйхат!P:P)</f>
        <v/>
      </c>
      <c r="P27" s="17">
        <f>+SUMIF(Рўйхат!$A:$A,'Риск йўналишлари'!$B27,Рўйхат!Q:Q)</f>
        <v/>
      </c>
      <c r="Q27" s="18">
        <f>+SUMIF(Рўйхат!$A:$A,'Риск йўналишлари'!$B27,Рўйхат!R:R)</f>
        <v/>
      </c>
      <c r="R27" s="18">
        <f>+SUMIF(Рўйхат!$A:$A,'Риск йўналишлари'!$B27,Рўйхат!S:S)</f>
        <v/>
      </c>
      <c r="S27" s="18">
        <f>+SUMIF(Рўйхат!$A:$A,'Риск йўналишлари'!$B27,Рўйхат!T:T)</f>
        <v/>
      </c>
      <c r="T27" s="18">
        <f>+SUMIF(Рўйхат!$A:$A,'Риск йўналишлари'!$B27,Рўйхат!U:U)</f>
        <v/>
      </c>
      <c r="U27" s="17">
        <f>+SUMIF(Рўйхат!$A:$A,'Риск йўналишлари'!$B27,Рўйхат!V:V)</f>
        <v/>
      </c>
      <c r="V27" s="18">
        <f>+SUMIF(Рўйхат!$A:$A,'Риск йўналишлари'!$B27,Рўйхат!W:W)</f>
        <v/>
      </c>
      <c r="W27" s="18">
        <f>+SUMIF(Рўйхат!$A:$A,'Риск йўналишлари'!$B27,Рўйхат!X:X)</f>
        <v/>
      </c>
      <c r="X27" s="18">
        <f>+SUMIF(Рўйхат!$A:$A,'Риск йўналишлари'!$B27,Рўйхат!Y:Y)</f>
        <v/>
      </c>
      <c r="Y27" s="18">
        <f>+SUMIF(Рўйхат!$A:$A,'Риск йўналишлари'!$B27,Рўйхат!Z:Z)</f>
        <v/>
      </c>
      <c r="Z27" s="17">
        <f>+SUMIF(Рўйхат!$A:$A,'Риск йўналишлари'!$B27,Рўйхат!AA:AA)</f>
        <v/>
      </c>
      <c r="AA27" s="18">
        <f>+SUMIF(Рўйхат!$A:$A,'Риск йўналишлари'!$B27,Рўйхат!AB:AB)</f>
        <v/>
      </c>
      <c r="AB27" s="18">
        <f>+SUMIF(Рўйхат!$A:$A,'Риск йўналишлари'!$B27,Рўйхат!AC:AC)</f>
        <v/>
      </c>
      <c r="AC27" s="18">
        <f>+SUMIF(Рўйхат!$A:$A,'Риск йўналишлари'!$B27,Рўйхат!AD:AD)</f>
        <v/>
      </c>
      <c r="AD27" s="18">
        <f>+SUMIF(Рўйхат!$A:$A,'Риск йўналишлари'!$B27,Рўйхат!AE:AE)</f>
        <v/>
      </c>
      <c r="AE27" s="17">
        <f>+SUMIF(Рўйхат!$A:$A,'Риск йўналишлари'!$B27,Рўйхат!AF:AF)</f>
        <v/>
      </c>
      <c r="AF27" s="18">
        <f>+SUMIF(Рўйхат!$A:$A,'Риск йўналишлари'!$B27,Рўйхат!AG:AG)</f>
        <v/>
      </c>
      <c r="AG27" s="18">
        <f>+SUMIF(Рўйхат!$A:$A,'Риск йўналишлари'!$B27,Рўйхат!AH:AH)</f>
        <v/>
      </c>
      <c r="AH27" s="33">
        <f>+SUMIF(Рўйхат!$A:$A,'Риск йўналишлари'!$B27,Рўйхат!AI:AI)</f>
        <v/>
      </c>
      <c r="AI27" s="19">
        <f>+SUMIF(Рўйхат!$A:$A,'Риск йўналишлари'!$B27,Рўйхат!AJ:AJ)</f>
        <v/>
      </c>
    </row>
    <row r="28">
      <c r="A28" s="15" t="n">
        <v>23</v>
      </c>
      <c r="B28" s="16" t="inlineStr">
        <is>
          <t>Мансабдор шахсларга боғлиқ етказиб берувчилар билан тузилган шартномалар (XT XARID)</t>
        </is>
      </c>
      <c r="C28" s="16">
        <f>IFERROR(VLOOKUP(B28,Рўйхат!A:E,5,0),"")</f>
        <v/>
      </c>
      <c r="D28" s="30">
        <f>IFERROR(VLOOKUP(B28,Рўйхат!A:F,6,0),"")</f>
        <v/>
      </c>
      <c r="E28" s="17">
        <f>+SUMIF(Рўйхат!$A:$A,'Риск йўналишлари'!$B28,Рўйхат!G:G)</f>
        <v/>
      </c>
      <c r="F28" s="18">
        <f>+SUMIF(Рўйхат!$A:$A,'Риск йўналишлари'!$B28,Рўйхат!H:H)</f>
        <v/>
      </c>
      <c r="G28" s="18">
        <f>M28</f>
        <v/>
      </c>
      <c r="H28" s="18">
        <f>R28+W28+AB28+AG28</f>
        <v/>
      </c>
      <c r="I28" s="18">
        <f>+SUMIF(Рўйхат!$A:$A,'Риск йўналишлари'!$B28,Рўйхат!J:J)</f>
        <v/>
      </c>
      <c r="J28" s="18">
        <f>+SUMIF(Рўйхат!$A:$A,'Риск йўналишлари'!$B28,Рўйхат!K:K)</f>
        <v/>
      </c>
      <c r="K28" s="17">
        <f>+SUMIF(Рўйхат!$A:$A,'Риск йўналишлари'!$B28,Рўйхат!L:L)</f>
        <v/>
      </c>
      <c r="L28" s="18">
        <f>+SUMIF(Рўйхат!$A:$A,'Риск йўналишлари'!$B28,Рўйхат!M:M)</f>
        <v/>
      </c>
      <c r="M28" s="18">
        <f>+SUMIF(Рўйхат!$A:$A,'Риск йўналишлари'!$B28,Рўйхат!N:N)</f>
        <v/>
      </c>
      <c r="N28" s="18">
        <f>+SUMIF(Рўйхат!$A:$A,'Риск йўналишлари'!$B28,Рўйхат!O:O)</f>
        <v/>
      </c>
      <c r="O28" s="18">
        <f>+SUMIF(Рўйхат!$A:$A,'Риск йўналишлари'!$B28,Рўйхат!P:P)</f>
        <v/>
      </c>
      <c r="P28" s="17">
        <f>+SUMIF(Рўйхат!$A:$A,'Риск йўналишлари'!$B28,Рўйхат!Q:Q)</f>
        <v/>
      </c>
      <c r="Q28" s="18">
        <f>+SUMIF(Рўйхат!$A:$A,'Риск йўналишлари'!$B28,Рўйхат!R:R)</f>
        <v/>
      </c>
      <c r="R28" s="18">
        <f>+SUMIF(Рўйхат!$A:$A,'Риск йўналишлари'!$B28,Рўйхат!S:S)</f>
        <v/>
      </c>
      <c r="S28" s="18">
        <f>+SUMIF(Рўйхат!$A:$A,'Риск йўналишлари'!$B28,Рўйхат!T:T)</f>
        <v/>
      </c>
      <c r="T28" s="18">
        <f>+SUMIF(Рўйхат!$A:$A,'Риск йўналишлари'!$B28,Рўйхат!U:U)</f>
        <v/>
      </c>
      <c r="U28" s="17">
        <f>+SUMIF(Рўйхат!$A:$A,'Риск йўналишлари'!$B28,Рўйхат!V:V)</f>
        <v/>
      </c>
      <c r="V28" s="18">
        <f>+SUMIF(Рўйхат!$A:$A,'Риск йўналишлари'!$B28,Рўйхат!W:W)</f>
        <v/>
      </c>
      <c r="W28" s="18">
        <f>+SUMIF(Рўйхат!$A:$A,'Риск йўналишлари'!$B28,Рўйхат!X:X)</f>
        <v/>
      </c>
      <c r="X28" s="18">
        <f>+SUMIF(Рўйхат!$A:$A,'Риск йўналишлари'!$B28,Рўйхат!Y:Y)</f>
        <v/>
      </c>
      <c r="Y28" s="18">
        <f>+SUMIF(Рўйхат!$A:$A,'Риск йўналишлари'!$B28,Рўйхат!Z:Z)</f>
        <v/>
      </c>
      <c r="Z28" s="17">
        <f>+SUMIF(Рўйхат!$A:$A,'Риск йўналишлари'!$B28,Рўйхат!AA:AA)</f>
        <v/>
      </c>
      <c r="AA28" s="18">
        <f>+SUMIF(Рўйхат!$A:$A,'Риск йўналишлари'!$B28,Рўйхат!AB:AB)</f>
        <v/>
      </c>
      <c r="AB28" s="18">
        <f>+SUMIF(Рўйхат!$A:$A,'Риск йўналишлари'!$B28,Рўйхат!AC:AC)</f>
        <v/>
      </c>
      <c r="AC28" s="18">
        <f>+SUMIF(Рўйхат!$A:$A,'Риск йўналишлари'!$B28,Рўйхат!AD:AD)</f>
        <v/>
      </c>
      <c r="AD28" s="18">
        <f>+SUMIF(Рўйхат!$A:$A,'Риск йўналишлари'!$B28,Рўйхат!AE:AE)</f>
        <v/>
      </c>
      <c r="AE28" s="17">
        <f>+SUMIF(Рўйхат!$A:$A,'Риск йўналишлари'!$B28,Рўйхат!AF:AF)</f>
        <v/>
      </c>
      <c r="AF28" s="18">
        <f>+SUMIF(Рўйхат!$A:$A,'Риск йўналишлари'!$B28,Рўйхат!AG:AG)</f>
        <v/>
      </c>
      <c r="AG28" s="18">
        <f>+SUMIF(Рўйхат!$A:$A,'Риск йўналишлари'!$B28,Рўйхат!AH:AH)</f>
        <v/>
      </c>
      <c r="AH28" s="33">
        <f>+SUMIF(Рўйхат!$A:$A,'Риск йўналишлари'!$B28,Рўйхат!AI:AI)</f>
        <v/>
      </c>
      <c r="AI28" s="19">
        <f>+SUMIF(Рўйхат!$A:$A,'Риск йўналишлари'!$B28,Рўйхат!AJ:AJ)</f>
        <v/>
      </c>
    </row>
    <row r="29">
      <c r="A29" s="15" t="n">
        <v>24</v>
      </c>
      <c r="B29" s="16" t="inlineStr">
        <is>
          <t>Арзон ва тез эскирувчи буюмлар ва инвентарларни хариди учун ажратилган маблағлар таҳлили (42-52-110-модда)</t>
        </is>
      </c>
      <c r="C29" s="16">
        <f>IFERROR(VLOOKUP(B29,Рўйхат!A:E,5,0),"")</f>
        <v/>
      </c>
      <c r="D29" s="30">
        <f>IFERROR(VLOOKUP(B29,Рўйхат!A:F,6,0),"")</f>
        <v/>
      </c>
      <c r="E29" s="17">
        <f>+SUMIF(Рўйхат!$A:$A,'Риск йўналишлари'!$B29,Рўйхат!G:G)</f>
        <v/>
      </c>
      <c r="F29" s="18">
        <f>+SUMIF(Рўйхат!$A:$A,'Риск йўналишлари'!$B29,Рўйхат!H:H)</f>
        <v/>
      </c>
      <c r="G29" s="18">
        <f>M29</f>
        <v/>
      </c>
      <c r="H29" s="18">
        <f>R29+W29+AB29+AG29</f>
        <v/>
      </c>
      <c r="I29" s="18">
        <f>+SUMIF(Рўйхат!$A:$A,'Риск йўналишлари'!$B29,Рўйхат!J:J)</f>
        <v/>
      </c>
      <c r="J29" s="18">
        <f>+SUMIF(Рўйхат!$A:$A,'Риск йўналишлари'!$B29,Рўйхат!K:K)</f>
        <v/>
      </c>
      <c r="K29" s="17">
        <f>+SUMIF(Рўйхат!$A:$A,'Риск йўналишлари'!$B29,Рўйхат!L:L)</f>
        <v/>
      </c>
      <c r="L29" s="18">
        <f>+SUMIF(Рўйхат!$A:$A,'Риск йўналишлари'!$B29,Рўйхат!M:M)</f>
        <v/>
      </c>
      <c r="M29" s="18">
        <f>+SUMIF(Рўйхат!$A:$A,'Риск йўналишлари'!$B29,Рўйхат!N:N)</f>
        <v/>
      </c>
      <c r="N29" s="18">
        <f>+SUMIF(Рўйхат!$A:$A,'Риск йўналишлари'!$B29,Рўйхат!O:O)</f>
        <v/>
      </c>
      <c r="O29" s="18">
        <f>+SUMIF(Рўйхат!$A:$A,'Риск йўналишлари'!$B29,Рўйхат!P:P)</f>
        <v/>
      </c>
      <c r="P29" s="17">
        <f>+SUMIF(Рўйхат!$A:$A,'Риск йўналишлари'!$B29,Рўйхат!Q:Q)</f>
        <v/>
      </c>
      <c r="Q29" s="18">
        <f>+SUMIF(Рўйхат!$A:$A,'Риск йўналишлари'!$B29,Рўйхат!R:R)</f>
        <v/>
      </c>
      <c r="R29" s="18">
        <f>+SUMIF(Рўйхат!$A:$A,'Риск йўналишлари'!$B29,Рўйхат!S:S)</f>
        <v/>
      </c>
      <c r="S29" s="18">
        <f>+SUMIF(Рўйхат!$A:$A,'Риск йўналишлари'!$B29,Рўйхат!T:T)</f>
        <v/>
      </c>
      <c r="T29" s="18">
        <f>+SUMIF(Рўйхат!$A:$A,'Риск йўналишлари'!$B29,Рўйхат!U:U)</f>
        <v/>
      </c>
      <c r="U29" s="17">
        <f>+SUMIF(Рўйхат!$A:$A,'Риск йўналишлари'!$B29,Рўйхат!V:V)</f>
        <v/>
      </c>
      <c r="V29" s="18">
        <f>+SUMIF(Рўйхат!$A:$A,'Риск йўналишлари'!$B29,Рўйхат!W:W)</f>
        <v/>
      </c>
      <c r="W29" s="18">
        <f>+SUMIF(Рўйхат!$A:$A,'Риск йўналишлари'!$B29,Рўйхат!X:X)</f>
        <v/>
      </c>
      <c r="X29" s="18">
        <f>+SUMIF(Рўйхат!$A:$A,'Риск йўналишлари'!$B29,Рўйхат!Y:Y)</f>
        <v/>
      </c>
      <c r="Y29" s="18">
        <f>+SUMIF(Рўйхат!$A:$A,'Риск йўналишлари'!$B29,Рўйхат!Z:Z)</f>
        <v/>
      </c>
      <c r="Z29" s="17">
        <f>+SUMIF(Рўйхат!$A:$A,'Риск йўналишлари'!$B29,Рўйхат!AA:AA)</f>
        <v/>
      </c>
      <c r="AA29" s="18">
        <f>+SUMIF(Рўйхат!$A:$A,'Риск йўналишлари'!$B29,Рўйхат!AB:AB)</f>
        <v/>
      </c>
      <c r="AB29" s="18">
        <f>+SUMIF(Рўйхат!$A:$A,'Риск йўналишлари'!$B29,Рўйхат!AC:AC)</f>
        <v/>
      </c>
      <c r="AC29" s="18">
        <f>+SUMIF(Рўйхат!$A:$A,'Риск йўналишлари'!$B29,Рўйхат!AD:AD)</f>
        <v/>
      </c>
      <c r="AD29" s="18">
        <f>+SUMIF(Рўйхат!$A:$A,'Риск йўналишлари'!$B29,Рўйхат!AE:AE)</f>
        <v/>
      </c>
      <c r="AE29" s="17">
        <f>+SUMIF(Рўйхат!$A:$A,'Риск йўналишлари'!$B29,Рўйхат!AF:AF)</f>
        <v/>
      </c>
      <c r="AF29" s="18">
        <f>+SUMIF(Рўйхат!$A:$A,'Риск йўналишлари'!$B29,Рўйхат!AG:AG)</f>
        <v/>
      </c>
      <c r="AG29" s="18">
        <f>+SUMIF(Рўйхат!$A:$A,'Риск йўналишлари'!$B29,Рўйхат!AH:AH)</f>
        <v/>
      </c>
      <c r="AH29" s="33">
        <f>+SUMIF(Рўйхат!$A:$A,'Риск йўналишлари'!$B29,Рўйхат!AI:AI)</f>
        <v/>
      </c>
      <c r="AI29" s="19">
        <f>+SUMIF(Рўйхат!$A:$A,'Риск йўналишлари'!$B29,Рўйхат!AJ:AJ)</f>
        <v/>
      </c>
    </row>
    <row r="30">
      <c r="A30" s="15" t="n">
        <v>25</v>
      </c>
      <c r="B30" s="16" t="inlineStr">
        <is>
          <t>Қишлоқ ва ўрмон хўжаликлари ишлаб чиқариши нобудгарчилигини қоплаш ҳолати таҳлили</t>
        </is>
      </c>
      <c r="C30" s="16">
        <f>IFERROR(VLOOKUP(B30,Рўйхат!A:E,5,0),"")</f>
        <v/>
      </c>
      <c r="D30" s="30">
        <f>IFERROR(VLOOKUP(B30,Рўйхат!A:F,6,0),"")</f>
        <v/>
      </c>
      <c r="E30" s="17">
        <f>+SUMIF(Рўйхат!$A:$A,'Риск йўналишлари'!$B30,Рўйхат!G:G)</f>
        <v/>
      </c>
      <c r="F30" s="18">
        <f>+SUMIF(Рўйхат!$A:$A,'Риск йўналишлари'!$B30,Рўйхат!H:H)</f>
        <v/>
      </c>
      <c r="G30" s="18">
        <f>M30</f>
        <v/>
      </c>
      <c r="H30" s="18">
        <f>R30+W30+AB30+AG30</f>
        <v/>
      </c>
      <c r="I30" s="18">
        <f>+SUMIF(Рўйхат!$A:$A,'Риск йўналишлари'!$B30,Рўйхат!J:J)</f>
        <v/>
      </c>
      <c r="J30" s="18">
        <f>+SUMIF(Рўйхат!$A:$A,'Риск йўналишлари'!$B30,Рўйхат!K:K)</f>
        <v/>
      </c>
      <c r="K30" s="17">
        <f>+SUMIF(Рўйхат!$A:$A,'Риск йўналишлари'!$B30,Рўйхат!L:L)</f>
        <v/>
      </c>
      <c r="L30" s="18">
        <f>+SUMIF(Рўйхат!$A:$A,'Риск йўналишлари'!$B30,Рўйхат!M:M)</f>
        <v/>
      </c>
      <c r="M30" s="18">
        <f>+SUMIF(Рўйхат!$A:$A,'Риск йўналишлари'!$B30,Рўйхат!N:N)</f>
        <v/>
      </c>
      <c r="N30" s="18">
        <f>+SUMIF(Рўйхат!$A:$A,'Риск йўналишлари'!$B30,Рўйхат!O:O)</f>
        <v/>
      </c>
      <c r="O30" s="18">
        <f>+SUMIF(Рўйхат!$A:$A,'Риск йўналишлари'!$B30,Рўйхат!P:P)</f>
        <v/>
      </c>
      <c r="P30" s="17">
        <f>+SUMIF(Рўйхат!$A:$A,'Риск йўналишлари'!$B30,Рўйхат!Q:Q)</f>
        <v/>
      </c>
      <c r="Q30" s="18">
        <f>+SUMIF(Рўйхат!$A:$A,'Риск йўналишлари'!$B30,Рўйхат!R:R)</f>
        <v/>
      </c>
      <c r="R30" s="18">
        <f>+SUMIF(Рўйхат!$A:$A,'Риск йўналишлари'!$B30,Рўйхат!S:S)</f>
        <v/>
      </c>
      <c r="S30" s="18">
        <f>+SUMIF(Рўйхат!$A:$A,'Риск йўналишлари'!$B30,Рўйхат!T:T)</f>
        <v/>
      </c>
      <c r="T30" s="18">
        <f>+SUMIF(Рўйхат!$A:$A,'Риск йўналишлари'!$B30,Рўйхат!U:U)</f>
        <v/>
      </c>
      <c r="U30" s="17">
        <f>+SUMIF(Рўйхат!$A:$A,'Риск йўналишлари'!$B30,Рўйхат!V:V)</f>
        <v/>
      </c>
      <c r="V30" s="18">
        <f>+SUMIF(Рўйхат!$A:$A,'Риск йўналишлари'!$B30,Рўйхат!W:W)</f>
        <v/>
      </c>
      <c r="W30" s="18">
        <f>+SUMIF(Рўйхат!$A:$A,'Риск йўналишлари'!$B30,Рўйхат!X:X)</f>
        <v/>
      </c>
      <c r="X30" s="18">
        <f>+SUMIF(Рўйхат!$A:$A,'Риск йўналишлари'!$B30,Рўйхат!Y:Y)</f>
        <v/>
      </c>
      <c r="Y30" s="18">
        <f>+SUMIF(Рўйхат!$A:$A,'Риск йўналишлари'!$B30,Рўйхат!Z:Z)</f>
        <v/>
      </c>
      <c r="Z30" s="17">
        <f>+SUMIF(Рўйхат!$A:$A,'Риск йўналишлари'!$B30,Рўйхат!AA:AA)</f>
        <v/>
      </c>
      <c r="AA30" s="18">
        <f>+SUMIF(Рўйхат!$A:$A,'Риск йўналишлари'!$B30,Рўйхат!AB:AB)</f>
        <v/>
      </c>
      <c r="AB30" s="18">
        <f>+SUMIF(Рўйхат!$A:$A,'Риск йўналишлари'!$B30,Рўйхат!AC:AC)</f>
        <v/>
      </c>
      <c r="AC30" s="18">
        <f>+SUMIF(Рўйхат!$A:$A,'Риск йўналишлари'!$B30,Рўйхат!AD:AD)</f>
        <v/>
      </c>
      <c r="AD30" s="18">
        <f>+SUMIF(Рўйхат!$A:$A,'Риск йўналишлари'!$B30,Рўйхат!AE:AE)</f>
        <v/>
      </c>
      <c r="AE30" s="17">
        <f>+SUMIF(Рўйхат!$A:$A,'Риск йўналишлари'!$B30,Рўйхат!AF:AF)</f>
        <v/>
      </c>
      <c r="AF30" s="18">
        <f>+SUMIF(Рўйхат!$A:$A,'Риск йўналишлари'!$B30,Рўйхат!AG:AG)</f>
        <v/>
      </c>
      <c r="AG30" s="18">
        <f>+SUMIF(Рўйхат!$A:$A,'Риск йўналишлари'!$B30,Рўйхат!AH:AH)</f>
        <v/>
      </c>
      <c r="AH30" s="33">
        <f>+SUMIF(Рўйхат!$A:$A,'Риск йўналишлари'!$B30,Рўйхат!AI:AI)</f>
        <v/>
      </c>
      <c r="AI30" s="19">
        <f>+SUMIF(Рўйхат!$A:$A,'Риск йўналишлари'!$B30,Рўйхат!AJ:AJ)</f>
        <v/>
      </c>
    </row>
    <row r="31">
      <c r="A31" s="15" t="n">
        <v>26</v>
      </c>
      <c r="B31" s="16" t="inlineStr">
        <is>
          <t>Хорижда бўлган фуқароларга иш ҳақи тўланиши</t>
        </is>
      </c>
      <c r="C31" s="16">
        <f>IFERROR(VLOOKUP(B31,Рўйхат!A:E,5,0),"")</f>
        <v/>
      </c>
      <c r="D31" s="30">
        <f>IFERROR(VLOOKUP(B31,Рўйхат!A:F,6,0),"")</f>
        <v/>
      </c>
      <c r="E31" s="17">
        <f>+SUMIF(Рўйхат!$A:$A,'Риск йўналишлари'!$B31,Рўйхат!G:G)</f>
        <v/>
      </c>
      <c r="F31" s="18">
        <f>+SUMIF(Рўйхат!$A:$A,'Риск йўналишлари'!$B31,Рўйхат!H:H)</f>
        <v/>
      </c>
      <c r="G31" s="18">
        <f>M31</f>
        <v/>
      </c>
      <c r="H31" s="18">
        <f>R31+W31+AB31+AG31</f>
        <v/>
      </c>
      <c r="I31" s="18">
        <f>+SUMIF(Рўйхат!$A:$A,'Риск йўналишлари'!$B31,Рўйхат!J:J)</f>
        <v/>
      </c>
      <c r="J31" s="18">
        <f>+SUMIF(Рўйхат!$A:$A,'Риск йўналишлари'!$B31,Рўйхат!K:K)</f>
        <v/>
      </c>
      <c r="K31" s="17">
        <f>+SUMIF(Рўйхат!$A:$A,'Риск йўналишлари'!$B31,Рўйхат!L:L)</f>
        <v/>
      </c>
      <c r="L31" s="18">
        <f>+SUMIF(Рўйхат!$A:$A,'Риск йўналишлари'!$B31,Рўйхат!M:M)</f>
        <v/>
      </c>
      <c r="M31" s="18">
        <f>+SUMIF(Рўйхат!$A:$A,'Риск йўналишлари'!$B31,Рўйхат!N:N)</f>
        <v/>
      </c>
      <c r="N31" s="18">
        <f>+SUMIF(Рўйхат!$A:$A,'Риск йўналишлари'!$B31,Рўйхат!O:O)</f>
        <v/>
      </c>
      <c r="O31" s="18">
        <f>+SUMIF(Рўйхат!$A:$A,'Риск йўналишлари'!$B31,Рўйхат!P:P)</f>
        <v/>
      </c>
      <c r="P31" s="17">
        <f>+SUMIF(Рўйхат!$A:$A,'Риск йўналишлари'!$B31,Рўйхат!Q:Q)</f>
        <v/>
      </c>
      <c r="Q31" s="18">
        <f>+SUMIF(Рўйхат!$A:$A,'Риск йўналишлари'!$B31,Рўйхат!R:R)</f>
        <v/>
      </c>
      <c r="R31" s="18">
        <f>+SUMIF(Рўйхат!$A:$A,'Риск йўналишлари'!$B31,Рўйхат!S:S)</f>
        <v/>
      </c>
      <c r="S31" s="18">
        <f>+SUMIF(Рўйхат!$A:$A,'Риск йўналишлари'!$B31,Рўйхат!T:T)</f>
        <v/>
      </c>
      <c r="T31" s="18">
        <f>+SUMIF(Рўйхат!$A:$A,'Риск йўналишлари'!$B31,Рўйхат!U:U)</f>
        <v/>
      </c>
      <c r="U31" s="17">
        <f>+SUMIF(Рўйхат!$A:$A,'Риск йўналишлари'!$B31,Рўйхат!V:V)</f>
        <v/>
      </c>
      <c r="V31" s="18">
        <f>+SUMIF(Рўйхат!$A:$A,'Риск йўналишлари'!$B31,Рўйхат!W:W)</f>
        <v/>
      </c>
      <c r="W31" s="18">
        <f>+SUMIF(Рўйхат!$A:$A,'Риск йўналишлари'!$B31,Рўйхат!X:X)</f>
        <v/>
      </c>
      <c r="X31" s="18">
        <f>+SUMIF(Рўйхат!$A:$A,'Риск йўналишлари'!$B31,Рўйхат!Y:Y)</f>
        <v/>
      </c>
      <c r="Y31" s="18">
        <f>+SUMIF(Рўйхат!$A:$A,'Риск йўналишлари'!$B31,Рўйхат!Z:Z)</f>
        <v/>
      </c>
      <c r="Z31" s="17">
        <f>+SUMIF(Рўйхат!$A:$A,'Риск йўналишлари'!$B31,Рўйхат!AA:AA)</f>
        <v/>
      </c>
      <c r="AA31" s="18">
        <f>+SUMIF(Рўйхат!$A:$A,'Риск йўналишлари'!$B31,Рўйхат!AB:AB)</f>
        <v/>
      </c>
      <c r="AB31" s="18">
        <f>+SUMIF(Рўйхат!$A:$A,'Риск йўналишлари'!$B31,Рўйхат!AC:AC)</f>
        <v/>
      </c>
      <c r="AC31" s="18">
        <f>+SUMIF(Рўйхат!$A:$A,'Риск йўналишлари'!$B31,Рўйхат!AD:AD)</f>
        <v/>
      </c>
      <c r="AD31" s="18">
        <f>+SUMIF(Рўйхат!$A:$A,'Риск йўналишлари'!$B31,Рўйхат!AE:AE)</f>
        <v/>
      </c>
      <c r="AE31" s="17">
        <f>+SUMIF(Рўйхат!$A:$A,'Риск йўналишлари'!$B31,Рўйхат!AF:AF)</f>
        <v/>
      </c>
      <c r="AF31" s="18">
        <f>+SUMIF(Рўйхат!$A:$A,'Риск йўналишлари'!$B31,Рўйхат!AG:AG)</f>
        <v/>
      </c>
      <c r="AG31" s="18">
        <f>+SUMIF(Рўйхат!$A:$A,'Риск йўналишлари'!$B31,Рўйхат!AH:AH)</f>
        <v/>
      </c>
      <c r="AH31" s="33">
        <f>+SUMIF(Рўйхат!$A:$A,'Риск йўналишлари'!$B31,Рўйхат!AI:AI)</f>
        <v/>
      </c>
      <c r="AI31" s="19">
        <f>+SUMIF(Рўйхат!$A:$A,'Риск йўналишлари'!$B31,Рўйхат!AJ:AJ)</f>
        <v/>
      </c>
    </row>
    <row r="32">
      <c r="A32" s="15" t="n">
        <v>27</v>
      </c>
      <c r="B32" s="16" t="inlineStr">
        <is>
          <t>Мансабдор шахсларга боғлиқ етказиб берувчилар билан тузилган шартномалар (UZEX)</t>
        </is>
      </c>
      <c r="C32" s="16">
        <f>IFERROR(VLOOKUP(B32,Рўйхат!A:E,5,0),"")</f>
        <v/>
      </c>
      <c r="D32" s="30">
        <f>IFERROR(VLOOKUP(B32,Рўйхат!A:F,6,0),"")</f>
        <v/>
      </c>
      <c r="E32" s="17">
        <f>+SUMIF(Рўйхат!$A:$A,'Риск йўналишлари'!$B32,Рўйхат!G:G)</f>
        <v/>
      </c>
      <c r="F32" s="18">
        <f>+SUMIF(Рўйхат!$A:$A,'Риск йўналишлари'!$B32,Рўйхат!H:H)</f>
        <v/>
      </c>
      <c r="G32" s="18">
        <f>M32</f>
        <v/>
      </c>
      <c r="H32" s="18">
        <f>R32+W32+AB32+AG32</f>
        <v/>
      </c>
      <c r="I32" s="18">
        <f>+SUMIF(Рўйхат!$A:$A,'Риск йўналишлари'!$B32,Рўйхат!J:J)</f>
        <v/>
      </c>
      <c r="J32" s="18">
        <f>+SUMIF(Рўйхат!$A:$A,'Риск йўналишлари'!$B32,Рўйхат!K:K)</f>
        <v/>
      </c>
      <c r="K32" s="17">
        <f>+SUMIF(Рўйхат!$A:$A,'Риск йўналишлари'!$B32,Рўйхат!L:L)</f>
        <v/>
      </c>
      <c r="L32" s="18">
        <f>+SUMIF(Рўйхат!$A:$A,'Риск йўналишлари'!$B32,Рўйхат!M:M)</f>
        <v/>
      </c>
      <c r="M32" s="18">
        <f>+SUMIF(Рўйхат!$A:$A,'Риск йўналишлари'!$B32,Рўйхат!N:N)</f>
        <v/>
      </c>
      <c r="N32" s="18">
        <f>+SUMIF(Рўйхат!$A:$A,'Риск йўналишлари'!$B32,Рўйхат!O:O)</f>
        <v/>
      </c>
      <c r="O32" s="18">
        <f>+SUMIF(Рўйхат!$A:$A,'Риск йўналишлари'!$B32,Рўйхат!P:P)</f>
        <v/>
      </c>
      <c r="P32" s="17">
        <f>+SUMIF(Рўйхат!$A:$A,'Риск йўналишлари'!$B32,Рўйхат!Q:Q)</f>
        <v/>
      </c>
      <c r="Q32" s="18">
        <f>+SUMIF(Рўйхат!$A:$A,'Риск йўналишлари'!$B32,Рўйхат!R:R)</f>
        <v/>
      </c>
      <c r="R32" s="18">
        <f>+SUMIF(Рўйхат!$A:$A,'Риск йўналишлари'!$B32,Рўйхат!S:S)</f>
        <v/>
      </c>
      <c r="S32" s="18">
        <f>+SUMIF(Рўйхат!$A:$A,'Риск йўналишлари'!$B32,Рўйхат!T:T)</f>
        <v/>
      </c>
      <c r="T32" s="18">
        <f>+SUMIF(Рўйхат!$A:$A,'Риск йўналишлари'!$B32,Рўйхат!U:U)</f>
        <v/>
      </c>
      <c r="U32" s="17">
        <f>+SUMIF(Рўйхат!$A:$A,'Риск йўналишлари'!$B32,Рўйхат!V:V)</f>
        <v/>
      </c>
      <c r="V32" s="18">
        <f>+SUMIF(Рўйхат!$A:$A,'Риск йўналишлари'!$B32,Рўйхат!W:W)</f>
        <v/>
      </c>
      <c r="W32" s="18">
        <f>+SUMIF(Рўйхат!$A:$A,'Риск йўналишлари'!$B32,Рўйхат!X:X)</f>
        <v/>
      </c>
      <c r="X32" s="18">
        <f>+SUMIF(Рўйхат!$A:$A,'Риск йўналишлари'!$B32,Рўйхат!Y:Y)</f>
        <v/>
      </c>
      <c r="Y32" s="18">
        <f>+SUMIF(Рўйхат!$A:$A,'Риск йўналишлари'!$B32,Рўйхат!Z:Z)</f>
        <v/>
      </c>
      <c r="Z32" s="17">
        <f>+SUMIF(Рўйхат!$A:$A,'Риск йўналишлари'!$B32,Рўйхат!AA:AA)</f>
        <v/>
      </c>
      <c r="AA32" s="18">
        <f>+SUMIF(Рўйхат!$A:$A,'Риск йўналишлари'!$B32,Рўйхат!AB:AB)</f>
        <v/>
      </c>
      <c r="AB32" s="18">
        <f>+SUMIF(Рўйхат!$A:$A,'Риск йўналишлари'!$B32,Рўйхат!AC:AC)</f>
        <v/>
      </c>
      <c r="AC32" s="18">
        <f>+SUMIF(Рўйхат!$A:$A,'Риск йўналишлари'!$B32,Рўйхат!AD:AD)</f>
        <v/>
      </c>
      <c r="AD32" s="18">
        <f>+SUMIF(Рўйхат!$A:$A,'Риск йўналишлари'!$B32,Рўйхат!AE:AE)</f>
        <v/>
      </c>
      <c r="AE32" s="17">
        <f>+SUMIF(Рўйхат!$A:$A,'Риск йўналишлари'!$B32,Рўйхат!AF:AF)</f>
        <v/>
      </c>
      <c r="AF32" s="18">
        <f>+SUMIF(Рўйхат!$A:$A,'Риск йўналишлари'!$B32,Рўйхат!AG:AG)</f>
        <v/>
      </c>
      <c r="AG32" s="18">
        <f>+SUMIF(Рўйхат!$A:$A,'Риск йўналишлари'!$B32,Рўйхат!AH:AH)</f>
        <v/>
      </c>
      <c r="AH32" s="33">
        <f>+SUMIF(Рўйхат!$A:$A,'Риск йўналишлари'!$B32,Рўйхат!AI:AI)</f>
        <v/>
      </c>
      <c r="AI32" s="19">
        <f>+SUMIF(Рўйхат!$A:$A,'Риск йўналишлари'!$B32,Рўйхат!AJ:AJ)</f>
        <v/>
      </c>
    </row>
    <row r="33">
      <c r="A33" s="15" t="n">
        <v>28</v>
      </c>
      <c r="B33" s="16" t="inlineStr">
        <is>
          <t>Манфаатлар тўқнашуви (UZEX AI)</t>
        </is>
      </c>
      <c r="C33" s="16">
        <f>IFERROR(VLOOKUP(B33,Рўйхат!A:E,5,0),"")</f>
        <v/>
      </c>
      <c r="D33" s="30">
        <f>IFERROR(VLOOKUP(B33,Рўйхат!A:F,6,0),"")</f>
        <v/>
      </c>
      <c r="E33" s="17">
        <f>+SUMIF(Рўйхат!$A:$A,'Риск йўналишлари'!$B33,Рўйхат!G:G)</f>
        <v/>
      </c>
      <c r="F33" s="18">
        <f>+SUMIF(Рўйхат!$A:$A,'Риск йўналишлари'!$B33,Рўйхат!H:H)</f>
        <v/>
      </c>
      <c r="G33" s="18">
        <f>M33</f>
        <v/>
      </c>
      <c r="H33" s="18">
        <f>R33+W33+AB33+AG33</f>
        <v/>
      </c>
      <c r="I33" s="18">
        <f>+SUMIF(Рўйхат!$A:$A,'Риск йўналишлари'!$B33,Рўйхат!J:J)</f>
        <v/>
      </c>
      <c r="J33" s="18">
        <f>+SUMIF(Рўйхат!$A:$A,'Риск йўналишлари'!$B33,Рўйхат!K:K)</f>
        <v/>
      </c>
      <c r="K33" s="17">
        <f>+SUMIF(Рўйхат!$A:$A,'Риск йўналишлари'!$B33,Рўйхат!L:L)</f>
        <v/>
      </c>
      <c r="L33" s="18">
        <f>+SUMIF(Рўйхат!$A:$A,'Риск йўналишлари'!$B33,Рўйхат!M:M)</f>
        <v/>
      </c>
      <c r="M33" s="18">
        <f>+SUMIF(Рўйхат!$A:$A,'Риск йўналишлари'!$B33,Рўйхат!N:N)</f>
        <v/>
      </c>
      <c r="N33" s="18">
        <f>+SUMIF(Рўйхат!$A:$A,'Риск йўналишлари'!$B33,Рўйхат!O:O)</f>
        <v/>
      </c>
      <c r="O33" s="18">
        <f>+SUMIF(Рўйхат!$A:$A,'Риск йўналишлари'!$B33,Рўйхат!P:P)</f>
        <v/>
      </c>
      <c r="P33" s="17">
        <f>+SUMIF(Рўйхат!$A:$A,'Риск йўналишлари'!$B33,Рўйхат!Q:Q)</f>
        <v/>
      </c>
      <c r="Q33" s="18">
        <f>+SUMIF(Рўйхат!$A:$A,'Риск йўналишлари'!$B33,Рўйхат!R:R)</f>
        <v/>
      </c>
      <c r="R33" s="18">
        <f>+SUMIF(Рўйхат!$A:$A,'Риск йўналишлари'!$B33,Рўйхат!S:S)</f>
        <v/>
      </c>
      <c r="S33" s="18">
        <f>+SUMIF(Рўйхат!$A:$A,'Риск йўналишлари'!$B33,Рўйхат!T:T)</f>
        <v/>
      </c>
      <c r="T33" s="18">
        <f>+SUMIF(Рўйхат!$A:$A,'Риск йўналишлари'!$B33,Рўйхат!U:U)</f>
        <v/>
      </c>
      <c r="U33" s="17">
        <f>+SUMIF(Рўйхат!$A:$A,'Риск йўналишлари'!$B33,Рўйхат!V:V)</f>
        <v/>
      </c>
      <c r="V33" s="18">
        <f>+SUMIF(Рўйхат!$A:$A,'Риск йўналишлари'!$B33,Рўйхат!W:W)</f>
        <v/>
      </c>
      <c r="W33" s="18">
        <f>+SUMIF(Рўйхат!$A:$A,'Риск йўналишлари'!$B33,Рўйхат!X:X)</f>
        <v/>
      </c>
      <c r="X33" s="18">
        <f>+SUMIF(Рўйхат!$A:$A,'Риск йўналишлари'!$B33,Рўйхат!Y:Y)</f>
        <v/>
      </c>
      <c r="Y33" s="18">
        <f>+SUMIF(Рўйхат!$A:$A,'Риск йўналишлари'!$B33,Рўйхат!Z:Z)</f>
        <v/>
      </c>
      <c r="Z33" s="17">
        <f>+SUMIF(Рўйхат!$A:$A,'Риск йўналишлари'!$B33,Рўйхат!AA:AA)</f>
        <v/>
      </c>
      <c r="AA33" s="18">
        <f>+SUMIF(Рўйхат!$A:$A,'Риск йўналишлари'!$B33,Рўйхат!AB:AB)</f>
        <v/>
      </c>
      <c r="AB33" s="18">
        <f>+SUMIF(Рўйхат!$A:$A,'Риск йўналишлари'!$B33,Рўйхат!AC:AC)</f>
        <v/>
      </c>
      <c r="AC33" s="18">
        <f>+SUMIF(Рўйхат!$A:$A,'Риск йўналишлари'!$B33,Рўйхат!AD:AD)</f>
        <v/>
      </c>
      <c r="AD33" s="18">
        <f>+SUMIF(Рўйхат!$A:$A,'Риск йўналишлари'!$B33,Рўйхат!AE:AE)</f>
        <v/>
      </c>
      <c r="AE33" s="17">
        <f>+SUMIF(Рўйхат!$A:$A,'Риск йўналишлари'!$B33,Рўйхат!AF:AF)</f>
        <v/>
      </c>
      <c r="AF33" s="18">
        <f>+SUMIF(Рўйхат!$A:$A,'Риск йўналишлари'!$B33,Рўйхат!AG:AG)</f>
        <v/>
      </c>
      <c r="AG33" s="18">
        <f>+SUMIF(Рўйхат!$A:$A,'Риск йўналишлари'!$B33,Рўйхат!AH:AH)</f>
        <v/>
      </c>
      <c r="AH33" s="33">
        <f>+SUMIF(Рўйхат!$A:$A,'Риск йўналишлари'!$B33,Рўйхат!AI:AI)</f>
        <v/>
      </c>
      <c r="AI33" s="19">
        <f>+SUMIF(Рўйхат!$A:$A,'Риск йўналишлари'!$B33,Рўйхат!AJ:AJ)</f>
        <v/>
      </c>
    </row>
    <row r="34">
      <c r="A34" s="15" t="n">
        <v>29</v>
      </c>
      <c r="B34" s="16" t="inlineStr">
        <is>
          <t>Вафот этган фуқароларга УзАСБОдан ойлик иш ҳақи ҳисобланганлиги</t>
        </is>
      </c>
      <c r="C34" s="16">
        <f>IFERROR(VLOOKUP(B34,Рўйхат!A:E,5,0),"")</f>
        <v/>
      </c>
      <c r="D34" s="30">
        <f>IFERROR(VLOOKUP(B34,Рўйхат!A:F,6,0),"")</f>
        <v/>
      </c>
      <c r="E34" s="17">
        <f>+SUMIF(Рўйхат!$A:$A,'Риск йўналишлари'!$B34,Рўйхат!G:G)</f>
        <v/>
      </c>
      <c r="F34" s="18">
        <f>+SUMIF(Рўйхат!$A:$A,'Риск йўналишлари'!$B34,Рўйхат!H:H)</f>
        <v/>
      </c>
      <c r="G34" s="18">
        <f>M34</f>
        <v/>
      </c>
      <c r="H34" s="18">
        <f>R34+W34+AB34+AG34</f>
        <v/>
      </c>
      <c r="I34" s="18">
        <f>+SUMIF(Рўйхат!$A:$A,'Риск йўналишлари'!$B34,Рўйхат!J:J)</f>
        <v/>
      </c>
      <c r="J34" s="18">
        <f>+SUMIF(Рўйхат!$A:$A,'Риск йўналишлари'!$B34,Рўйхат!K:K)</f>
        <v/>
      </c>
      <c r="K34" s="17">
        <f>+SUMIF(Рўйхат!$A:$A,'Риск йўналишлари'!$B34,Рўйхат!L:L)</f>
        <v/>
      </c>
      <c r="L34" s="18">
        <f>+SUMIF(Рўйхат!$A:$A,'Риск йўналишлари'!$B34,Рўйхат!M:M)</f>
        <v/>
      </c>
      <c r="M34" s="18">
        <f>+SUMIF(Рўйхат!$A:$A,'Риск йўналишлари'!$B34,Рўйхат!N:N)</f>
        <v/>
      </c>
      <c r="N34" s="18">
        <f>+SUMIF(Рўйхат!$A:$A,'Риск йўналишлари'!$B34,Рўйхат!O:O)</f>
        <v/>
      </c>
      <c r="O34" s="18">
        <f>+SUMIF(Рўйхат!$A:$A,'Риск йўналишлари'!$B34,Рўйхат!P:P)</f>
        <v/>
      </c>
      <c r="P34" s="17">
        <f>+SUMIF(Рўйхат!$A:$A,'Риск йўналишлари'!$B34,Рўйхат!Q:Q)</f>
        <v/>
      </c>
      <c r="Q34" s="18">
        <f>+SUMIF(Рўйхат!$A:$A,'Риск йўналишлари'!$B34,Рўйхат!R:R)</f>
        <v/>
      </c>
      <c r="R34" s="18">
        <f>+SUMIF(Рўйхат!$A:$A,'Риск йўналишлари'!$B34,Рўйхат!S:S)</f>
        <v/>
      </c>
      <c r="S34" s="18">
        <f>+SUMIF(Рўйхат!$A:$A,'Риск йўналишлари'!$B34,Рўйхат!T:T)</f>
        <v/>
      </c>
      <c r="T34" s="18">
        <f>+SUMIF(Рўйхат!$A:$A,'Риск йўналишлари'!$B34,Рўйхат!U:U)</f>
        <v/>
      </c>
      <c r="U34" s="17">
        <f>+SUMIF(Рўйхат!$A:$A,'Риск йўналишлари'!$B34,Рўйхат!V:V)</f>
        <v/>
      </c>
      <c r="V34" s="18">
        <f>+SUMIF(Рўйхат!$A:$A,'Риск йўналишлари'!$B34,Рўйхат!W:W)</f>
        <v/>
      </c>
      <c r="W34" s="18">
        <f>+SUMIF(Рўйхат!$A:$A,'Риск йўналишлари'!$B34,Рўйхат!X:X)</f>
        <v/>
      </c>
      <c r="X34" s="18">
        <f>+SUMIF(Рўйхат!$A:$A,'Риск йўналишлари'!$B34,Рўйхат!Y:Y)</f>
        <v/>
      </c>
      <c r="Y34" s="18">
        <f>+SUMIF(Рўйхат!$A:$A,'Риск йўналишлари'!$B34,Рўйхат!Z:Z)</f>
        <v/>
      </c>
      <c r="Z34" s="17">
        <f>+SUMIF(Рўйхат!$A:$A,'Риск йўналишлари'!$B34,Рўйхат!AA:AA)</f>
        <v/>
      </c>
      <c r="AA34" s="18">
        <f>+SUMIF(Рўйхат!$A:$A,'Риск йўналишлари'!$B34,Рўйхат!AB:AB)</f>
        <v/>
      </c>
      <c r="AB34" s="18">
        <f>+SUMIF(Рўйхат!$A:$A,'Риск йўналишлари'!$B34,Рўйхат!AC:AC)</f>
        <v/>
      </c>
      <c r="AC34" s="18">
        <f>+SUMIF(Рўйхат!$A:$A,'Риск йўналишлари'!$B34,Рўйхат!AD:AD)</f>
        <v/>
      </c>
      <c r="AD34" s="18">
        <f>+SUMIF(Рўйхат!$A:$A,'Риск йўналишлари'!$B34,Рўйхат!AE:AE)</f>
        <v/>
      </c>
      <c r="AE34" s="17">
        <f>+SUMIF(Рўйхат!$A:$A,'Риск йўналишлари'!$B34,Рўйхат!AF:AF)</f>
        <v/>
      </c>
      <c r="AF34" s="18">
        <f>+SUMIF(Рўйхат!$A:$A,'Риск йўналишлари'!$B34,Рўйхат!AG:AG)</f>
        <v/>
      </c>
      <c r="AG34" s="18">
        <f>+SUMIF(Рўйхат!$A:$A,'Риск йўналишлари'!$B34,Рўйхат!AH:AH)</f>
        <v/>
      </c>
      <c r="AH34" s="33">
        <f>+SUMIF(Рўйхат!$A:$A,'Риск йўналишлари'!$B34,Рўйхат!AI:AI)</f>
        <v/>
      </c>
      <c r="AI34" s="19">
        <f>+SUMIF(Рўйхат!$A:$A,'Риск йўналишлари'!$B34,Рўйхат!AJ:AJ)</f>
        <v/>
      </c>
    </row>
    <row r="35">
      <c r="A35" s="15" t="n">
        <v>30</v>
      </c>
      <c r="B35" s="16" t="inlineStr">
        <is>
          <t>Автомобилларга ёқилғи қуйиш шахобчалари томонидан сотилган газ (метан) миқдори таҳлили</t>
        </is>
      </c>
      <c r="C35" s="16">
        <f>IFERROR(VLOOKUP(B35,Рўйхат!A:E,5,0),"")</f>
        <v/>
      </c>
      <c r="D35" s="30">
        <f>IFERROR(VLOOKUP(B35,Рўйхат!A:F,6,0),"")</f>
        <v/>
      </c>
      <c r="E35" s="17">
        <f>+SUMIF(Рўйхат!$A:$A,'Риск йўналишлари'!$B35,Рўйхат!G:G)</f>
        <v/>
      </c>
      <c r="F35" s="18">
        <f>+SUMIF(Рўйхат!$A:$A,'Риск йўналишлари'!$B35,Рўйхат!H:H)</f>
        <v/>
      </c>
      <c r="G35" s="18">
        <f>M35</f>
        <v/>
      </c>
      <c r="H35" s="18">
        <f>R35+W35+AB35+AG35</f>
        <v/>
      </c>
      <c r="I35" s="18">
        <f>+SUMIF(Рўйхат!$A:$A,'Риск йўналишлари'!$B35,Рўйхат!J:J)</f>
        <v/>
      </c>
      <c r="J35" s="18">
        <f>+SUMIF(Рўйхат!$A:$A,'Риск йўналишлари'!$B35,Рўйхат!K:K)</f>
        <v/>
      </c>
      <c r="K35" s="17">
        <f>+SUMIF(Рўйхат!$A:$A,'Риск йўналишлари'!$B35,Рўйхат!L:L)</f>
        <v/>
      </c>
      <c r="L35" s="18">
        <f>+SUMIF(Рўйхат!$A:$A,'Риск йўналишлари'!$B35,Рўйхат!M:M)</f>
        <v/>
      </c>
      <c r="M35" s="18">
        <f>+SUMIF(Рўйхат!$A:$A,'Риск йўналишлари'!$B35,Рўйхат!N:N)</f>
        <v/>
      </c>
      <c r="N35" s="18">
        <f>+SUMIF(Рўйхат!$A:$A,'Риск йўналишлари'!$B35,Рўйхат!O:O)</f>
        <v/>
      </c>
      <c r="O35" s="18">
        <f>+SUMIF(Рўйхат!$A:$A,'Риск йўналишлари'!$B35,Рўйхат!P:P)</f>
        <v/>
      </c>
      <c r="P35" s="17">
        <f>+SUMIF(Рўйхат!$A:$A,'Риск йўналишлари'!$B35,Рўйхат!Q:Q)</f>
        <v/>
      </c>
      <c r="Q35" s="18">
        <f>+SUMIF(Рўйхат!$A:$A,'Риск йўналишлари'!$B35,Рўйхат!R:R)</f>
        <v/>
      </c>
      <c r="R35" s="18">
        <f>+SUMIF(Рўйхат!$A:$A,'Риск йўналишлари'!$B35,Рўйхат!S:S)</f>
        <v/>
      </c>
      <c r="S35" s="18">
        <f>+SUMIF(Рўйхат!$A:$A,'Риск йўналишлари'!$B35,Рўйхат!T:T)</f>
        <v/>
      </c>
      <c r="T35" s="18">
        <f>+SUMIF(Рўйхат!$A:$A,'Риск йўналишлари'!$B35,Рўйхат!U:U)</f>
        <v/>
      </c>
      <c r="U35" s="17">
        <f>+SUMIF(Рўйхат!$A:$A,'Риск йўналишлари'!$B35,Рўйхат!V:V)</f>
        <v/>
      </c>
      <c r="V35" s="18">
        <f>+SUMIF(Рўйхат!$A:$A,'Риск йўналишлари'!$B35,Рўйхат!W:W)</f>
        <v/>
      </c>
      <c r="W35" s="18">
        <f>+SUMIF(Рўйхат!$A:$A,'Риск йўналишлари'!$B35,Рўйхат!X:X)</f>
        <v/>
      </c>
      <c r="X35" s="18">
        <f>+SUMIF(Рўйхат!$A:$A,'Риск йўналишлари'!$B35,Рўйхат!Y:Y)</f>
        <v/>
      </c>
      <c r="Y35" s="18">
        <f>+SUMIF(Рўйхат!$A:$A,'Риск йўналишлари'!$B35,Рўйхат!Z:Z)</f>
        <v/>
      </c>
      <c r="Z35" s="17">
        <f>+SUMIF(Рўйхат!$A:$A,'Риск йўналишлари'!$B35,Рўйхат!AA:AA)</f>
        <v/>
      </c>
      <c r="AA35" s="18">
        <f>+SUMIF(Рўйхат!$A:$A,'Риск йўналишлари'!$B35,Рўйхат!AB:AB)</f>
        <v/>
      </c>
      <c r="AB35" s="18">
        <f>+SUMIF(Рўйхат!$A:$A,'Риск йўналишлари'!$B35,Рўйхат!AC:AC)</f>
        <v/>
      </c>
      <c r="AC35" s="18">
        <f>+SUMIF(Рўйхат!$A:$A,'Риск йўналишлари'!$B35,Рўйхат!AD:AD)</f>
        <v/>
      </c>
      <c r="AD35" s="18">
        <f>+SUMIF(Рўйхат!$A:$A,'Риск йўналишлари'!$B35,Рўйхат!AE:AE)</f>
        <v/>
      </c>
      <c r="AE35" s="17">
        <f>+SUMIF(Рўйхат!$A:$A,'Риск йўналишлари'!$B35,Рўйхат!AF:AF)</f>
        <v/>
      </c>
      <c r="AF35" s="18">
        <f>+SUMIF(Рўйхат!$A:$A,'Риск йўналишлари'!$B35,Рўйхат!AG:AG)</f>
        <v/>
      </c>
      <c r="AG35" s="18">
        <f>+SUMIF(Рўйхат!$A:$A,'Риск йўналишлари'!$B35,Рўйхат!AH:AH)</f>
        <v/>
      </c>
      <c r="AH35" s="33">
        <f>+SUMIF(Рўйхат!$A:$A,'Риск йўналишлари'!$B35,Рўйхат!AI:AI)</f>
        <v/>
      </c>
      <c r="AI35" s="19">
        <f>+SUMIF(Рўйхат!$A:$A,'Риск йўналишлари'!$B35,Рўйхат!AJ:AJ)</f>
        <v/>
      </c>
    </row>
    <row r="36">
      <c r="A36" s="15" t="n">
        <v>31</v>
      </c>
      <c r="B36" s="16" t="inlineStr">
        <is>
          <t>Қурилиш объекти пулларини тўланиши таҳлили</t>
        </is>
      </c>
      <c r="C36" s="16">
        <f>IFERROR(VLOOKUP(B36,Рўйхат!A:E,5,0),"")</f>
        <v/>
      </c>
      <c r="D36" s="30">
        <f>IFERROR(VLOOKUP(B36,Рўйхат!A:F,6,0),"")</f>
        <v/>
      </c>
      <c r="E36" s="17">
        <f>+SUMIF(Рўйхат!$A:$A,'Риск йўналишлари'!$B36,Рўйхат!G:G)</f>
        <v/>
      </c>
      <c r="F36" s="18">
        <f>+SUMIF(Рўйхат!$A:$A,'Риск йўналишлари'!$B36,Рўйхат!H:H)</f>
        <v/>
      </c>
      <c r="G36" s="18">
        <f>M36</f>
        <v/>
      </c>
      <c r="H36" s="18">
        <f>R36+W36+AB36+AG36</f>
        <v/>
      </c>
      <c r="I36" s="18">
        <f>+SUMIF(Рўйхат!$A:$A,'Риск йўналишлари'!$B36,Рўйхат!J:J)</f>
        <v/>
      </c>
      <c r="J36" s="18">
        <f>+SUMIF(Рўйхат!$A:$A,'Риск йўналишлари'!$B36,Рўйхат!K:K)</f>
        <v/>
      </c>
      <c r="K36" s="17">
        <f>+SUMIF(Рўйхат!$A:$A,'Риск йўналишлари'!$B36,Рўйхат!L:L)</f>
        <v/>
      </c>
      <c r="L36" s="18">
        <f>+SUMIF(Рўйхат!$A:$A,'Риск йўналишлари'!$B36,Рўйхат!M:M)</f>
        <v/>
      </c>
      <c r="M36" s="18">
        <f>+SUMIF(Рўйхат!$A:$A,'Риск йўналишлари'!$B36,Рўйхат!N:N)</f>
        <v/>
      </c>
      <c r="N36" s="18">
        <f>+SUMIF(Рўйхат!$A:$A,'Риск йўналишлари'!$B36,Рўйхат!O:O)</f>
        <v/>
      </c>
      <c r="O36" s="18">
        <f>+SUMIF(Рўйхат!$A:$A,'Риск йўналишлари'!$B36,Рўйхат!P:P)</f>
        <v/>
      </c>
      <c r="P36" s="17">
        <f>+SUMIF(Рўйхат!$A:$A,'Риск йўналишлари'!$B36,Рўйхат!Q:Q)</f>
        <v/>
      </c>
      <c r="Q36" s="18">
        <f>+SUMIF(Рўйхат!$A:$A,'Риск йўналишлари'!$B36,Рўйхат!R:R)</f>
        <v/>
      </c>
      <c r="R36" s="18">
        <f>+SUMIF(Рўйхат!$A:$A,'Риск йўналишлари'!$B36,Рўйхат!S:S)</f>
        <v/>
      </c>
      <c r="S36" s="18">
        <f>+SUMIF(Рўйхат!$A:$A,'Риск йўналишлари'!$B36,Рўйхат!T:T)</f>
        <v/>
      </c>
      <c r="T36" s="18">
        <f>+SUMIF(Рўйхат!$A:$A,'Риск йўналишлари'!$B36,Рўйхат!U:U)</f>
        <v/>
      </c>
      <c r="U36" s="17">
        <f>+SUMIF(Рўйхат!$A:$A,'Риск йўналишлари'!$B36,Рўйхат!V:V)</f>
        <v/>
      </c>
      <c r="V36" s="18">
        <f>+SUMIF(Рўйхат!$A:$A,'Риск йўналишлари'!$B36,Рўйхат!W:W)</f>
        <v/>
      </c>
      <c r="W36" s="18">
        <f>+SUMIF(Рўйхат!$A:$A,'Риск йўналишлари'!$B36,Рўйхат!X:X)</f>
        <v/>
      </c>
      <c r="X36" s="18">
        <f>+SUMIF(Рўйхат!$A:$A,'Риск йўналишлари'!$B36,Рўйхат!Y:Y)</f>
        <v/>
      </c>
      <c r="Y36" s="18">
        <f>+SUMIF(Рўйхат!$A:$A,'Риск йўналишлари'!$B36,Рўйхат!Z:Z)</f>
        <v/>
      </c>
      <c r="Z36" s="17">
        <f>+SUMIF(Рўйхат!$A:$A,'Риск йўналишлари'!$B36,Рўйхат!AA:AA)</f>
        <v/>
      </c>
      <c r="AA36" s="18">
        <f>+SUMIF(Рўйхат!$A:$A,'Риск йўналишлари'!$B36,Рўйхат!AB:AB)</f>
        <v/>
      </c>
      <c r="AB36" s="18">
        <f>+SUMIF(Рўйхат!$A:$A,'Риск йўналишлари'!$B36,Рўйхат!AC:AC)</f>
        <v/>
      </c>
      <c r="AC36" s="18">
        <f>+SUMIF(Рўйхат!$A:$A,'Риск йўналишлари'!$B36,Рўйхат!AD:AD)</f>
        <v/>
      </c>
      <c r="AD36" s="18">
        <f>+SUMIF(Рўйхат!$A:$A,'Риск йўналишлари'!$B36,Рўйхат!AE:AE)</f>
        <v/>
      </c>
      <c r="AE36" s="17">
        <f>+SUMIF(Рўйхат!$A:$A,'Риск йўналишлари'!$B36,Рўйхат!AF:AF)</f>
        <v/>
      </c>
      <c r="AF36" s="18">
        <f>+SUMIF(Рўйхат!$A:$A,'Риск йўналишлари'!$B36,Рўйхат!AG:AG)</f>
        <v/>
      </c>
      <c r="AG36" s="18">
        <f>+SUMIF(Рўйхат!$A:$A,'Риск йўналишлари'!$B36,Рўйхат!AH:AH)</f>
        <v/>
      </c>
      <c r="AH36" s="33">
        <f>+SUMIF(Рўйхат!$A:$A,'Риск йўналишлари'!$B36,Рўйхат!AI:AI)</f>
        <v/>
      </c>
      <c r="AI36" s="19">
        <f>+SUMIF(Рўйхат!$A:$A,'Риск йўналишлари'!$B36,Рўйхат!AJ:AJ)</f>
        <v/>
      </c>
    </row>
    <row r="37">
      <c r="A37" s="15" t="n">
        <v>32</v>
      </c>
      <c r="B37" s="16" t="inlineStr">
        <is>
          <t>Аффилланганлик таҳлили</t>
        </is>
      </c>
      <c r="C37" s="16">
        <f>IFERROR(VLOOKUP(B37,Рўйхат!A:E,5,0),"")</f>
        <v/>
      </c>
      <c r="D37" s="30">
        <f>IFERROR(VLOOKUP(B37,Рўйхат!A:F,6,0),"")</f>
        <v/>
      </c>
      <c r="E37" s="17">
        <f>+SUMIF(Рўйхат!$A:$A,'Риск йўналишлари'!$B37,Рўйхат!G:G)</f>
        <v/>
      </c>
      <c r="F37" s="18">
        <f>+SUMIF(Рўйхат!$A:$A,'Риск йўналишлари'!$B37,Рўйхат!H:H)</f>
        <v/>
      </c>
      <c r="G37" s="18">
        <f>M37</f>
        <v/>
      </c>
      <c r="H37" s="18">
        <f>R37+W37+AB37+AG37</f>
        <v/>
      </c>
      <c r="I37" s="18">
        <f>+SUMIF(Рўйхат!$A:$A,'Риск йўналишлари'!$B37,Рўйхат!J:J)</f>
        <v/>
      </c>
      <c r="J37" s="18">
        <f>+SUMIF(Рўйхат!$A:$A,'Риск йўналишлари'!$B37,Рўйхат!K:K)</f>
        <v/>
      </c>
      <c r="K37" s="17">
        <f>+SUMIF(Рўйхат!$A:$A,'Риск йўналишлари'!$B37,Рўйхат!L:L)</f>
        <v/>
      </c>
      <c r="L37" s="18">
        <f>+SUMIF(Рўйхат!$A:$A,'Риск йўналишлари'!$B37,Рўйхат!M:M)</f>
        <v/>
      </c>
      <c r="M37" s="18">
        <f>+SUMIF(Рўйхат!$A:$A,'Риск йўналишлари'!$B37,Рўйхат!N:N)</f>
        <v/>
      </c>
      <c r="N37" s="18">
        <f>+SUMIF(Рўйхат!$A:$A,'Риск йўналишлари'!$B37,Рўйхат!O:O)</f>
        <v/>
      </c>
      <c r="O37" s="18">
        <f>+SUMIF(Рўйхат!$A:$A,'Риск йўналишлари'!$B37,Рўйхат!P:P)</f>
        <v/>
      </c>
      <c r="P37" s="17">
        <f>+SUMIF(Рўйхат!$A:$A,'Риск йўналишлари'!$B37,Рўйхат!Q:Q)</f>
        <v/>
      </c>
      <c r="Q37" s="18">
        <f>+SUMIF(Рўйхат!$A:$A,'Риск йўналишлари'!$B37,Рўйхат!R:R)</f>
        <v/>
      </c>
      <c r="R37" s="18">
        <f>+SUMIF(Рўйхат!$A:$A,'Риск йўналишлари'!$B37,Рўйхат!S:S)</f>
        <v/>
      </c>
      <c r="S37" s="18">
        <f>+SUMIF(Рўйхат!$A:$A,'Риск йўналишлари'!$B37,Рўйхат!T:T)</f>
        <v/>
      </c>
      <c r="T37" s="18">
        <f>+SUMIF(Рўйхат!$A:$A,'Риск йўналишлари'!$B37,Рўйхат!U:U)</f>
        <v/>
      </c>
      <c r="U37" s="17">
        <f>+SUMIF(Рўйхат!$A:$A,'Риск йўналишлари'!$B37,Рўйхат!V:V)</f>
        <v/>
      </c>
      <c r="V37" s="18">
        <f>+SUMIF(Рўйхат!$A:$A,'Риск йўналишлари'!$B37,Рўйхат!W:W)</f>
        <v/>
      </c>
      <c r="W37" s="18">
        <f>+SUMIF(Рўйхат!$A:$A,'Риск йўналишлари'!$B37,Рўйхат!X:X)</f>
        <v/>
      </c>
      <c r="X37" s="18">
        <f>+SUMIF(Рўйхат!$A:$A,'Риск йўналишлари'!$B37,Рўйхат!Y:Y)</f>
        <v/>
      </c>
      <c r="Y37" s="18">
        <f>+SUMIF(Рўйхат!$A:$A,'Риск йўналишлари'!$B37,Рўйхат!Z:Z)</f>
        <v/>
      </c>
      <c r="Z37" s="17">
        <f>+SUMIF(Рўйхат!$A:$A,'Риск йўналишлари'!$B37,Рўйхат!AA:AA)</f>
        <v/>
      </c>
      <c r="AA37" s="18">
        <f>+SUMIF(Рўйхат!$A:$A,'Риск йўналишлари'!$B37,Рўйхат!AB:AB)</f>
        <v/>
      </c>
      <c r="AB37" s="18">
        <f>+SUMIF(Рўйхат!$A:$A,'Риск йўналишлари'!$B37,Рўйхат!AC:AC)</f>
        <v/>
      </c>
      <c r="AC37" s="18">
        <f>+SUMIF(Рўйхат!$A:$A,'Риск йўналишлари'!$B37,Рўйхат!AD:AD)</f>
        <v/>
      </c>
      <c r="AD37" s="18">
        <f>+SUMIF(Рўйхат!$A:$A,'Риск йўналишлари'!$B37,Рўйхат!AE:AE)</f>
        <v/>
      </c>
      <c r="AE37" s="17">
        <f>+SUMIF(Рўйхат!$A:$A,'Риск йўналишлари'!$B37,Рўйхат!AF:AF)</f>
        <v/>
      </c>
      <c r="AF37" s="18">
        <f>+SUMIF(Рўйхат!$A:$A,'Риск йўналишлари'!$B37,Рўйхат!AG:AG)</f>
        <v/>
      </c>
      <c r="AG37" s="18">
        <f>+SUMIF(Рўйхат!$A:$A,'Риск йўналишлари'!$B37,Рўйхат!AH:AH)</f>
        <v/>
      </c>
      <c r="AH37" s="33">
        <f>+SUMIF(Рўйхат!$A:$A,'Риск йўналишлари'!$B37,Рўйхат!AI:AI)</f>
        <v/>
      </c>
      <c r="AI37" s="19">
        <f>+SUMIF(Рўйхат!$A:$A,'Риск йўналишлари'!$B37,Рўйхат!AJ:AJ)</f>
        <v/>
      </c>
    </row>
    <row r="38">
      <c r="A38" s="15" t="n">
        <v>33</v>
      </c>
      <c r="B38" s="16" t="inlineStr">
        <is>
          <t>Қурилишга рухсат бериш жараёнида белгиланган қарор талабларининг бузилиши ҳолатлари</t>
        </is>
      </c>
      <c r="C38" s="16">
        <f>IFERROR(VLOOKUP(B38,Рўйхат!A:E,5,0),"")</f>
        <v/>
      </c>
      <c r="D38" s="30">
        <f>IFERROR(VLOOKUP(B38,Рўйхат!A:F,6,0),"")</f>
        <v/>
      </c>
      <c r="E38" s="17">
        <f>+SUMIF(Рўйхат!$A:$A,'Риск йўналишлари'!$B38,Рўйхат!G:G)</f>
        <v/>
      </c>
      <c r="F38" s="18">
        <f>+SUMIF(Рўйхат!$A:$A,'Риск йўналишлари'!$B38,Рўйхат!H:H)</f>
        <v/>
      </c>
      <c r="G38" s="18">
        <f>M38</f>
        <v/>
      </c>
      <c r="H38" s="18">
        <f>R38+W38+AB38+AG38</f>
        <v/>
      </c>
      <c r="I38" s="18">
        <f>+SUMIF(Рўйхат!$A:$A,'Риск йўналишлари'!$B38,Рўйхат!J:J)</f>
        <v/>
      </c>
      <c r="J38" s="18">
        <f>+SUMIF(Рўйхат!$A:$A,'Риск йўналишлари'!$B38,Рўйхат!K:K)</f>
        <v/>
      </c>
      <c r="K38" s="17">
        <f>+SUMIF(Рўйхат!$A:$A,'Риск йўналишлари'!$B38,Рўйхат!L:L)</f>
        <v/>
      </c>
      <c r="L38" s="18">
        <f>+SUMIF(Рўйхат!$A:$A,'Риск йўналишлари'!$B38,Рўйхат!M:M)</f>
        <v/>
      </c>
      <c r="M38" s="18">
        <f>+SUMIF(Рўйхат!$A:$A,'Риск йўналишлари'!$B38,Рўйхат!N:N)</f>
        <v/>
      </c>
      <c r="N38" s="18">
        <f>+SUMIF(Рўйхат!$A:$A,'Риск йўналишлари'!$B38,Рўйхат!O:O)</f>
        <v/>
      </c>
      <c r="O38" s="18">
        <f>+SUMIF(Рўйхат!$A:$A,'Риск йўналишлари'!$B38,Рўйхат!P:P)</f>
        <v/>
      </c>
      <c r="P38" s="17">
        <f>+SUMIF(Рўйхат!$A:$A,'Риск йўналишлари'!$B38,Рўйхат!Q:Q)</f>
        <v/>
      </c>
      <c r="Q38" s="18">
        <f>+SUMIF(Рўйхат!$A:$A,'Риск йўналишлари'!$B38,Рўйхат!R:R)</f>
        <v/>
      </c>
      <c r="R38" s="18">
        <f>+SUMIF(Рўйхат!$A:$A,'Риск йўналишлари'!$B38,Рўйхат!S:S)</f>
        <v/>
      </c>
      <c r="S38" s="18">
        <f>+SUMIF(Рўйхат!$A:$A,'Риск йўналишлари'!$B38,Рўйхат!T:T)</f>
        <v/>
      </c>
      <c r="T38" s="18">
        <f>+SUMIF(Рўйхат!$A:$A,'Риск йўналишлари'!$B38,Рўйхат!U:U)</f>
        <v/>
      </c>
      <c r="U38" s="17">
        <f>+SUMIF(Рўйхат!$A:$A,'Риск йўналишлари'!$B38,Рўйхат!V:V)</f>
        <v/>
      </c>
      <c r="V38" s="18">
        <f>+SUMIF(Рўйхат!$A:$A,'Риск йўналишлари'!$B38,Рўйхат!W:W)</f>
        <v/>
      </c>
      <c r="W38" s="18">
        <f>+SUMIF(Рўйхат!$A:$A,'Риск йўналишлари'!$B38,Рўйхат!X:X)</f>
        <v/>
      </c>
      <c r="X38" s="18">
        <f>+SUMIF(Рўйхат!$A:$A,'Риск йўналишлари'!$B38,Рўйхат!Y:Y)</f>
        <v/>
      </c>
      <c r="Y38" s="18">
        <f>+SUMIF(Рўйхат!$A:$A,'Риск йўналишлари'!$B38,Рўйхат!Z:Z)</f>
        <v/>
      </c>
      <c r="Z38" s="17">
        <f>+SUMIF(Рўйхат!$A:$A,'Риск йўналишлари'!$B38,Рўйхат!AA:AA)</f>
        <v/>
      </c>
      <c r="AA38" s="18">
        <f>+SUMIF(Рўйхат!$A:$A,'Риск йўналишлари'!$B38,Рўйхат!AB:AB)</f>
        <v/>
      </c>
      <c r="AB38" s="18">
        <f>+SUMIF(Рўйхат!$A:$A,'Риск йўналишлари'!$B38,Рўйхат!AC:AC)</f>
        <v/>
      </c>
      <c r="AC38" s="18">
        <f>+SUMIF(Рўйхат!$A:$A,'Риск йўналишлари'!$B38,Рўйхат!AD:AD)</f>
        <v/>
      </c>
      <c r="AD38" s="18">
        <f>+SUMIF(Рўйхат!$A:$A,'Риск йўналишлари'!$B38,Рўйхат!AE:AE)</f>
        <v/>
      </c>
      <c r="AE38" s="17">
        <f>+SUMIF(Рўйхат!$A:$A,'Риск йўналишлари'!$B38,Рўйхат!AF:AF)</f>
        <v/>
      </c>
      <c r="AF38" s="18">
        <f>+SUMIF(Рўйхат!$A:$A,'Риск йўналишлари'!$B38,Рўйхат!AG:AG)</f>
        <v/>
      </c>
      <c r="AG38" s="18">
        <f>+SUMIF(Рўйхат!$A:$A,'Риск йўналишлари'!$B38,Рўйхат!AH:AH)</f>
        <v/>
      </c>
      <c r="AH38" s="33">
        <f>+SUMIF(Рўйхат!$A:$A,'Риск йўналишлари'!$B38,Рўйхат!AI:AI)</f>
        <v/>
      </c>
      <c r="AI38" s="19">
        <f>+SUMIF(Рўйхат!$A:$A,'Риск йўналишлари'!$B38,Рўйхат!AJ:AJ)</f>
        <v/>
      </c>
    </row>
    <row r="39">
      <c r="A39" s="15" t="n">
        <v>34</v>
      </c>
      <c r="B39" s="16" t="inlineStr">
        <is>
          <t>Ер қаъридан фойдаланувчи субъектларнинг таҳлили (2025 й)</t>
        </is>
      </c>
      <c r="C39" s="16">
        <f>IFERROR(VLOOKUP(B39,Рўйхат!A:E,5,0),"")</f>
        <v/>
      </c>
      <c r="D39" s="30">
        <f>IFERROR(VLOOKUP(B39,Рўйхат!A:F,6,0),"")</f>
        <v/>
      </c>
      <c r="E39" s="17">
        <f>+SUMIF(Рўйхат!$A:$A,'Риск йўналишлари'!$B39,Рўйхат!G:G)</f>
        <v/>
      </c>
      <c r="F39" s="18">
        <f>+SUMIF(Рўйхат!$A:$A,'Риск йўналишлари'!$B39,Рўйхат!H:H)</f>
        <v/>
      </c>
      <c r="G39" s="18">
        <f>M39</f>
        <v/>
      </c>
      <c r="H39" s="18">
        <f>R39+W39+AB39+AG39</f>
        <v/>
      </c>
      <c r="I39" s="18">
        <f>+SUMIF(Рўйхат!$A:$A,'Риск йўналишлари'!$B39,Рўйхат!J:J)</f>
        <v/>
      </c>
      <c r="J39" s="18">
        <f>+SUMIF(Рўйхат!$A:$A,'Риск йўналишлари'!$B39,Рўйхат!K:K)</f>
        <v/>
      </c>
      <c r="K39" s="17">
        <f>+SUMIF(Рўйхат!$A:$A,'Риск йўналишлари'!$B39,Рўйхат!L:L)</f>
        <v/>
      </c>
      <c r="L39" s="18">
        <f>+SUMIF(Рўйхат!$A:$A,'Риск йўналишлари'!$B39,Рўйхат!M:M)</f>
        <v/>
      </c>
      <c r="M39" s="18">
        <f>+SUMIF(Рўйхат!$A:$A,'Риск йўналишлари'!$B39,Рўйхат!N:N)</f>
        <v/>
      </c>
      <c r="N39" s="18">
        <f>+SUMIF(Рўйхат!$A:$A,'Риск йўналишлари'!$B39,Рўйхат!O:O)</f>
        <v/>
      </c>
      <c r="O39" s="18">
        <f>+SUMIF(Рўйхат!$A:$A,'Риск йўналишлари'!$B39,Рўйхат!P:P)</f>
        <v/>
      </c>
      <c r="P39" s="17">
        <f>+SUMIF(Рўйхат!$A:$A,'Риск йўналишлари'!$B39,Рўйхат!Q:Q)</f>
        <v/>
      </c>
      <c r="Q39" s="18">
        <f>+SUMIF(Рўйхат!$A:$A,'Риск йўналишлари'!$B39,Рўйхат!R:R)</f>
        <v/>
      </c>
      <c r="R39" s="18">
        <f>+SUMIF(Рўйхат!$A:$A,'Риск йўналишлари'!$B39,Рўйхат!S:S)</f>
        <v/>
      </c>
      <c r="S39" s="18">
        <f>+SUMIF(Рўйхат!$A:$A,'Риск йўналишлари'!$B39,Рўйхат!T:T)</f>
        <v/>
      </c>
      <c r="T39" s="18">
        <f>+SUMIF(Рўйхат!$A:$A,'Риск йўналишлари'!$B39,Рўйхат!U:U)</f>
        <v/>
      </c>
      <c r="U39" s="17">
        <f>+SUMIF(Рўйхат!$A:$A,'Риск йўналишлари'!$B39,Рўйхат!V:V)</f>
        <v/>
      </c>
      <c r="V39" s="18">
        <f>+SUMIF(Рўйхат!$A:$A,'Риск йўналишлари'!$B39,Рўйхат!W:W)</f>
        <v/>
      </c>
      <c r="W39" s="18">
        <f>+SUMIF(Рўйхат!$A:$A,'Риск йўналишлари'!$B39,Рўйхат!X:X)</f>
        <v/>
      </c>
      <c r="X39" s="18">
        <f>+SUMIF(Рўйхат!$A:$A,'Риск йўналишлари'!$B39,Рўйхат!Y:Y)</f>
        <v/>
      </c>
      <c r="Y39" s="18">
        <f>+SUMIF(Рўйхат!$A:$A,'Риск йўналишлари'!$B39,Рўйхат!Z:Z)</f>
        <v/>
      </c>
      <c r="Z39" s="17">
        <f>+SUMIF(Рўйхат!$A:$A,'Риск йўналишлари'!$B39,Рўйхат!AA:AA)</f>
        <v/>
      </c>
      <c r="AA39" s="18">
        <f>+SUMIF(Рўйхат!$A:$A,'Риск йўналишлари'!$B39,Рўйхат!AB:AB)</f>
        <v/>
      </c>
      <c r="AB39" s="18">
        <f>+SUMIF(Рўйхат!$A:$A,'Риск йўналишлари'!$B39,Рўйхат!AC:AC)</f>
        <v/>
      </c>
      <c r="AC39" s="18">
        <f>+SUMIF(Рўйхат!$A:$A,'Риск йўналишлари'!$B39,Рўйхат!AD:AD)</f>
        <v/>
      </c>
      <c r="AD39" s="18">
        <f>+SUMIF(Рўйхат!$A:$A,'Риск йўналишлари'!$B39,Рўйхат!AE:AE)</f>
        <v/>
      </c>
      <c r="AE39" s="17">
        <f>+SUMIF(Рўйхат!$A:$A,'Риск йўналишлари'!$B39,Рўйхат!AF:AF)</f>
        <v/>
      </c>
      <c r="AF39" s="18">
        <f>+SUMIF(Рўйхат!$A:$A,'Риск йўналишлари'!$B39,Рўйхат!AG:AG)</f>
        <v/>
      </c>
      <c r="AG39" s="18">
        <f>+SUMIF(Рўйхат!$A:$A,'Риск йўналишлари'!$B39,Рўйхат!AH:AH)</f>
        <v/>
      </c>
      <c r="AH39" s="33">
        <f>+SUMIF(Рўйхат!$A:$A,'Риск йўналишлари'!$B39,Рўйхат!AI:AI)</f>
        <v/>
      </c>
      <c r="AI39" s="19">
        <f>+SUMIF(Рўйхат!$A:$A,'Риск йўналишлари'!$B39,Рўйхат!AJ:AJ)</f>
        <v/>
      </c>
    </row>
    <row r="40">
      <c r="A40" s="15" t="n">
        <v>35</v>
      </c>
      <c r="B40" s="16" t="inlineStr">
        <is>
          <t>Шубҳали корхоналар билан тузилган харид шартномалари</t>
        </is>
      </c>
      <c r="C40" s="16">
        <f>IFERROR(VLOOKUP(B40,Рўйхат!A:E,5,0),"")</f>
        <v/>
      </c>
      <c r="D40" s="30">
        <f>IFERROR(VLOOKUP(B40,Рўйхат!A:F,6,0),"")</f>
        <v/>
      </c>
      <c r="E40" s="17">
        <f>+SUMIF(Рўйхат!$A:$A,'Риск йўналишлари'!$B40,Рўйхат!G:G)</f>
        <v/>
      </c>
      <c r="F40" s="18">
        <f>+SUMIF(Рўйхат!$A:$A,'Риск йўналишлари'!$B40,Рўйхат!H:H)</f>
        <v/>
      </c>
      <c r="G40" s="18">
        <f>M40</f>
        <v/>
      </c>
      <c r="H40" s="18">
        <f>R40+W40+AB40+AG40</f>
        <v/>
      </c>
      <c r="I40" s="18">
        <f>+SUMIF(Рўйхат!$A:$A,'Риск йўналишлари'!$B40,Рўйхат!J:J)</f>
        <v/>
      </c>
      <c r="J40" s="18">
        <f>+SUMIF(Рўйхат!$A:$A,'Риск йўналишлари'!$B40,Рўйхат!K:K)</f>
        <v/>
      </c>
      <c r="K40" s="17">
        <f>+SUMIF(Рўйхат!$A:$A,'Риск йўналишлари'!$B40,Рўйхат!L:L)</f>
        <v/>
      </c>
      <c r="L40" s="18">
        <f>+SUMIF(Рўйхат!$A:$A,'Риск йўналишлари'!$B40,Рўйхат!M:M)</f>
        <v/>
      </c>
      <c r="M40" s="18">
        <f>+SUMIF(Рўйхат!$A:$A,'Риск йўналишлари'!$B40,Рўйхат!N:N)</f>
        <v/>
      </c>
      <c r="N40" s="18">
        <f>+SUMIF(Рўйхат!$A:$A,'Риск йўналишлари'!$B40,Рўйхат!O:O)</f>
        <v/>
      </c>
      <c r="O40" s="18">
        <f>+SUMIF(Рўйхат!$A:$A,'Риск йўналишлари'!$B40,Рўйхат!P:P)</f>
        <v/>
      </c>
      <c r="P40" s="17">
        <f>+SUMIF(Рўйхат!$A:$A,'Риск йўналишлари'!$B40,Рўйхат!Q:Q)</f>
        <v/>
      </c>
      <c r="Q40" s="18">
        <f>+SUMIF(Рўйхат!$A:$A,'Риск йўналишлари'!$B40,Рўйхат!R:R)</f>
        <v/>
      </c>
      <c r="R40" s="18">
        <f>+SUMIF(Рўйхат!$A:$A,'Риск йўналишлари'!$B40,Рўйхат!S:S)</f>
        <v/>
      </c>
      <c r="S40" s="18">
        <f>+SUMIF(Рўйхат!$A:$A,'Риск йўналишлари'!$B40,Рўйхат!T:T)</f>
        <v/>
      </c>
      <c r="T40" s="18">
        <f>+SUMIF(Рўйхат!$A:$A,'Риск йўналишлари'!$B40,Рўйхат!U:U)</f>
        <v/>
      </c>
      <c r="U40" s="17">
        <f>+SUMIF(Рўйхат!$A:$A,'Риск йўналишлари'!$B40,Рўйхат!V:V)</f>
        <v/>
      </c>
      <c r="V40" s="18">
        <f>+SUMIF(Рўйхат!$A:$A,'Риск йўналишлари'!$B40,Рўйхат!W:W)</f>
        <v/>
      </c>
      <c r="W40" s="18">
        <f>+SUMIF(Рўйхат!$A:$A,'Риск йўналишлари'!$B40,Рўйхат!X:X)</f>
        <v/>
      </c>
      <c r="X40" s="18">
        <f>+SUMIF(Рўйхат!$A:$A,'Риск йўналишлари'!$B40,Рўйхат!Y:Y)</f>
        <v/>
      </c>
      <c r="Y40" s="18">
        <f>+SUMIF(Рўйхат!$A:$A,'Риск йўналишлари'!$B40,Рўйхат!Z:Z)</f>
        <v/>
      </c>
      <c r="Z40" s="17">
        <f>+SUMIF(Рўйхат!$A:$A,'Риск йўналишлари'!$B40,Рўйхат!AA:AA)</f>
        <v/>
      </c>
      <c r="AA40" s="18">
        <f>+SUMIF(Рўйхат!$A:$A,'Риск йўналишлари'!$B40,Рўйхат!AB:AB)</f>
        <v/>
      </c>
      <c r="AB40" s="18">
        <f>+SUMIF(Рўйхат!$A:$A,'Риск йўналишлари'!$B40,Рўйхат!AC:AC)</f>
        <v/>
      </c>
      <c r="AC40" s="18">
        <f>+SUMIF(Рўйхат!$A:$A,'Риск йўналишлари'!$B40,Рўйхат!AD:AD)</f>
        <v/>
      </c>
      <c r="AD40" s="18">
        <f>+SUMIF(Рўйхат!$A:$A,'Риск йўналишлари'!$B40,Рўйхат!AE:AE)</f>
        <v/>
      </c>
      <c r="AE40" s="17">
        <f>+SUMIF(Рўйхат!$A:$A,'Риск йўналишлари'!$B40,Рўйхат!AF:AF)</f>
        <v/>
      </c>
      <c r="AF40" s="18">
        <f>+SUMIF(Рўйхат!$A:$A,'Риск йўналишлари'!$B40,Рўйхат!AG:AG)</f>
        <v/>
      </c>
      <c r="AG40" s="18">
        <f>+SUMIF(Рўйхат!$A:$A,'Риск йўналишлари'!$B40,Рўйхат!AH:AH)</f>
        <v/>
      </c>
      <c r="AH40" s="33">
        <f>+SUMIF(Рўйхат!$A:$A,'Риск йўналишлари'!$B40,Рўйхат!AI:AI)</f>
        <v/>
      </c>
      <c r="AI40" s="19">
        <f>+SUMIF(Рўйхат!$A:$A,'Риск йўналишлари'!$B40,Рўйхат!AJ:AJ)</f>
        <v/>
      </c>
    </row>
    <row r="41">
      <c r="A41" s="15" t="n">
        <v>36</v>
      </c>
      <c r="B41" s="16" t="inlineStr">
        <is>
          <t>Ер қаридан фойдаланувчи субъектларнинг таҳлили</t>
        </is>
      </c>
      <c r="C41" s="16">
        <f>IFERROR(VLOOKUP(B41,Рўйхат!A:E,5,0),"")</f>
        <v/>
      </c>
      <c r="D41" s="30">
        <f>IFERROR(VLOOKUP(B41,Рўйхат!A:F,6,0),"")</f>
        <v/>
      </c>
      <c r="E41" s="17">
        <f>+SUMIF(Рўйхат!$A:$A,'Риск йўналишлари'!$B41,Рўйхат!G:G)</f>
        <v/>
      </c>
      <c r="F41" s="18">
        <f>+SUMIF(Рўйхат!$A:$A,'Риск йўналишлари'!$B41,Рўйхат!H:H)</f>
        <v/>
      </c>
      <c r="G41" s="18">
        <f>M41</f>
        <v/>
      </c>
      <c r="H41" s="18">
        <f>R41+W41+AB41+AG41</f>
        <v/>
      </c>
      <c r="I41" s="18">
        <f>+SUMIF(Рўйхат!$A:$A,'Риск йўналишлари'!$B41,Рўйхат!J:J)</f>
        <v/>
      </c>
      <c r="J41" s="18">
        <f>+SUMIF(Рўйхат!$A:$A,'Риск йўналишлари'!$B41,Рўйхат!K:K)</f>
        <v/>
      </c>
      <c r="K41" s="17">
        <f>+SUMIF(Рўйхат!$A:$A,'Риск йўналишлари'!$B41,Рўйхат!L:L)</f>
        <v/>
      </c>
      <c r="L41" s="18">
        <f>+SUMIF(Рўйхат!$A:$A,'Риск йўналишлари'!$B41,Рўйхат!M:M)</f>
        <v/>
      </c>
      <c r="M41" s="18">
        <f>+SUMIF(Рўйхат!$A:$A,'Риск йўналишлари'!$B41,Рўйхат!N:N)</f>
        <v/>
      </c>
      <c r="N41" s="18">
        <f>+SUMIF(Рўйхат!$A:$A,'Риск йўналишлари'!$B41,Рўйхат!O:O)</f>
        <v/>
      </c>
      <c r="O41" s="18">
        <f>+SUMIF(Рўйхат!$A:$A,'Риск йўналишлари'!$B41,Рўйхат!P:P)</f>
        <v/>
      </c>
      <c r="P41" s="17">
        <f>+SUMIF(Рўйхат!$A:$A,'Риск йўналишлари'!$B41,Рўйхат!Q:Q)</f>
        <v/>
      </c>
      <c r="Q41" s="18">
        <f>+SUMIF(Рўйхат!$A:$A,'Риск йўналишлари'!$B41,Рўйхат!R:R)</f>
        <v/>
      </c>
      <c r="R41" s="18">
        <f>+SUMIF(Рўйхат!$A:$A,'Риск йўналишлари'!$B41,Рўйхат!S:S)</f>
        <v/>
      </c>
      <c r="S41" s="18">
        <f>+SUMIF(Рўйхат!$A:$A,'Риск йўналишлари'!$B41,Рўйхат!T:T)</f>
        <v/>
      </c>
      <c r="T41" s="18">
        <f>+SUMIF(Рўйхат!$A:$A,'Риск йўналишлари'!$B41,Рўйхат!U:U)</f>
        <v/>
      </c>
      <c r="U41" s="17">
        <f>+SUMIF(Рўйхат!$A:$A,'Риск йўналишлари'!$B41,Рўйхат!V:V)</f>
        <v/>
      </c>
      <c r="V41" s="18">
        <f>+SUMIF(Рўйхат!$A:$A,'Риск йўналишлари'!$B41,Рўйхат!W:W)</f>
        <v/>
      </c>
      <c r="W41" s="18">
        <f>+SUMIF(Рўйхат!$A:$A,'Риск йўналишлари'!$B41,Рўйхат!X:X)</f>
        <v/>
      </c>
      <c r="X41" s="18">
        <f>+SUMIF(Рўйхат!$A:$A,'Риск йўналишлари'!$B41,Рўйхат!Y:Y)</f>
        <v/>
      </c>
      <c r="Y41" s="18">
        <f>+SUMIF(Рўйхат!$A:$A,'Риск йўналишлари'!$B41,Рўйхат!Z:Z)</f>
        <v/>
      </c>
      <c r="Z41" s="17">
        <f>+SUMIF(Рўйхат!$A:$A,'Риск йўналишлари'!$B41,Рўйхат!AA:AA)</f>
        <v/>
      </c>
      <c r="AA41" s="18">
        <f>+SUMIF(Рўйхат!$A:$A,'Риск йўналишлари'!$B41,Рўйхат!AB:AB)</f>
        <v/>
      </c>
      <c r="AB41" s="18">
        <f>+SUMIF(Рўйхат!$A:$A,'Риск йўналишлари'!$B41,Рўйхат!AC:AC)</f>
        <v/>
      </c>
      <c r="AC41" s="18">
        <f>+SUMIF(Рўйхат!$A:$A,'Риск йўналишлари'!$B41,Рўйхат!AD:AD)</f>
        <v/>
      </c>
      <c r="AD41" s="18">
        <f>+SUMIF(Рўйхат!$A:$A,'Риск йўналишлари'!$B41,Рўйхат!AE:AE)</f>
        <v/>
      </c>
      <c r="AE41" s="17">
        <f>+SUMIF(Рўйхат!$A:$A,'Риск йўналишлари'!$B41,Рўйхат!AF:AF)</f>
        <v/>
      </c>
      <c r="AF41" s="18">
        <f>+SUMIF(Рўйхат!$A:$A,'Риск йўналишлари'!$B41,Рўйхат!AG:AG)</f>
        <v/>
      </c>
      <c r="AG41" s="18">
        <f>+SUMIF(Рўйхат!$A:$A,'Риск йўналишлари'!$B41,Рўйхат!AH:AH)</f>
        <v/>
      </c>
      <c r="AH41" s="33">
        <f>+SUMIF(Рўйхат!$A:$A,'Риск йўналишлари'!$B41,Рўйхат!AI:AI)</f>
        <v/>
      </c>
      <c r="AI41" s="19">
        <f>+SUMIF(Рўйхат!$A:$A,'Риск йўналишлари'!$B41,Рўйхат!AJ:AJ)</f>
        <v/>
      </c>
    </row>
    <row r="42">
      <c r="A42" s="15" t="n">
        <v>37</v>
      </c>
      <c r="B42" s="16" t="inlineStr">
        <is>
          <t>Харид комиссиясида манфаатлар тўқнашуви (UZEX)</t>
        </is>
      </c>
      <c r="C42" s="16">
        <f>IFERROR(VLOOKUP(B42,Рўйхат!A:E,5,0),"")</f>
        <v/>
      </c>
      <c r="D42" s="30">
        <f>IFERROR(VLOOKUP(B42,Рўйхат!A:F,6,0),"")</f>
        <v/>
      </c>
      <c r="E42" s="17">
        <f>+SUMIF(Рўйхат!$A:$A,'Риск йўналишлари'!$B42,Рўйхат!G:G)</f>
        <v/>
      </c>
      <c r="F42" s="18">
        <f>+SUMIF(Рўйхат!$A:$A,'Риск йўналишлари'!$B42,Рўйхат!H:H)</f>
        <v/>
      </c>
      <c r="G42" s="18">
        <f>M42</f>
        <v/>
      </c>
      <c r="H42" s="18">
        <f>R42+W42+AB42+AG42</f>
        <v/>
      </c>
      <c r="I42" s="18">
        <f>+SUMIF(Рўйхат!$A:$A,'Риск йўналишлари'!$B42,Рўйхат!J:J)</f>
        <v/>
      </c>
      <c r="J42" s="18">
        <f>+SUMIF(Рўйхат!$A:$A,'Риск йўналишлари'!$B42,Рўйхат!K:K)</f>
        <v/>
      </c>
      <c r="K42" s="17">
        <f>+SUMIF(Рўйхат!$A:$A,'Риск йўналишлари'!$B42,Рўйхат!L:L)</f>
        <v/>
      </c>
      <c r="L42" s="18">
        <f>+SUMIF(Рўйхат!$A:$A,'Риск йўналишлари'!$B42,Рўйхат!M:M)</f>
        <v/>
      </c>
      <c r="M42" s="18">
        <f>+SUMIF(Рўйхат!$A:$A,'Риск йўналишлари'!$B42,Рўйхат!N:N)</f>
        <v/>
      </c>
      <c r="N42" s="18">
        <f>+SUMIF(Рўйхат!$A:$A,'Риск йўналишлари'!$B42,Рўйхат!O:O)</f>
        <v/>
      </c>
      <c r="O42" s="18">
        <f>+SUMIF(Рўйхат!$A:$A,'Риск йўналишлари'!$B42,Рўйхат!P:P)</f>
        <v/>
      </c>
      <c r="P42" s="17">
        <f>+SUMIF(Рўйхат!$A:$A,'Риск йўналишлари'!$B42,Рўйхат!Q:Q)</f>
        <v/>
      </c>
      <c r="Q42" s="18">
        <f>+SUMIF(Рўйхат!$A:$A,'Риск йўналишлари'!$B42,Рўйхат!R:R)</f>
        <v/>
      </c>
      <c r="R42" s="18">
        <f>+SUMIF(Рўйхат!$A:$A,'Риск йўналишлари'!$B42,Рўйхат!S:S)</f>
        <v/>
      </c>
      <c r="S42" s="18">
        <f>+SUMIF(Рўйхат!$A:$A,'Риск йўналишлари'!$B42,Рўйхат!T:T)</f>
        <v/>
      </c>
      <c r="T42" s="18">
        <f>+SUMIF(Рўйхат!$A:$A,'Риск йўналишлари'!$B42,Рўйхат!U:U)</f>
        <v/>
      </c>
      <c r="U42" s="17">
        <f>+SUMIF(Рўйхат!$A:$A,'Риск йўналишлари'!$B42,Рўйхат!V:V)</f>
        <v/>
      </c>
      <c r="V42" s="18">
        <f>+SUMIF(Рўйхат!$A:$A,'Риск йўналишлари'!$B42,Рўйхат!W:W)</f>
        <v/>
      </c>
      <c r="W42" s="18">
        <f>+SUMIF(Рўйхат!$A:$A,'Риск йўналишлари'!$B42,Рўйхат!X:X)</f>
        <v/>
      </c>
      <c r="X42" s="18">
        <f>+SUMIF(Рўйхат!$A:$A,'Риск йўналишлари'!$B42,Рўйхат!Y:Y)</f>
        <v/>
      </c>
      <c r="Y42" s="18">
        <f>+SUMIF(Рўйхат!$A:$A,'Риск йўналишлари'!$B42,Рўйхат!Z:Z)</f>
        <v/>
      </c>
      <c r="Z42" s="17">
        <f>+SUMIF(Рўйхат!$A:$A,'Риск йўналишлари'!$B42,Рўйхат!AA:AA)</f>
        <v/>
      </c>
      <c r="AA42" s="18">
        <f>+SUMIF(Рўйхат!$A:$A,'Риск йўналишлари'!$B42,Рўйхат!AB:AB)</f>
        <v/>
      </c>
      <c r="AB42" s="18">
        <f>+SUMIF(Рўйхат!$A:$A,'Риск йўналишлари'!$B42,Рўйхат!AC:AC)</f>
        <v/>
      </c>
      <c r="AC42" s="18">
        <f>+SUMIF(Рўйхат!$A:$A,'Риск йўналишлари'!$B42,Рўйхат!AD:AD)</f>
        <v/>
      </c>
      <c r="AD42" s="18">
        <f>+SUMIF(Рўйхат!$A:$A,'Риск йўналишлари'!$B42,Рўйхат!AE:AE)</f>
        <v/>
      </c>
      <c r="AE42" s="17">
        <f>+SUMIF(Рўйхат!$A:$A,'Риск йўналишлари'!$B42,Рўйхат!AF:AF)</f>
        <v/>
      </c>
      <c r="AF42" s="18">
        <f>+SUMIF(Рўйхат!$A:$A,'Риск йўналишлари'!$B42,Рўйхат!AG:AG)</f>
        <v/>
      </c>
      <c r="AG42" s="18">
        <f>+SUMIF(Рўйхат!$A:$A,'Риск йўналишлари'!$B42,Рўйхат!AH:AH)</f>
        <v/>
      </c>
      <c r="AH42" s="33">
        <f>+SUMIF(Рўйхат!$A:$A,'Риск йўналишлари'!$B42,Рўйхат!AI:AI)</f>
        <v/>
      </c>
      <c r="AI42" s="19">
        <f>+SUMIF(Рўйхат!$A:$A,'Риск йўналишлари'!$B42,Рўйхат!AJ:AJ)</f>
        <v/>
      </c>
    </row>
    <row r="43">
      <c r="A43" s="15" t="n">
        <v>38</v>
      </c>
      <c r="B43" s="16" t="inlineStr">
        <is>
          <t>Иш жойига эга бўлган фуқароларга "Жамоат ишлари жамғармаси"дан маблағлар тўланиши</t>
        </is>
      </c>
      <c r="C43" s="16">
        <f>IFERROR(VLOOKUP(B43,Рўйхат!A:E,5,0),"")</f>
        <v/>
      </c>
      <c r="D43" s="30">
        <f>IFERROR(VLOOKUP(B43,Рўйхат!A:F,6,0),"")</f>
        <v/>
      </c>
      <c r="E43" s="17">
        <f>+SUMIF(Рўйхат!$A:$A,'Риск йўналишлари'!$B43,Рўйхат!G:G)</f>
        <v/>
      </c>
      <c r="F43" s="18">
        <f>+SUMIF(Рўйхат!$A:$A,'Риск йўналишлари'!$B43,Рўйхат!H:H)</f>
        <v/>
      </c>
      <c r="G43" s="18">
        <f>M43</f>
        <v/>
      </c>
      <c r="H43" s="18">
        <f>R43+W43+AB43+AG43</f>
        <v/>
      </c>
      <c r="I43" s="18">
        <f>+SUMIF(Рўйхат!$A:$A,'Риск йўналишлари'!$B43,Рўйхат!J:J)</f>
        <v/>
      </c>
      <c r="J43" s="18">
        <f>+SUMIF(Рўйхат!$A:$A,'Риск йўналишлари'!$B43,Рўйхат!K:K)</f>
        <v/>
      </c>
      <c r="K43" s="17">
        <f>+SUMIF(Рўйхат!$A:$A,'Риск йўналишлари'!$B43,Рўйхат!L:L)</f>
        <v/>
      </c>
      <c r="L43" s="18">
        <f>+SUMIF(Рўйхат!$A:$A,'Риск йўналишлари'!$B43,Рўйхат!M:M)</f>
        <v/>
      </c>
      <c r="M43" s="18">
        <f>+SUMIF(Рўйхат!$A:$A,'Риск йўналишлари'!$B43,Рўйхат!N:N)</f>
        <v/>
      </c>
      <c r="N43" s="18">
        <f>+SUMIF(Рўйхат!$A:$A,'Риск йўналишлари'!$B43,Рўйхат!O:O)</f>
        <v/>
      </c>
      <c r="O43" s="18">
        <f>+SUMIF(Рўйхат!$A:$A,'Риск йўналишлари'!$B43,Рўйхат!P:P)</f>
        <v/>
      </c>
      <c r="P43" s="17">
        <f>+SUMIF(Рўйхат!$A:$A,'Риск йўналишлари'!$B43,Рўйхат!Q:Q)</f>
        <v/>
      </c>
      <c r="Q43" s="18">
        <f>+SUMIF(Рўйхат!$A:$A,'Риск йўналишлари'!$B43,Рўйхат!R:R)</f>
        <v/>
      </c>
      <c r="R43" s="18">
        <f>+SUMIF(Рўйхат!$A:$A,'Риск йўналишлари'!$B43,Рўйхат!S:S)</f>
        <v/>
      </c>
      <c r="S43" s="18">
        <f>+SUMIF(Рўйхат!$A:$A,'Риск йўналишлари'!$B43,Рўйхат!T:T)</f>
        <v/>
      </c>
      <c r="T43" s="18">
        <f>+SUMIF(Рўйхат!$A:$A,'Риск йўналишлари'!$B43,Рўйхат!U:U)</f>
        <v/>
      </c>
      <c r="U43" s="17">
        <f>+SUMIF(Рўйхат!$A:$A,'Риск йўналишлари'!$B43,Рўйхат!V:V)</f>
        <v/>
      </c>
      <c r="V43" s="18">
        <f>+SUMIF(Рўйхат!$A:$A,'Риск йўналишлари'!$B43,Рўйхат!W:W)</f>
        <v/>
      </c>
      <c r="W43" s="18">
        <f>+SUMIF(Рўйхат!$A:$A,'Риск йўналишлари'!$B43,Рўйхат!X:X)</f>
        <v/>
      </c>
      <c r="X43" s="18">
        <f>+SUMIF(Рўйхат!$A:$A,'Риск йўналишлари'!$B43,Рўйхат!Y:Y)</f>
        <v/>
      </c>
      <c r="Y43" s="18">
        <f>+SUMIF(Рўйхат!$A:$A,'Риск йўналишлари'!$B43,Рўйхат!Z:Z)</f>
        <v/>
      </c>
      <c r="Z43" s="17">
        <f>+SUMIF(Рўйхат!$A:$A,'Риск йўналишлари'!$B43,Рўйхат!AA:AA)</f>
        <v/>
      </c>
      <c r="AA43" s="18">
        <f>+SUMIF(Рўйхат!$A:$A,'Риск йўналишлари'!$B43,Рўйхат!AB:AB)</f>
        <v/>
      </c>
      <c r="AB43" s="18">
        <f>+SUMIF(Рўйхат!$A:$A,'Риск йўналишлари'!$B43,Рўйхат!AC:AC)</f>
        <v/>
      </c>
      <c r="AC43" s="18">
        <f>+SUMIF(Рўйхат!$A:$A,'Риск йўналишлари'!$B43,Рўйхат!AD:AD)</f>
        <v/>
      </c>
      <c r="AD43" s="18">
        <f>+SUMIF(Рўйхат!$A:$A,'Риск йўналишлари'!$B43,Рўйхат!AE:AE)</f>
        <v/>
      </c>
      <c r="AE43" s="17">
        <f>+SUMIF(Рўйхат!$A:$A,'Риск йўналишлари'!$B43,Рўйхат!AF:AF)</f>
        <v/>
      </c>
      <c r="AF43" s="18">
        <f>+SUMIF(Рўйхат!$A:$A,'Риск йўналишлари'!$B43,Рўйхат!AG:AG)</f>
        <v/>
      </c>
      <c r="AG43" s="18">
        <f>+SUMIF(Рўйхат!$A:$A,'Риск йўналишлари'!$B43,Рўйхат!AH:AH)</f>
        <v/>
      </c>
      <c r="AH43" s="33">
        <f>+SUMIF(Рўйхат!$A:$A,'Риск йўналишлари'!$B43,Рўйхат!AI:AI)</f>
        <v/>
      </c>
      <c r="AI43" s="19">
        <f>+SUMIF(Рўйхат!$A:$A,'Риск йўналишлари'!$B43,Рўйхат!AJ:AJ)</f>
        <v/>
      </c>
    </row>
    <row r="44">
      <c r="A44" s="15" t="n">
        <v>39</v>
      </c>
      <c r="B44" s="16" t="inlineStr">
        <is>
          <t>Давлат харидларида нарх таҳлили V2</t>
        </is>
      </c>
      <c r="C44" s="16">
        <f>IFERROR(VLOOKUP(B44,Рўйхат!A:E,5,0),"")</f>
        <v/>
      </c>
      <c r="D44" s="30">
        <f>IFERROR(VLOOKUP(B44,Рўйхат!A:F,6,0),"")</f>
        <v/>
      </c>
      <c r="E44" s="17">
        <f>+SUMIF(Рўйхат!$A:$A,'Риск йўналишлари'!$B44,Рўйхат!G:G)</f>
        <v/>
      </c>
      <c r="F44" s="18">
        <f>+SUMIF(Рўйхат!$A:$A,'Риск йўналишлари'!$B44,Рўйхат!H:H)</f>
        <v/>
      </c>
      <c r="G44" s="18">
        <f>M44</f>
        <v/>
      </c>
      <c r="H44" s="18">
        <f>R44+W44+AB44+AG44</f>
        <v/>
      </c>
      <c r="I44" s="18">
        <f>+SUMIF(Рўйхат!$A:$A,'Риск йўналишлари'!$B44,Рўйхат!J:J)</f>
        <v/>
      </c>
      <c r="J44" s="18">
        <f>+SUMIF(Рўйхат!$A:$A,'Риск йўналишлари'!$B44,Рўйхат!K:K)</f>
        <v/>
      </c>
      <c r="K44" s="17">
        <f>+SUMIF(Рўйхат!$A:$A,'Риск йўналишлари'!$B44,Рўйхат!L:L)</f>
        <v/>
      </c>
      <c r="L44" s="18">
        <f>+SUMIF(Рўйхат!$A:$A,'Риск йўналишлари'!$B44,Рўйхат!M:M)</f>
        <v/>
      </c>
      <c r="M44" s="18">
        <f>+SUMIF(Рўйхат!$A:$A,'Риск йўналишлари'!$B44,Рўйхат!N:N)</f>
        <v/>
      </c>
      <c r="N44" s="18">
        <f>+SUMIF(Рўйхат!$A:$A,'Риск йўналишлари'!$B44,Рўйхат!O:O)</f>
        <v/>
      </c>
      <c r="O44" s="18">
        <f>+SUMIF(Рўйхат!$A:$A,'Риск йўналишлари'!$B44,Рўйхат!P:P)</f>
        <v/>
      </c>
      <c r="P44" s="17">
        <f>+SUMIF(Рўйхат!$A:$A,'Риск йўналишлари'!$B44,Рўйхат!Q:Q)</f>
        <v/>
      </c>
      <c r="Q44" s="18">
        <f>+SUMIF(Рўйхат!$A:$A,'Риск йўналишлари'!$B44,Рўйхат!R:R)</f>
        <v/>
      </c>
      <c r="R44" s="18">
        <f>+SUMIF(Рўйхат!$A:$A,'Риск йўналишлари'!$B44,Рўйхат!S:S)</f>
        <v/>
      </c>
      <c r="S44" s="18">
        <f>+SUMIF(Рўйхат!$A:$A,'Риск йўналишлари'!$B44,Рўйхат!T:T)</f>
        <v/>
      </c>
      <c r="T44" s="18">
        <f>+SUMIF(Рўйхат!$A:$A,'Риск йўналишлари'!$B44,Рўйхат!U:U)</f>
        <v/>
      </c>
      <c r="U44" s="17">
        <f>+SUMIF(Рўйхат!$A:$A,'Риск йўналишлари'!$B44,Рўйхат!V:V)</f>
        <v/>
      </c>
      <c r="V44" s="18">
        <f>+SUMIF(Рўйхат!$A:$A,'Риск йўналишлари'!$B44,Рўйхат!W:W)</f>
        <v/>
      </c>
      <c r="W44" s="18">
        <f>+SUMIF(Рўйхат!$A:$A,'Риск йўналишлари'!$B44,Рўйхат!X:X)</f>
        <v/>
      </c>
      <c r="X44" s="18">
        <f>+SUMIF(Рўйхат!$A:$A,'Риск йўналишлари'!$B44,Рўйхат!Y:Y)</f>
        <v/>
      </c>
      <c r="Y44" s="18">
        <f>+SUMIF(Рўйхат!$A:$A,'Риск йўналишлари'!$B44,Рўйхат!Z:Z)</f>
        <v/>
      </c>
      <c r="Z44" s="17">
        <f>+SUMIF(Рўйхат!$A:$A,'Риск йўналишлари'!$B44,Рўйхат!AA:AA)</f>
        <v/>
      </c>
      <c r="AA44" s="18">
        <f>+SUMIF(Рўйхат!$A:$A,'Риск йўналишлари'!$B44,Рўйхат!AB:AB)</f>
        <v/>
      </c>
      <c r="AB44" s="18">
        <f>+SUMIF(Рўйхат!$A:$A,'Риск йўналишлари'!$B44,Рўйхат!AC:AC)</f>
        <v/>
      </c>
      <c r="AC44" s="18">
        <f>+SUMIF(Рўйхат!$A:$A,'Риск йўналишлари'!$B44,Рўйхат!AD:AD)</f>
        <v/>
      </c>
      <c r="AD44" s="18">
        <f>+SUMIF(Рўйхат!$A:$A,'Риск йўналишлари'!$B44,Рўйхат!AE:AE)</f>
        <v/>
      </c>
      <c r="AE44" s="17">
        <f>+SUMIF(Рўйхат!$A:$A,'Риск йўналишлари'!$B44,Рўйхат!AF:AF)</f>
        <v/>
      </c>
      <c r="AF44" s="18">
        <f>+SUMIF(Рўйхат!$A:$A,'Риск йўналишлари'!$B44,Рўйхат!AG:AG)</f>
        <v/>
      </c>
      <c r="AG44" s="18">
        <f>+SUMIF(Рўйхат!$A:$A,'Риск йўналишлари'!$B44,Рўйхат!AH:AH)</f>
        <v/>
      </c>
      <c r="AH44" s="33">
        <f>+SUMIF(Рўйхат!$A:$A,'Риск йўналишлари'!$B44,Рўйхат!AI:AI)</f>
        <v/>
      </c>
      <c r="AI44" s="19">
        <f>+SUMIF(Рўйхат!$A:$A,'Риск йўналишлари'!$B44,Рўйхат!AJ:AJ)</f>
        <v/>
      </c>
    </row>
    <row r="45">
      <c r="A45" s="15" t="n">
        <v>40</v>
      </c>
      <c r="B45" s="16" t="inlineStr">
        <is>
          <t>Мансабдор шахсларга боғлиқ етказиб берувчилар билан тузилган шартномалар (COOPERATION)</t>
        </is>
      </c>
      <c r="C45" s="16">
        <f>IFERROR(VLOOKUP(B45,Рўйхат!A:E,5,0),"")</f>
        <v/>
      </c>
      <c r="D45" s="30">
        <f>IFERROR(VLOOKUP(B45,Рўйхат!A:F,6,0),"")</f>
        <v/>
      </c>
      <c r="E45" s="17">
        <f>+SUMIF(Рўйхат!$A:$A,'Риск йўналишлари'!$B45,Рўйхат!G:G)</f>
        <v/>
      </c>
      <c r="F45" s="18">
        <f>+SUMIF(Рўйхат!$A:$A,'Риск йўналишлари'!$B45,Рўйхат!H:H)</f>
        <v/>
      </c>
      <c r="G45" s="18">
        <f>M45</f>
        <v/>
      </c>
      <c r="H45" s="18">
        <f>R45+W45+AB45+AG45</f>
        <v/>
      </c>
      <c r="I45" s="18">
        <f>+SUMIF(Рўйхат!$A:$A,'Риск йўналишлари'!$B45,Рўйхат!J:J)</f>
        <v/>
      </c>
      <c r="J45" s="18">
        <f>+SUMIF(Рўйхат!$A:$A,'Риск йўналишлари'!$B45,Рўйхат!K:K)</f>
        <v/>
      </c>
      <c r="K45" s="17">
        <f>+SUMIF(Рўйхат!$A:$A,'Риск йўналишлари'!$B45,Рўйхат!L:L)</f>
        <v/>
      </c>
      <c r="L45" s="18">
        <f>+SUMIF(Рўйхат!$A:$A,'Риск йўналишлари'!$B45,Рўйхат!M:M)</f>
        <v/>
      </c>
      <c r="M45" s="18">
        <f>+SUMIF(Рўйхат!$A:$A,'Риск йўналишлари'!$B45,Рўйхат!N:N)</f>
        <v/>
      </c>
      <c r="N45" s="18">
        <f>+SUMIF(Рўйхат!$A:$A,'Риск йўналишлари'!$B45,Рўйхат!O:O)</f>
        <v/>
      </c>
      <c r="O45" s="18">
        <f>+SUMIF(Рўйхат!$A:$A,'Риск йўналишлари'!$B45,Рўйхат!P:P)</f>
        <v/>
      </c>
      <c r="P45" s="17">
        <f>+SUMIF(Рўйхат!$A:$A,'Риск йўналишлари'!$B45,Рўйхат!Q:Q)</f>
        <v/>
      </c>
      <c r="Q45" s="18">
        <f>+SUMIF(Рўйхат!$A:$A,'Риск йўналишлари'!$B45,Рўйхат!R:R)</f>
        <v/>
      </c>
      <c r="R45" s="18">
        <f>+SUMIF(Рўйхат!$A:$A,'Риск йўналишлари'!$B45,Рўйхат!S:S)</f>
        <v/>
      </c>
      <c r="S45" s="18">
        <f>+SUMIF(Рўйхат!$A:$A,'Риск йўналишлари'!$B45,Рўйхат!T:T)</f>
        <v/>
      </c>
      <c r="T45" s="18">
        <f>+SUMIF(Рўйхат!$A:$A,'Риск йўналишлари'!$B45,Рўйхат!U:U)</f>
        <v/>
      </c>
      <c r="U45" s="17">
        <f>+SUMIF(Рўйхат!$A:$A,'Риск йўналишлари'!$B45,Рўйхат!V:V)</f>
        <v/>
      </c>
      <c r="V45" s="18">
        <f>+SUMIF(Рўйхат!$A:$A,'Риск йўналишлари'!$B45,Рўйхат!W:W)</f>
        <v/>
      </c>
      <c r="W45" s="18">
        <f>+SUMIF(Рўйхат!$A:$A,'Риск йўналишлари'!$B45,Рўйхат!X:X)</f>
        <v/>
      </c>
      <c r="X45" s="18">
        <f>+SUMIF(Рўйхат!$A:$A,'Риск йўналишлари'!$B45,Рўйхат!Y:Y)</f>
        <v/>
      </c>
      <c r="Y45" s="18">
        <f>+SUMIF(Рўйхат!$A:$A,'Риск йўналишлари'!$B45,Рўйхат!Z:Z)</f>
        <v/>
      </c>
      <c r="Z45" s="17">
        <f>+SUMIF(Рўйхат!$A:$A,'Риск йўналишлари'!$B45,Рўйхат!AA:AA)</f>
        <v/>
      </c>
      <c r="AA45" s="18">
        <f>+SUMIF(Рўйхат!$A:$A,'Риск йўналишлари'!$B45,Рўйхат!AB:AB)</f>
        <v/>
      </c>
      <c r="AB45" s="18">
        <f>+SUMIF(Рўйхат!$A:$A,'Риск йўналишлари'!$B45,Рўйхат!AC:AC)</f>
        <v/>
      </c>
      <c r="AC45" s="18">
        <f>+SUMIF(Рўйхат!$A:$A,'Риск йўналишлари'!$B45,Рўйхат!AD:AD)</f>
        <v/>
      </c>
      <c r="AD45" s="18">
        <f>+SUMIF(Рўйхат!$A:$A,'Риск йўналишлари'!$B45,Рўйхат!AE:AE)</f>
        <v/>
      </c>
      <c r="AE45" s="17">
        <f>+SUMIF(Рўйхат!$A:$A,'Риск йўналишлари'!$B45,Рўйхат!AF:AF)</f>
        <v/>
      </c>
      <c r="AF45" s="18">
        <f>+SUMIF(Рўйхат!$A:$A,'Риск йўналишлари'!$B45,Рўйхат!AG:AG)</f>
        <v/>
      </c>
      <c r="AG45" s="18">
        <f>+SUMIF(Рўйхат!$A:$A,'Риск йўналишлари'!$B45,Рўйхат!AH:AH)</f>
        <v/>
      </c>
      <c r="AH45" s="33">
        <f>+SUMIF(Рўйхат!$A:$A,'Риск йўналишлари'!$B45,Рўйхат!AI:AI)</f>
        <v/>
      </c>
      <c r="AI45" s="19">
        <f>+SUMIF(Рўйхат!$A:$A,'Риск йўналишлари'!$B45,Рўйхат!AJ:AJ)</f>
        <v/>
      </c>
    </row>
    <row r="46">
      <c r="A46" s="15" t="n">
        <v>41</v>
      </c>
      <c r="B46" s="16" t="inlineStr">
        <is>
          <t>Манфаатлар тўқнашуви (Xt Xarid AI)</t>
        </is>
      </c>
      <c r="C46" s="16">
        <f>IFERROR(VLOOKUP(B46,Рўйхат!A:E,5,0),"")</f>
        <v/>
      </c>
      <c r="D46" s="30">
        <f>IFERROR(VLOOKUP(B46,Рўйхат!A:F,6,0),"")</f>
        <v/>
      </c>
      <c r="E46" s="17">
        <f>+SUMIF(Рўйхат!$A:$A,'Риск йўналишлари'!$B46,Рўйхат!G:G)</f>
        <v/>
      </c>
      <c r="F46" s="18">
        <f>+SUMIF(Рўйхат!$A:$A,'Риск йўналишлари'!$B46,Рўйхат!H:H)</f>
        <v/>
      </c>
      <c r="G46" s="18">
        <f>M46</f>
        <v/>
      </c>
      <c r="H46" s="18">
        <f>R46+W46+AB46+AG46</f>
        <v/>
      </c>
      <c r="I46" s="18">
        <f>+SUMIF(Рўйхат!$A:$A,'Риск йўналишлари'!$B46,Рўйхат!J:J)</f>
        <v/>
      </c>
      <c r="J46" s="18">
        <f>+SUMIF(Рўйхат!$A:$A,'Риск йўналишлари'!$B46,Рўйхат!K:K)</f>
        <v/>
      </c>
      <c r="K46" s="17">
        <f>+SUMIF(Рўйхат!$A:$A,'Риск йўналишлари'!$B46,Рўйхат!L:L)</f>
        <v/>
      </c>
      <c r="L46" s="18">
        <f>+SUMIF(Рўйхат!$A:$A,'Риск йўналишлари'!$B46,Рўйхат!M:M)</f>
        <v/>
      </c>
      <c r="M46" s="18">
        <f>+SUMIF(Рўйхат!$A:$A,'Риск йўналишлари'!$B46,Рўйхат!N:N)</f>
        <v/>
      </c>
      <c r="N46" s="18">
        <f>+SUMIF(Рўйхат!$A:$A,'Риск йўналишлари'!$B46,Рўйхат!O:O)</f>
        <v/>
      </c>
      <c r="O46" s="18">
        <f>+SUMIF(Рўйхат!$A:$A,'Риск йўналишлари'!$B46,Рўйхат!P:P)</f>
        <v/>
      </c>
      <c r="P46" s="17">
        <f>+SUMIF(Рўйхат!$A:$A,'Риск йўналишлари'!$B46,Рўйхат!Q:Q)</f>
        <v/>
      </c>
      <c r="Q46" s="18">
        <f>+SUMIF(Рўйхат!$A:$A,'Риск йўналишлари'!$B46,Рўйхат!R:R)</f>
        <v/>
      </c>
      <c r="R46" s="18">
        <f>+SUMIF(Рўйхат!$A:$A,'Риск йўналишлари'!$B46,Рўйхат!S:S)</f>
        <v/>
      </c>
      <c r="S46" s="18">
        <f>+SUMIF(Рўйхат!$A:$A,'Риск йўналишлари'!$B46,Рўйхат!T:T)</f>
        <v/>
      </c>
      <c r="T46" s="18">
        <f>+SUMIF(Рўйхат!$A:$A,'Риск йўналишлари'!$B46,Рўйхат!U:U)</f>
        <v/>
      </c>
      <c r="U46" s="17">
        <f>+SUMIF(Рўйхат!$A:$A,'Риск йўналишлари'!$B46,Рўйхат!V:V)</f>
        <v/>
      </c>
      <c r="V46" s="18">
        <f>+SUMIF(Рўйхат!$A:$A,'Риск йўналишлари'!$B46,Рўйхат!W:W)</f>
        <v/>
      </c>
      <c r="W46" s="18">
        <f>+SUMIF(Рўйхат!$A:$A,'Риск йўналишлари'!$B46,Рўйхат!X:X)</f>
        <v/>
      </c>
      <c r="X46" s="18">
        <f>+SUMIF(Рўйхат!$A:$A,'Риск йўналишлари'!$B46,Рўйхат!Y:Y)</f>
        <v/>
      </c>
      <c r="Y46" s="18">
        <f>+SUMIF(Рўйхат!$A:$A,'Риск йўналишлари'!$B46,Рўйхат!Z:Z)</f>
        <v/>
      </c>
      <c r="Z46" s="17">
        <f>+SUMIF(Рўйхат!$A:$A,'Риск йўналишлари'!$B46,Рўйхат!AA:AA)</f>
        <v/>
      </c>
      <c r="AA46" s="18">
        <f>+SUMIF(Рўйхат!$A:$A,'Риск йўналишлари'!$B46,Рўйхат!AB:AB)</f>
        <v/>
      </c>
      <c r="AB46" s="18">
        <f>+SUMIF(Рўйхат!$A:$A,'Риск йўналишлари'!$B46,Рўйхат!AC:AC)</f>
        <v/>
      </c>
      <c r="AC46" s="18">
        <f>+SUMIF(Рўйхат!$A:$A,'Риск йўналишлари'!$B46,Рўйхат!AD:AD)</f>
        <v/>
      </c>
      <c r="AD46" s="18">
        <f>+SUMIF(Рўйхат!$A:$A,'Риск йўналишлари'!$B46,Рўйхат!AE:AE)</f>
        <v/>
      </c>
      <c r="AE46" s="17">
        <f>+SUMIF(Рўйхат!$A:$A,'Риск йўналишлари'!$B46,Рўйхат!AF:AF)</f>
        <v/>
      </c>
      <c r="AF46" s="18">
        <f>+SUMIF(Рўйхат!$A:$A,'Риск йўналишлари'!$B46,Рўйхат!AG:AG)</f>
        <v/>
      </c>
      <c r="AG46" s="18">
        <f>+SUMIF(Рўйхат!$A:$A,'Риск йўналишлари'!$B46,Рўйхат!AH:AH)</f>
        <v/>
      </c>
      <c r="AH46" s="33">
        <f>+SUMIF(Рўйхат!$A:$A,'Риск йўналишлари'!$B46,Рўйхат!AI:AI)</f>
        <v/>
      </c>
      <c r="AI46" s="19">
        <f>+SUMIF(Рўйхат!$A:$A,'Риск йўналишлари'!$B46,Рўйхат!AJ:AJ)</f>
        <v/>
      </c>
    </row>
    <row r="47">
      <c r="A47" s="15" t="n">
        <v>42</v>
      </c>
      <c r="B47" s="16" t="inlineStr">
        <is>
          <t>Давлат харидларида манфаатлар тўқнашуви (UZEX)</t>
        </is>
      </c>
      <c r="C47" s="16">
        <f>IFERROR(VLOOKUP(B47,Рўйхат!A:E,5,0),"")</f>
        <v/>
      </c>
      <c r="D47" s="30">
        <f>IFERROR(VLOOKUP(B47,Рўйхат!A:F,6,0),"")</f>
        <v/>
      </c>
      <c r="E47" s="17">
        <f>+SUMIF(Рўйхат!$A:$A,'Риск йўналишлари'!$B47,Рўйхат!G:G)</f>
        <v/>
      </c>
      <c r="F47" s="18">
        <f>+SUMIF(Рўйхат!$A:$A,'Риск йўналишлари'!$B47,Рўйхат!H:H)</f>
        <v/>
      </c>
      <c r="G47" s="18">
        <f>M47</f>
        <v/>
      </c>
      <c r="H47" s="18">
        <f>R47+W47+AB47+AG47</f>
        <v/>
      </c>
      <c r="I47" s="18">
        <f>+SUMIF(Рўйхат!$A:$A,'Риск йўналишлари'!$B47,Рўйхат!J:J)</f>
        <v/>
      </c>
      <c r="J47" s="18">
        <f>+SUMIF(Рўйхат!$A:$A,'Риск йўналишлари'!$B47,Рўйхат!K:K)</f>
        <v/>
      </c>
      <c r="K47" s="17">
        <f>+SUMIF(Рўйхат!$A:$A,'Риск йўналишлари'!$B47,Рўйхат!L:L)</f>
        <v/>
      </c>
      <c r="L47" s="18">
        <f>+SUMIF(Рўйхат!$A:$A,'Риск йўналишлари'!$B47,Рўйхат!M:M)</f>
        <v/>
      </c>
      <c r="M47" s="18">
        <f>+SUMIF(Рўйхат!$A:$A,'Риск йўналишлари'!$B47,Рўйхат!N:N)</f>
        <v/>
      </c>
      <c r="N47" s="18">
        <f>+SUMIF(Рўйхат!$A:$A,'Риск йўналишлари'!$B47,Рўйхат!O:O)</f>
        <v/>
      </c>
      <c r="O47" s="18">
        <f>+SUMIF(Рўйхат!$A:$A,'Риск йўналишлари'!$B47,Рўйхат!P:P)</f>
        <v/>
      </c>
      <c r="P47" s="17">
        <f>+SUMIF(Рўйхат!$A:$A,'Риск йўналишлари'!$B47,Рўйхат!Q:Q)</f>
        <v/>
      </c>
      <c r="Q47" s="18">
        <f>+SUMIF(Рўйхат!$A:$A,'Риск йўналишлари'!$B47,Рўйхат!R:R)</f>
        <v/>
      </c>
      <c r="R47" s="18">
        <f>+SUMIF(Рўйхат!$A:$A,'Риск йўналишлари'!$B47,Рўйхат!S:S)</f>
        <v/>
      </c>
      <c r="S47" s="18">
        <f>+SUMIF(Рўйхат!$A:$A,'Риск йўналишлари'!$B47,Рўйхат!T:T)</f>
        <v/>
      </c>
      <c r="T47" s="18">
        <f>+SUMIF(Рўйхат!$A:$A,'Риск йўналишлари'!$B47,Рўйхат!U:U)</f>
        <v/>
      </c>
      <c r="U47" s="17">
        <f>+SUMIF(Рўйхат!$A:$A,'Риск йўналишлари'!$B47,Рўйхат!V:V)</f>
        <v/>
      </c>
      <c r="V47" s="18">
        <f>+SUMIF(Рўйхат!$A:$A,'Риск йўналишлари'!$B47,Рўйхат!W:W)</f>
        <v/>
      </c>
      <c r="W47" s="18">
        <f>+SUMIF(Рўйхат!$A:$A,'Риск йўналишлари'!$B47,Рўйхат!X:X)</f>
        <v/>
      </c>
      <c r="X47" s="18">
        <f>+SUMIF(Рўйхат!$A:$A,'Риск йўналишлари'!$B47,Рўйхат!Y:Y)</f>
        <v/>
      </c>
      <c r="Y47" s="18">
        <f>+SUMIF(Рўйхат!$A:$A,'Риск йўналишлари'!$B47,Рўйхат!Z:Z)</f>
        <v/>
      </c>
      <c r="Z47" s="17">
        <f>+SUMIF(Рўйхат!$A:$A,'Риск йўналишлари'!$B47,Рўйхат!AA:AA)</f>
        <v/>
      </c>
      <c r="AA47" s="18">
        <f>+SUMIF(Рўйхат!$A:$A,'Риск йўналишлари'!$B47,Рўйхат!AB:AB)</f>
        <v/>
      </c>
      <c r="AB47" s="18">
        <f>+SUMIF(Рўйхат!$A:$A,'Риск йўналишлари'!$B47,Рўйхат!AC:AC)</f>
        <v/>
      </c>
      <c r="AC47" s="18">
        <f>+SUMIF(Рўйхат!$A:$A,'Риск йўналишлари'!$B47,Рўйхат!AD:AD)</f>
        <v/>
      </c>
      <c r="AD47" s="18">
        <f>+SUMIF(Рўйхат!$A:$A,'Риск йўналишлари'!$B47,Рўйхат!AE:AE)</f>
        <v/>
      </c>
      <c r="AE47" s="17">
        <f>+SUMIF(Рўйхат!$A:$A,'Риск йўналишлари'!$B47,Рўйхат!AF:AF)</f>
        <v/>
      </c>
      <c r="AF47" s="18">
        <f>+SUMIF(Рўйхат!$A:$A,'Риск йўналишлари'!$B47,Рўйхат!AG:AG)</f>
        <v/>
      </c>
      <c r="AG47" s="18">
        <f>+SUMIF(Рўйхат!$A:$A,'Риск йўналишлари'!$B47,Рўйхат!AH:AH)</f>
        <v/>
      </c>
      <c r="AH47" s="33">
        <f>+SUMIF(Рўйхат!$A:$A,'Риск йўналишлари'!$B47,Рўйхат!AI:AI)</f>
        <v/>
      </c>
      <c r="AI47" s="19">
        <f>+SUMIF(Рўйхат!$A:$A,'Риск йўналишлари'!$B47,Рўйхат!AJ:AJ)</f>
        <v/>
      </c>
    </row>
    <row r="48">
      <c r="A48" s="15" t="n">
        <v>43</v>
      </c>
      <c r="B48" s="16" t="inlineStr">
        <is>
          <t>Харид комиссиясида манфаатлар тўқнашуви (XT xarid)</t>
        </is>
      </c>
      <c r="C48" s="16">
        <f>IFERROR(VLOOKUP(B48,Рўйхат!A:E,5,0),"")</f>
        <v/>
      </c>
      <c r="D48" s="30">
        <f>IFERROR(VLOOKUP(B48,Рўйхат!A:F,6,0),"")</f>
        <v/>
      </c>
      <c r="E48" s="17">
        <f>+SUMIF(Рўйхат!$A:$A,'Риск йўналишлари'!$B48,Рўйхат!G:G)</f>
        <v/>
      </c>
      <c r="F48" s="18">
        <f>+SUMIF(Рўйхат!$A:$A,'Риск йўналишлари'!$B48,Рўйхат!H:H)</f>
        <v/>
      </c>
      <c r="G48" s="18">
        <f>M48</f>
        <v/>
      </c>
      <c r="H48" s="18">
        <f>R48+W48+AB48+AG48</f>
        <v/>
      </c>
      <c r="I48" s="18">
        <f>+SUMIF(Рўйхат!$A:$A,'Риск йўналишлари'!$B48,Рўйхат!J:J)</f>
        <v/>
      </c>
      <c r="J48" s="18">
        <f>+SUMIF(Рўйхат!$A:$A,'Риск йўналишлари'!$B48,Рўйхат!K:K)</f>
        <v/>
      </c>
      <c r="K48" s="17">
        <f>+SUMIF(Рўйхат!$A:$A,'Риск йўналишлари'!$B48,Рўйхат!L:L)</f>
        <v/>
      </c>
      <c r="L48" s="18">
        <f>+SUMIF(Рўйхат!$A:$A,'Риск йўналишлари'!$B48,Рўйхат!M:M)</f>
        <v/>
      </c>
      <c r="M48" s="18">
        <f>+SUMIF(Рўйхат!$A:$A,'Риск йўналишлари'!$B48,Рўйхат!N:N)</f>
        <v/>
      </c>
      <c r="N48" s="18">
        <f>+SUMIF(Рўйхат!$A:$A,'Риск йўналишлари'!$B48,Рўйхат!O:O)</f>
        <v/>
      </c>
      <c r="O48" s="18">
        <f>+SUMIF(Рўйхат!$A:$A,'Риск йўналишлари'!$B48,Рўйхат!P:P)</f>
        <v/>
      </c>
      <c r="P48" s="17">
        <f>+SUMIF(Рўйхат!$A:$A,'Риск йўналишлари'!$B48,Рўйхат!Q:Q)</f>
        <v/>
      </c>
      <c r="Q48" s="18">
        <f>+SUMIF(Рўйхат!$A:$A,'Риск йўналишлари'!$B48,Рўйхат!R:R)</f>
        <v/>
      </c>
      <c r="R48" s="18">
        <f>+SUMIF(Рўйхат!$A:$A,'Риск йўналишлари'!$B48,Рўйхат!S:S)</f>
        <v/>
      </c>
      <c r="S48" s="18">
        <f>+SUMIF(Рўйхат!$A:$A,'Риск йўналишлари'!$B48,Рўйхат!T:T)</f>
        <v/>
      </c>
      <c r="T48" s="18">
        <f>+SUMIF(Рўйхат!$A:$A,'Риск йўналишлари'!$B48,Рўйхат!U:U)</f>
        <v/>
      </c>
      <c r="U48" s="17">
        <f>+SUMIF(Рўйхат!$A:$A,'Риск йўналишлари'!$B48,Рўйхат!V:V)</f>
        <v/>
      </c>
      <c r="V48" s="18">
        <f>+SUMIF(Рўйхат!$A:$A,'Риск йўналишлари'!$B48,Рўйхат!W:W)</f>
        <v/>
      </c>
      <c r="W48" s="18">
        <f>+SUMIF(Рўйхат!$A:$A,'Риск йўналишлари'!$B48,Рўйхат!X:X)</f>
        <v/>
      </c>
      <c r="X48" s="18">
        <f>+SUMIF(Рўйхат!$A:$A,'Риск йўналишлари'!$B48,Рўйхат!Y:Y)</f>
        <v/>
      </c>
      <c r="Y48" s="18">
        <f>+SUMIF(Рўйхат!$A:$A,'Риск йўналишлари'!$B48,Рўйхат!Z:Z)</f>
        <v/>
      </c>
      <c r="Z48" s="17">
        <f>+SUMIF(Рўйхат!$A:$A,'Риск йўналишлари'!$B48,Рўйхат!AA:AA)</f>
        <v/>
      </c>
      <c r="AA48" s="18">
        <f>+SUMIF(Рўйхат!$A:$A,'Риск йўналишлари'!$B48,Рўйхат!AB:AB)</f>
        <v/>
      </c>
      <c r="AB48" s="18">
        <f>+SUMIF(Рўйхат!$A:$A,'Риск йўналишлари'!$B48,Рўйхат!AC:AC)</f>
        <v/>
      </c>
      <c r="AC48" s="18">
        <f>+SUMIF(Рўйхат!$A:$A,'Риск йўналишлари'!$B48,Рўйхат!AD:AD)</f>
        <v/>
      </c>
      <c r="AD48" s="18">
        <f>+SUMIF(Рўйхат!$A:$A,'Риск йўналишлари'!$B48,Рўйхат!AE:AE)</f>
        <v/>
      </c>
      <c r="AE48" s="17">
        <f>+SUMIF(Рўйхат!$A:$A,'Риск йўналишлари'!$B48,Рўйхат!AF:AF)</f>
        <v/>
      </c>
      <c r="AF48" s="18">
        <f>+SUMIF(Рўйхат!$A:$A,'Риск йўналишлари'!$B48,Рўйхат!AG:AG)</f>
        <v/>
      </c>
      <c r="AG48" s="18">
        <f>+SUMIF(Рўйхат!$A:$A,'Риск йўналишлари'!$B48,Рўйхат!AH:AH)</f>
        <v/>
      </c>
      <c r="AH48" s="33">
        <f>+SUMIF(Рўйхат!$A:$A,'Риск йўналишлари'!$B48,Рўйхат!AI:AI)</f>
        <v/>
      </c>
      <c r="AI48" s="19">
        <f>+SUMIF(Рўйхат!$A:$A,'Риск йўналишлари'!$B48,Рўйхат!AJ:AJ)</f>
        <v/>
      </c>
    </row>
    <row r="49">
      <c r="A49" s="15" t="n">
        <v>44</v>
      </c>
      <c r="B49" s="16" t="inlineStr">
        <is>
          <t>Харид комиссия аъзоларида манфаалар тўқнашуви (Uzex AI)</t>
        </is>
      </c>
      <c r="C49" s="16">
        <f>IFERROR(VLOOKUP(B49,Рўйхат!A:E,5,0),"")</f>
        <v/>
      </c>
      <c r="D49" s="30">
        <f>IFERROR(VLOOKUP(B49,Рўйхат!A:F,6,0),"")</f>
        <v/>
      </c>
      <c r="E49" s="17">
        <f>+SUMIF(Рўйхат!$A:$A,'Риск йўналишлари'!$B49,Рўйхат!G:G)</f>
        <v/>
      </c>
      <c r="F49" s="18">
        <f>+SUMIF(Рўйхат!$A:$A,'Риск йўналишлари'!$B49,Рўйхат!H:H)</f>
        <v/>
      </c>
      <c r="G49" s="18">
        <f>M49</f>
        <v/>
      </c>
      <c r="H49" s="18">
        <f>R49+W49+AB49+AG49</f>
        <v/>
      </c>
      <c r="I49" s="18">
        <f>+SUMIF(Рўйхат!$A:$A,'Риск йўналишлари'!$B49,Рўйхат!J:J)</f>
        <v/>
      </c>
      <c r="J49" s="18">
        <f>+SUMIF(Рўйхат!$A:$A,'Риск йўналишлари'!$B49,Рўйхат!K:K)</f>
        <v/>
      </c>
      <c r="K49" s="17">
        <f>+SUMIF(Рўйхат!$A:$A,'Риск йўналишлари'!$B49,Рўйхат!L:L)</f>
        <v/>
      </c>
      <c r="L49" s="18">
        <f>+SUMIF(Рўйхат!$A:$A,'Риск йўналишлари'!$B49,Рўйхат!M:M)</f>
        <v/>
      </c>
      <c r="M49" s="18">
        <f>+SUMIF(Рўйхат!$A:$A,'Риск йўналишлари'!$B49,Рўйхат!N:N)</f>
        <v/>
      </c>
      <c r="N49" s="18">
        <f>+SUMIF(Рўйхат!$A:$A,'Риск йўналишлари'!$B49,Рўйхат!O:O)</f>
        <v/>
      </c>
      <c r="O49" s="18">
        <f>+SUMIF(Рўйхат!$A:$A,'Риск йўналишлари'!$B49,Рўйхат!P:P)</f>
        <v/>
      </c>
      <c r="P49" s="17">
        <f>+SUMIF(Рўйхат!$A:$A,'Риск йўналишлари'!$B49,Рўйхат!Q:Q)</f>
        <v/>
      </c>
      <c r="Q49" s="18">
        <f>+SUMIF(Рўйхат!$A:$A,'Риск йўналишлари'!$B49,Рўйхат!R:R)</f>
        <v/>
      </c>
      <c r="R49" s="18">
        <f>+SUMIF(Рўйхат!$A:$A,'Риск йўналишлари'!$B49,Рўйхат!S:S)</f>
        <v/>
      </c>
      <c r="S49" s="18">
        <f>+SUMIF(Рўйхат!$A:$A,'Риск йўналишлари'!$B49,Рўйхат!T:T)</f>
        <v/>
      </c>
      <c r="T49" s="18">
        <f>+SUMIF(Рўйхат!$A:$A,'Риск йўналишлари'!$B49,Рўйхат!U:U)</f>
        <v/>
      </c>
      <c r="U49" s="17">
        <f>+SUMIF(Рўйхат!$A:$A,'Риск йўналишлари'!$B49,Рўйхат!V:V)</f>
        <v/>
      </c>
      <c r="V49" s="18">
        <f>+SUMIF(Рўйхат!$A:$A,'Риск йўналишлари'!$B49,Рўйхат!W:W)</f>
        <v/>
      </c>
      <c r="W49" s="18">
        <f>+SUMIF(Рўйхат!$A:$A,'Риск йўналишлари'!$B49,Рўйхат!X:X)</f>
        <v/>
      </c>
      <c r="X49" s="18">
        <f>+SUMIF(Рўйхат!$A:$A,'Риск йўналишлари'!$B49,Рўйхат!Y:Y)</f>
        <v/>
      </c>
      <c r="Y49" s="18">
        <f>+SUMIF(Рўйхат!$A:$A,'Риск йўналишлари'!$B49,Рўйхат!Z:Z)</f>
        <v/>
      </c>
      <c r="Z49" s="17">
        <f>+SUMIF(Рўйхат!$A:$A,'Риск йўналишлари'!$B49,Рўйхат!AA:AA)</f>
        <v/>
      </c>
      <c r="AA49" s="18">
        <f>+SUMIF(Рўйхат!$A:$A,'Риск йўналишлари'!$B49,Рўйхат!AB:AB)</f>
        <v/>
      </c>
      <c r="AB49" s="18">
        <f>+SUMIF(Рўйхат!$A:$A,'Риск йўналишлари'!$B49,Рўйхат!AC:AC)</f>
        <v/>
      </c>
      <c r="AC49" s="18">
        <f>+SUMIF(Рўйхат!$A:$A,'Риск йўналишлари'!$B49,Рўйхат!AD:AD)</f>
        <v/>
      </c>
      <c r="AD49" s="18">
        <f>+SUMIF(Рўйхат!$A:$A,'Риск йўналишлари'!$B49,Рўйхат!AE:AE)</f>
        <v/>
      </c>
      <c r="AE49" s="17">
        <f>+SUMIF(Рўйхат!$A:$A,'Риск йўналишлари'!$B49,Рўйхат!AF:AF)</f>
        <v/>
      </c>
      <c r="AF49" s="18">
        <f>+SUMIF(Рўйхат!$A:$A,'Риск йўналишлари'!$B49,Рўйхат!AG:AG)</f>
        <v/>
      </c>
      <c r="AG49" s="18">
        <f>+SUMIF(Рўйхат!$A:$A,'Риск йўналишлари'!$B49,Рўйхат!AH:AH)</f>
        <v/>
      </c>
      <c r="AH49" s="33">
        <f>+SUMIF(Рўйхат!$A:$A,'Риск йўналишлари'!$B49,Рўйхат!AI:AI)</f>
        <v/>
      </c>
      <c r="AI49" s="19">
        <f>+SUMIF(Рўйхат!$A:$A,'Риск йўналишлари'!$B49,Рўйхат!AJ:AJ)</f>
        <v/>
      </c>
    </row>
    <row r="50">
      <c r="A50" s="15" t="n">
        <v>45</v>
      </c>
      <c r="B50" s="16" t="inlineStr">
        <is>
          <t>Давлат харидларида манфаатлар тўқнашуви (XT XARID)</t>
        </is>
      </c>
      <c r="C50" s="16">
        <f>IFERROR(VLOOKUP(B50,Рўйхат!A:E,5,0),"")</f>
        <v/>
      </c>
      <c r="D50" s="30">
        <f>IFERROR(VLOOKUP(B50,Рўйхат!A:F,6,0),"")</f>
        <v/>
      </c>
      <c r="E50" s="17">
        <f>+SUMIF(Рўйхат!$A:$A,'Риск йўналишлари'!$B50,Рўйхат!G:G)</f>
        <v/>
      </c>
      <c r="F50" s="18">
        <f>+SUMIF(Рўйхат!$A:$A,'Риск йўналишлари'!$B50,Рўйхат!H:H)</f>
        <v/>
      </c>
      <c r="G50" s="18">
        <f>M50</f>
        <v/>
      </c>
      <c r="H50" s="18">
        <f>R50+W50+AB50+AG50</f>
        <v/>
      </c>
      <c r="I50" s="18">
        <f>+SUMIF(Рўйхат!$A:$A,'Риск йўналишлари'!$B50,Рўйхат!J:J)</f>
        <v/>
      </c>
      <c r="J50" s="18">
        <f>+SUMIF(Рўйхат!$A:$A,'Риск йўналишлари'!$B50,Рўйхат!K:K)</f>
        <v/>
      </c>
      <c r="K50" s="17">
        <f>+SUMIF(Рўйхат!$A:$A,'Риск йўналишлари'!$B50,Рўйхат!L:L)</f>
        <v/>
      </c>
      <c r="L50" s="18">
        <f>+SUMIF(Рўйхат!$A:$A,'Риск йўналишлари'!$B50,Рўйхат!M:M)</f>
        <v/>
      </c>
      <c r="M50" s="18">
        <f>+SUMIF(Рўйхат!$A:$A,'Риск йўналишлари'!$B50,Рўйхат!N:N)</f>
        <v/>
      </c>
      <c r="N50" s="18">
        <f>+SUMIF(Рўйхат!$A:$A,'Риск йўналишлари'!$B50,Рўйхат!O:O)</f>
        <v/>
      </c>
      <c r="O50" s="18">
        <f>+SUMIF(Рўйхат!$A:$A,'Риск йўналишлари'!$B50,Рўйхат!P:P)</f>
        <v/>
      </c>
      <c r="P50" s="17">
        <f>+SUMIF(Рўйхат!$A:$A,'Риск йўналишлари'!$B50,Рўйхат!Q:Q)</f>
        <v/>
      </c>
      <c r="Q50" s="18">
        <f>+SUMIF(Рўйхат!$A:$A,'Риск йўналишлари'!$B50,Рўйхат!R:R)</f>
        <v/>
      </c>
      <c r="R50" s="18">
        <f>+SUMIF(Рўйхат!$A:$A,'Риск йўналишлари'!$B50,Рўйхат!S:S)</f>
        <v/>
      </c>
      <c r="S50" s="18">
        <f>+SUMIF(Рўйхат!$A:$A,'Риск йўналишлари'!$B50,Рўйхат!T:T)</f>
        <v/>
      </c>
      <c r="T50" s="18">
        <f>+SUMIF(Рўйхат!$A:$A,'Риск йўналишлари'!$B50,Рўйхат!U:U)</f>
        <v/>
      </c>
      <c r="U50" s="17">
        <f>+SUMIF(Рўйхат!$A:$A,'Риск йўналишлари'!$B50,Рўйхат!V:V)</f>
        <v/>
      </c>
      <c r="V50" s="18">
        <f>+SUMIF(Рўйхат!$A:$A,'Риск йўналишлари'!$B50,Рўйхат!W:W)</f>
        <v/>
      </c>
      <c r="W50" s="18">
        <f>+SUMIF(Рўйхат!$A:$A,'Риск йўналишлари'!$B50,Рўйхат!X:X)</f>
        <v/>
      </c>
      <c r="X50" s="18">
        <f>+SUMIF(Рўйхат!$A:$A,'Риск йўналишлари'!$B50,Рўйхат!Y:Y)</f>
        <v/>
      </c>
      <c r="Y50" s="18">
        <f>+SUMIF(Рўйхат!$A:$A,'Риск йўналишлари'!$B50,Рўйхат!Z:Z)</f>
        <v/>
      </c>
      <c r="Z50" s="17">
        <f>+SUMIF(Рўйхат!$A:$A,'Риск йўналишлари'!$B50,Рўйхат!AA:AA)</f>
        <v/>
      </c>
      <c r="AA50" s="18">
        <f>+SUMIF(Рўйхат!$A:$A,'Риск йўналишлари'!$B50,Рўйхат!AB:AB)</f>
        <v/>
      </c>
      <c r="AB50" s="18">
        <f>+SUMIF(Рўйхат!$A:$A,'Риск йўналишлари'!$B50,Рўйхат!AC:AC)</f>
        <v/>
      </c>
      <c r="AC50" s="18">
        <f>+SUMIF(Рўйхат!$A:$A,'Риск йўналишлари'!$B50,Рўйхат!AD:AD)</f>
        <v/>
      </c>
      <c r="AD50" s="18">
        <f>+SUMIF(Рўйхат!$A:$A,'Риск йўналишлари'!$B50,Рўйхат!AE:AE)</f>
        <v/>
      </c>
      <c r="AE50" s="17">
        <f>+SUMIF(Рўйхат!$A:$A,'Риск йўналишлари'!$B50,Рўйхат!AF:AF)</f>
        <v/>
      </c>
      <c r="AF50" s="18">
        <f>+SUMIF(Рўйхат!$A:$A,'Риск йўналишлари'!$B50,Рўйхат!AG:AG)</f>
        <v/>
      </c>
      <c r="AG50" s="18">
        <f>+SUMIF(Рўйхат!$A:$A,'Риск йўналишлари'!$B50,Рўйхат!AH:AH)</f>
        <v/>
      </c>
      <c r="AH50" s="33">
        <f>+SUMIF(Рўйхат!$A:$A,'Риск йўналишлари'!$B50,Рўйхат!AI:AI)</f>
        <v/>
      </c>
      <c r="AI50" s="19">
        <f>+SUMIF(Рўйхат!$A:$A,'Риск йўналишлари'!$B50,Рўйхат!AJ:AJ)</f>
        <v/>
      </c>
    </row>
    <row r="51">
      <c r="A51" s="15" t="n">
        <v>46</v>
      </c>
      <c r="B51" s="16" t="inlineStr">
        <is>
          <t>Ғазначиликда рўйхатдан ўтган шартномадаги товар билан фактурадаги товарнинг ўзаро мувофиқлиги бўйича таҳлил (COOPERATION AI)</t>
        </is>
      </c>
      <c r="C51" s="16">
        <f>IFERROR(VLOOKUP(B51,Рўйхат!A:E,5,0),"")</f>
        <v/>
      </c>
      <c r="D51" s="30">
        <f>IFERROR(VLOOKUP(B51,Рўйхат!A:F,6,0),"")</f>
        <v/>
      </c>
      <c r="E51" s="17">
        <f>+SUMIF(Рўйхат!$A:$A,'Риск йўналишлари'!$B51,Рўйхат!G:G)</f>
        <v/>
      </c>
      <c r="F51" s="18">
        <f>+SUMIF(Рўйхат!$A:$A,'Риск йўналишлари'!$B51,Рўйхат!H:H)</f>
        <v/>
      </c>
      <c r="G51" s="18">
        <f>M51</f>
        <v/>
      </c>
      <c r="H51" s="18">
        <f>R51+W51+AB51+AG51</f>
        <v/>
      </c>
      <c r="I51" s="18">
        <f>+SUMIF(Рўйхат!$A:$A,'Риск йўналишлари'!$B51,Рўйхат!J:J)</f>
        <v/>
      </c>
      <c r="J51" s="18">
        <f>+SUMIF(Рўйхат!$A:$A,'Риск йўналишлари'!$B51,Рўйхат!K:K)</f>
        <v/>
      </c>
      <c r="K51" s="17">
        <f>+SUMIF(Рўйхат!$A:$A,'Риск йўналишлари'!$B51,Рўйхат!L:L)</f>
        <v/>
      </c>
      <c r="L51" s="18">
        <f>+SUMIF(Рўйхат!$A:$A,'Риск йўналишлари'!$B51,Рўйхат!M:M)</f>
        <v/>
      </c>
      <c r="M51" s="18">
        <f>+SUMIF(Рўйхат!$A:$A,'Риск йўналишлари'!$B51,Рўйхат!N:N)</f>
        <v/>
      </c>
      <c r="N51" s="18">
        <f>+SUMIF(Рўйхат!$A:$A,'Риск йўналишлари'!$B51,Рўйхат!O:O)</f>
        <v/>
      </c>
      <c r="O51" s="18">
        <f>+SUMIF(Рўйхат!$A:$A,'Риск йўналишлари'!$B51,Рўйхат!P:P)</f>
        <v/>
      </c>
      <c r="P51" s="17">
        <f>+SUMIF(Рўйхат!$A:$A,'Риск йўналишлари'!$B51,Рўйхат!Q:Q)</f>
        <v/>
      </c>
      <c r="Q51" s="18">
        <f>+SUMIF(Рўйхат!$A:$A,'Риск йўналишлари'!$B51,Рўйхат!R:R)</f>
        <v/>
      </c>
      <c r="R51" s="18">
        <f>+SUMIF(Рўйхат!$A:$A,'Риск йўналишлари'!$B51,Рўйхат!S:S)</f>
        <v/>
      </c>
      <c r="S51" s="18">
        <f>+SUMIF(Рўйхат!$A:$A,'Риск йўналишлари'!$B51,Рўйхат!T:T)</f>
        <v/>
      </c>
      <c r="T51" s="18">
        <f>+SUMIF(Рўйхат!$A:$A,'Риск йўналишлари'!$B51,Рўйхат!U:U)</f>
        <v/>
      </c>
      <c r="U51" s="17">
        <f>+SUMIF(Рўйхат!$A:$A,'Риск йўналишлари'!$B51,Рўйхат!V:V)</f>
        <v/>
      </c>
      <c r="V51" s="18">
        <f>+SUMIF(Рўйхат!$A:$A,'Риск йўналишлари'!$B51,Рўйхат!W:W)</f>
        <v/>
      </c>
      <c r="W51" s="18">
        <f>+SUMIF(Рўйхат!$A:$A,'Риск йўналишлари'!$B51,Рўйхат!X:X)</f>
        <v/>
      </c>
      <c r="X51" s="18">
        <f>+SUMIF(Рўйхат!$A:$A,'Риск йўналишлари'!$B51,Рўйхат!Y:Y)</f>
        <v/>
      </c>
      <c r="Y51" s="18">
        <f>+SUMIF(Рўйхат!$A:$A,'Риск йўналишлари'!$B51,Рўйхат!Z:Z)</f>
        <v/>
      </c>
      <c r="Z51" s="17">
        <f>+SUMIF(Рўйхат!$A:$A,'Риск йўналишлари'!$B51,Рўйхат!AA:AA)</f>
        <v/>
      </c>
      <c r="AA51" s="18">
        <f>+SUMIF(Рўйхат!$A:$A,'Риск йўналишлари'!$B51,Рўйхат!AB:AB)</f>
        <v/>
      </c>
      <c r="AB51" s="18">
        <f>+SUMIF(Рўйхат!$A:$A,'Риск йўналишлари'!$B51,Рўйхат!AC:AC)</f>
        <v/>
      </c>
      <c r="AC51" s="18">
        <f>+SUMIF(Рўйхат!$A:$A,'Риск йўналишлари'!$B51,Рўйхат!AD:AD)</f>
        <v/>
      </c>
      <c r="AD51" s="18">
        <f>+SUMIF(Рўйхат!$A:$A,'Риск йўналишлари'!$B51,Рўйхат!AE:AE)</f>
        <v/>
      </c>
      <c r="AE51" s="17">
        <f>+SUMIF(Рўйхат!$A:$A,'Риск йўналишлари'!$B51,Рўйхат!AF:AF)</f>
        <v/>
      </c>
      <c r="AF51" s="18">
        <f>+SUMIF(Рўйхат!$A:$A,'Риск йўналишлари'!$B51,Рўйхат!AG:AG)</f>
        <v/>
      </c>
      <c r="AG51" s="18">
        <f>+SUMIF(Рўйхат!$A:$A,'Риск йўналишлари'!$B51,Рўйхат!AH:AH)</f>
        <v/>
      </c>
      <c r="AH51" s="33">
        <f>+SUMIF(Рўйхат!$A:$A,'Риск йўналишлари'!$B51,Рўйхат!AI:AI)</f>
        <v/>
      </c>
      <c r="AI51" s="19">
        <f>+SUMIF(Рўйхат!$A:$A,'Риск йўналишлари'!$B51,Рўйхат!AJ:AJ)</f>
        <v/>
      </c>
    </row>
    <row r="52">
      <c r="A52" s="15" t="n">
        <v>47</v>
      </c>
      <c r="B52" s="16" t="inlineStr">
        <is>
          <t>Банкка алоқадор жисмоний шахсларнинг муаммоли кредитлари таҳлили</t>
        </is>
      </c>
      <c r="C52" s="16">
        <f>IFERROR(VLOOKUP(B52,Рўйхат!A:E,5,0),"")</f>
        <v/>
      </c>
      <c r="D52" s="30">
        <f>IFERROR(VLOOKUP(B52,Рўйхат!A:F,6,0),"")</f>
        <v/>
      </c>
      <c r="E52" s="17">
        <f>+SUMIF(Рўйхат!$A:$A,'Риск йўналишлари'!$B52,Рўйхат!G:G)</f>
        <v/>
      </c>
      <c r="F52" s="18">
        <f>+SUMIF(Рўйхат!$A:$A,'Риск йўналишлари'!$B52,Рўйхат!H:H)</f>
        <v/>
      </c>
      <c r="G52" s="18">
        <f>M52</f>
        <v/>
      </c>
      <c r="H52" s="18">
        <f>R52+W52+AB52+AG52</f>
        <v/>
      </c>
      <c r="I52" s="18">
        <f>+SUMIF(Рўйхат!$A:$A,'Риск йўналишлари'!$B52,Рўйхат!J:J)</f>
        <v/>
      </c>
      <c r="J52" s="18">
        <f>+SUMIF(Рўйхат!$A:$A,'Риск йўналишлари'!$B52,Рўйхат!K:K)</f>
        <v/>
      </c>
      <c r="K52" s="17">
        <f>+SUMIF(Рўйхат!$A:$A,'Риск йўналишлари'!$B52,Рўйхат!L:L)</f>
        <v/>
      </c>
      <c r="L52" s="18">
        <f>+SUMIF(Рўйхат!$A:$A,'Риск йўналишлари'!$B52,Рўйхат!M:M)</f>
        <v/>
      </c>
      <c r="M52" s="18">
        <f>+SUMIF(Рўйхат!$A:$A,'Риск йўналишлари'!$B52,Рўйхат!N:N)</f>
        <v/>
      </c>
      <c r="N52" s="18">
        <f>+SUMIF(Рўйхат!$A:$A,'Риск йўналишлари'!$B52,Рўйхат!O:O)</f>
        <v/>
      </c>
      <c r="O52" s="18">
        <f>+SUMIF(Рўйхат!$A:$A,'Риск йўналишлари'!$B52,Рўйхат!P:P)</f>
        <v/>
      </c>
      <c r="P52" s="17">
        <f>+SUMIF(Рўйхат!$A:$A,'Риск йўналишлари'!$B52,Рўйхат!Q:Q)</f>
        <v/>
      </c>
      <c r="Q52" s="18">
        <f>+SUMIF(Рўйхат!$A:$A,'Риск йўналишлари'!$B52,Рўйхат!R:R)</f>
        <v/>
      </c>
      <c r="R52" s="18">
        <f>+SUMIF(Рўйхат!$A:$A,'Риск йўналишлари'!$B52,Рўйхат!S:S)</f>
        <v/>
      </c>
      <c r="S52" s="18">
        <f>+SUMIF(Рўйхат!$A:$A,'Риск йўналишлари'!$B52,Рўйхат!T:T)</f>
        <v/>
      </c>
      <c r="T52" s="18">
        <f>+SUMIF(Рўйхат!$A:$A,'Риск йўналишлари'!$B52,Рўйхат!U:U)</f>
        <v/>
      </c>
      <c r="U52" s="17">
        <f>+SUMIF(Рўйхат!$A:$A,'Риск йўналишлари'!$B52,Рўйхат!V:V)</f>
        <v/>
      </c>
      <c r="V52" s="18">
        <f>+SUMIF(Рўйхат!$A:$A,'Риск йўналишлари'!$B52,Рўйхат!W:W)</f>
        <v/>
      </c>
      <c r="W52" s="18">
        <f>+SUMIF(Рўйхат!$A:$A,'Риск йўналишлари'!$B52,Рўйхат!X:X)</f>
        <v/>
      </c>
      <c r="X52" s="18">
        <f>+SUMIF(Рўйхат!$A:$A,'Риск йўналишлари'!$B52,Рўйхат!Y:Y)</f>
        <v/>
      </c>
      <c r="Y52" s="18">
        <f>+SUMIF(Рўйхат!$A:$A,'Риск йўналишлари'!$B52,Рўйхат!Z:Z)</f>
        <v/>
      </c>
      <c r="Z52" s="17">
        <f>+SUMIF(Рўйхат!$A:$A,'Риск йўналишлари'!$B52,Рўйхат!AA:AA)</f>
        <v/>
      </c>
      <c r="AA52" s="18">
        <f>+SUMIF(Рўйхат!$A:$A,'Риск йўналишлари'!$B52,Рўйхат!AB:AB)</f>
        <v/>
      </c>
      <c r="AB52" s="18">
        <f>+SUMIF(Рўйхат!$A:$A,'Риск йўналишлари'!$B52,Рўйхат!AC:AC)</f>
        <v/>
      </c>
      <c r="AC52" s="18">
        <f>+SUMIF(Рўйхат!$A:$A,'Риск йўналишлари'!$B52,Рўйхат!AD:AD)</f>
        <v/>
      </c>
      <c r="AD52" s="18">
        <f>+SUMIF(Рўйхат!$A:$A,'Риск йўналишлари'!$B52,Рўйхат!AE:AE)</f>
        <v/>
      </c>
      <c r="AE52" s="17">
        <f>+SUMIF(Рўйхат!$A:$A,'Риск йўналишлари'!$B52,Рўйхат!AF:AF)</f>
        <v/>
      </c>
      <c r="AF52" s="18">
        <f>+SUMIF(Рўйхат!$A:$A,'Риск йўналишлари'!$B52,Рўйхат!AG:AG)</f>
        <v/>
      </c>
      <c r="AG52" s="18">
        <f>+SUMIF(Рўйхат!$A:$A,'Риск йўналишлари'!$B52,Рўйхат!AH:AH)</f>
        <v/>
      </c>
      <c r="AH52" s="33">
        <f>+SUMIF(Рўйхат!$A:$A,'Риск йўналишлари'!$B52,Рўйхат!AI:AI)</f>
        <v/>
      </c>
      <c r="AI52" s="19">
        <f>+SUMIF(Рўйхат!$A:$A,'Риск йўналишлари'!$B52,Рўйхат!AJ:AJ)</f>
        <v/>
      </c>
    </row>
    <row r="53">
      <c r="A53" s="15" t="n">
        <v>48</v>
      </c>
      <c r="B53" s="46" t="inlineStr">
        <is>
          <t>Аффилланганлик таҳлили (Uzex AI)</t>
        </is>
      </c>
      <c r="C53" s="16">
        <f>IFERROR(VLOOKUP(B53,Рўйхат!A:E,5,0),"")</f>
        <v/>
      </c>
      <c r="D53" s="30">
        <f>IFERROR(VLOOKUP(B53,Рўйхат!A:F,6,0),"")</f>
        <v/>
      </c>
      <c r="E53" s="17">
        <f>+SUMIF(Рўйхат!$A:$A,'Риск йўналишлари'!$B53,Рўйхат!G:G)</f>
        <v/>
      </c>
      <c r="F53" s="18">
        <f>+SUMIF(Рўйхат!$A:$A,'Риск йўналишлари'!$B53,Рўйхат!H:H)</f>
        <v/>
      </c>
      <c r="G53" s="18">
        <f>M53</f>
        <v/>
      </c>
      <c r="H53" s="18">
        <f>R53+W53+AB53+AG53</f>
        <v/>
      </c>
      <c r="I53" s="18">
        <f>+SUMIF(Рўйхат!$A:$A,'Риск йўналишлари'!$B53,Рўйхат!J:J)</f>
        <v/>
      </c>
      <c r="J53" s="18">
        <f>+SUMIF(Рўйхат!$A:$A,'Риск йўналишлари'!$B53,Рўйхат!K:K)</f>
        <v/>
      </c>
      <c r="K53" s="17">
        <f>+SUMIF(Рўйхат!$A:$A,'Риск йўналишлари'!$B53,Рўйхат!L:L)</f>
        <v/>
      </c>
      <c r="L53" s="18">
        <f>+SUMIF(Рўйхат!$A:$A,'Риск йўналишлари'!$B53,Рўйхат!M:M)</f>
        <v/>
      </c>
      <c r="M53" s="18">
        <f>+SUMIF(Рўйхат!$A:$A,'Риск йўналишлари'!$B53,Рўйхат!N:N)</f>
        <v/>
      </c>
      <c r="N53" s="18">
        <f>+SUMIF(Рўйхат!$A:$A,'Риск йўналишлари'!$B53,Рўйхат!O:O)</f>
        <v/>
      </c>
      <c r="O53" s="18">
        <f>+SUMIF(Рўйхат!$A:$A,'Риск йўналишлари'!$B53,Рўйхат!P:P)</f>
        <v/>
      </c>
      <c r="P53" s="17">
        <f>+SUMIF(Рўйхат!$A:$A,'Риск йўналишлари'!$B53,Рўйхат!Q:Q)</f>
        <v/>
      </c>
      <c r="Q53" s="18">
        <f>+SUMIF(Рўйхат!$A:$A,'Риск йўналишлари'!$B53,Рўйхат!R:R)</f>
        <v/>
      </c>
      <c r="R53" s="18">
        <f>+SUMIF(Рўйхат!$A:$A,'Риск йўналишлари'!$B53,Рўйхат!S:S)</f>
        <v/>
      </c>
      <c r="S53" s="18">
        <f>+SUMIF(Рўйхат!$A:$A,'Риск йўналишлари'!$B53,Рўйхат!T:T)</f>
        <v/>
      </c>
      <c r="T53" s="18">
        <f>+SUMIF(Рўйхат!$A:$A,'Риск йўналишлари'!$B53,Рўйхат!U:U)</f>
        <v/>
      </c>
      <c r="U53" s="17">
        <f>+SUMIF(Рўйхат!$A:$A,'Риск йўналишлари'!$B53,Рўйхат!V:V)</f>
        <v/>
      </c>
      <c r="V53" s="18">
        <f>+SUMIF(Рўйхат!$A:$A,'Риск йўналишлари'!$B53,Рўйхат!W:W)</f>
        <v/>
      </c>
      <c r="W53" s="18">
        <f>+SUMIF(Рўйхат!$A:$A,'Риск йўналишлари'!$B53,Рўйхат!X:X)</f>
        <v/>
      </c>
      <c r="X53" s="18">
        <f>+SUMIF(Рўйхат!$A:$A,'Риск йўналишлари'!$B53,Рўйхат!Y:Y)</f>
        <v/>
      </c>
      <c r="Y53" s="18">
        <f>+SUMIF(Рўйхат!$A:$A,'Риск йўналишлари'!$B53,Рўйхат!Z:Z)</f>
        <v/>
      </c>
      <c r="Z53" s="17">
        <f>+SUMIF(Рўйхат!$A:$A,'Риск йўналишлари'!$B53,Рўйхат!AA:AA)</f>
        <v/>
      </c>
      <c r="AA53" s="18">
        <f>+SUMIF(Рўйхат!$A:$A,'Риск йўналишлари'!$B53,Рўйхат!AB:AB)</f>
        <v/>
      </c>
      <c r="AB53" s="18">
        <f>+SUMIF(Рўйхат!$A:$A,'Риск йўналишлари'!$B53,Рўйхат!AC:AC)</f>
        <v/>
      </c>
      <c r="AC53" s="18">
        <f>+SUMIF(Рўйхат!$A:$A,'Риск йўналишлари'!$B53,Рўйхат!AD:AD)</f>
        <v/>
      </c>
      <c r="AD53" s="18">
        <f>+SUMIF(Рўйхат!$A:$A,'Риск йўналишлари'!$B53,Рўйхат!AE:AE)</f>
        <v/>
      </c>
      <c r="AE53" s="17">
        <f>+SUMIF(Рўйхат!$A:$A,'Риск йўналишлари'!$B53,Рўйхат!AF:AF)</f>
        <v/>
      </c>
      <c r="AF53" s="18">
        <f>+SUMIF(Рўйхат!$A:$A,'Риск йўналишлари'!$B53,Рўйхат!AG:AG)</f>
        <v/>
      </c>
      <c r="AG53" s="18">
        <f>+SUMIF(Рўйхат!$A:$A,'Риск йўналишлари'!$B53,Рўйхат!AH:AH)</f>
        <v/>
      </c>
      <c r="AH53" s="33">
        <f>+SUMIF(Рўйхат!$A:$A,'Риск йўналишлари'!$B53,Рўйхат!AI:AI)</f>
        <v/>
      </c>
      <c r="AI53" s="19">
        <f>+SUMIF(Рўйхат!$A:$A,'Риск йўналишлари'!$B53,Рўйхат!AJ:AJ)</f>
        <v/>
      </c>
    </row>
    <row r="54">
      <c r="A54" s="15" t="n">
        <v>49</v>
      </c>
      <c r="B54" s="46" t="inlineStr">
        <is>
          <t>Давлат харидларида манфаатлар тўқнашуви (COOPERATION)</t>
        </is>
      </c>
      <c r="C54" s="16">
        <f>IFERROR(VLOOKUP(B54,Рўйхат!A:E,5,0),"")</f>
        <v/>
      </c>
      <c r="D54" s="30">
        <f>IFERROR(VLOOKUP(B54,Рўйхат!A:F,6,0),"")</f>
        <v/>
      </c>
      <c r="E54" s="17">
        <f>+SUMIF(Рўйхат!$A:$A,'Риск йўналишлари'!$B54,Рўйхат!G:G)</f>
        <v/>
      </c>
      <c r="F54" s="18">
        <f>+SUMIF(Рўйхат!$A:$A,'Риск йўналишлари'!$B54,Рўйхат!H:H)</f>
        <v/>
      </c>
      <c r="G54" s="18">
        <f>M54</f>
        <v/>
      </c>
      <c r="H54" s="18">
        <f>R54+W54+AB54+AG54</f>
        <v/>
      </c>
      <c r="I54" s="18">
        <f>+SUMIF(Рўйхат!$A:$A,'Риск йўналишлари'!$B54,Рўйхат!J:J)</f>
        <v/>
      </c>
      <c r="J54" s="18">
        <f>+SUMIF(Рўйхат!$A:$A,'Риск йўналишлари'!$B54,Рўйхат!K:K)</f>
        <v/>
      </c>
      <c r="K54" s="17">
        <f>+SUMIF(Рўйхат!$A:$A,'Риск йўналишлари'!$B54,Рўйхат!L:L)</f>
        <v/>
      </c>
      <c r="L54" s="18">
        <f>+SUMIF(Рўйхат!$A:$A,'Риск йўналишлари'!$B54,Рўйхат!M:M)</f>
        <v/>
      </c>
      <c r="M54" s="18">
        <f>+SUMIF(Рўйхат!$A:$A,'Риск йўналишлари'!$B54,Рўйхат!N:N)</f>
        <v/>
      </c>
      <c r="N54" s="18">
        <f>+SUMIF(Рўйхат!$A:$A,'Риск йўналишлари'!$B54,Рўйхат!O:O)</f>
        <v/>
      </c>
      <c r="O54" s="18">
        <f>+SUMIF(Рўйхат!$A:$A,'Риск йўналишлари'!$B54,Рўйхат!P:P)</f>
        <v/>
      </c>
      <c r="P54" s="17">
        <f>+SUMIF(Рўйхат!$A:$A,'Риск йўналишлари'!$B54,Рўйхат!Q:Q)</f>
        <v/>
      </c>
      <c r="Q54" s="18">
        <f>+SUMIF(Рўйхат!$A:$A,'Риск йўналишлари'!$B54,Рўйхат!R:R)</f>
        <v/>
      </c>
      <c r="R54" s="18">
        <f>+SUMIF(Рўйхат!$A:$A,'Риск йўналишлари'!$B54,Рўйхат!S:S)</f>
        <v/>
      </c>
      <c r="S54" s="18">
        <f>+SUMIF(Рўйхат!$A:$A,'Риск йўналишлари'!$B54,Рўйхат!T:T)</f>
        <v/>
      </c>
      <c r="T54" s="18">
        <f>+SUMIF(Рўйхат!$A:$A,'Риск йўналишлари'!$B54,Рўйхат!U:U)</f>
        <v/>
      </c>
      <c r="U54" s="17">
        <f>+SUMIF(Рўйхат!$A:$A,'Риск йўналишлари'!$B54,Рўйхат!V:V)</f>
        <v/>
      </c>
      <c r="V54" s="18">
        <f>+SUMIF(Рўйхат!$A:$A,'Риск йўналишлари'!$B54,Рўйхат!W:W)</f>
        <v/>
      </c>
      <c r="W54" s="18">
        <f>+SUMIF(Рўйхат!$A:$A,'Риск йўналишлари'!$B54,Рўйхат!X:X)</f>
        <v/>
      </c>
      <c r="X54" s="18">
        <f>+SUMIF(Рўйхат!$A:$A,'Риск йўналишлари'!$B54,Рўйхат!Y:Y)</f>
        <v/>
      </c>
      <c r="Y54" s="18">
        <f>+SUMIF(Рўйхат!$A:$A,'Риск йўналишлари'!$B54,Рўйхат!Z:Z)</f>
        <v/>
      </c>
      <c r="Z54" s="17">
        <f>+SUMIF(Рўйхат!$A:$A,'Риск йўналишлари'!$B54,Рўйхат!AA:AA)</f>
        <v/>
      </c>
      <c r="AA54" s="18">
        <f>+SUMIF(Рўйхат!$A:$A,'Риск йўналишлари'!$B54,Рўйхат!AB:AB)</f>
        <v/>
      </c>
      <c r="AB54" s="18">
        <f>+SUMIF(Рўйхат!$A:$A,'Риск йўналишлари'!$B54,Рўйхат!AC:AC)</f>
        <v/>
      </c>
      <c r="AC54" s="18">
        <f>+SUMIF(Рўйхат!$A:$A,'Риск йўналишлари'!$B54,Рўйхат!AD:AD)</f>
        <v/>
      </c>
      <c r="AD54" s="18">
        <f>+SUMIF(Рўйхат!$A:$A,'Риск йўналишлари'!$B54,Рўйхат!AE:AE)</f>
        <v/>
      </c>
      <c r="AE54" s="17">
        <f>+SUMIF(Рўйхат!$A:$A,'Риск йўналишлари'!$B54,Рўйхат!AF:AF)</f>
        <v/>
      </c>
      <c r="AF54" s="18">
        <f>+SUMIF(Рўйхат!$A:$A,'Риск йўналишлари'!$B54,Рўйхат!AG:AG)</f>
        <v/>
      </c>
      <c r="AG54" s="18">
        <f>+SUMIF(Рўйхат!$A:$A,'Риск йўналишлари'!$B54,Рўйхат!AH:AH)</f>
        <v/>
      </c>
      <c r="AH54" s="33">
        <f>+SUMIF(Рўйхат!$A:$A,'Риск йўналишлари'!$B54,Рўйхат!AI:AI)</f>
        <v/>
      </c>
      <c r="AI54" s="19">
        <f>+SUMIF(Рўйхат!$A:$A,'Риск йўналишлари'!$B54,Рўйхат!AJ:AJ)</f>
        <v/>
      </c>
    </row>
    <row r="55">
      <c r="A55" s="15" t="n">
        <v>50</v>
      </c>
      <c r="B55" s="46" t="inlineStr">
        <is>
          <t>Аффилланганлик таҳлили (Xt Xarid AI)</t>
        </is>
      </c>
      <c r="C55" s="16">
        <f>IFERROR(VLOOKUP(B55,Рўйхат!A:E,5,0),"")</f>
        <v/>
      </c>
      <c r="D55" s="30">
        <f>IFERROR(VLOOKUP(B55,Рўйхат!A:F,6,0),"")</f>
        <v/>
      </c>
      <c r="E55" s="17">
        <f>+SUMIF(Рўйхат!$A:$A,'Риск йўналишлари'!$B55,Рўйхат!G:G)</f>
        <v/>
      </c>
      <c r="F55" s="18">
        <f>+SUMIF(Рўйхат!$A:$A,'Риск йўналишлари'!$B55,Рўйхат!H:H)</f>
        <v/>
      </c>
      <c r="G55" s="18">
        <f>M55</f>
        <v/>
      </c>
      <c r="H55" s="18">
        <f>R55+W55+AB55+AG55</f>
        <v/>
      </c>
      <c r="I55" s="18">
        <f>+SUMIF(Рўйхат!$A:$A,'Риск йўналишлари'!$B55,Рўйхат!J:J)</f>
        <v/>
      </c>
      <c r="J55" s="18">
        <f>+SUMIF(Рўйхат!$A:$A,'Риск йўналишлари'!$B55,Рўйхат!K:K)</f>
        <v/>
      </c>
      <c r="K55" s="17">
        <f>+SUMIF(Рўйхат!$A:$A,'Риск йўналишлари'!$B55,Рўйхат!L:L)</f>
        <v/>
      </c>
      <c r="L55" s="18">
        <f>+SUMIF(Рўйхат!$A:$A,'Риск йўналишлари'!$B55,Рўйхат!M:M)</f>
        <v/>
      </c>
      <c r="M55" s="18">
        <f>+SUMIF(Рўйхат!$A:$A,'Риск йўналишлари'!$B55,Рўйхат!N:N)</f>
        <v/>
      </c>
      <c r="N55" s="18">
        <f>+SUMIF(Рўйхат!$A:$A,'Риск йўналишлари'!$B55,Рўйхат!O:O)</f>
        <v/>
      </c>
      <c r="O55" s="18">
        <f>+SUMIF(Рўйхат!$A:$A,'Риск йўналишлари'!$B55,Рўйхат!P:P)</f>
        <v/>
      </c>
      <c r="P55" s="17">
        <f>+SUMIF(Рўйхат!$A:$A,'Риск йўналишлари'!$B55,Рўйхат!Q:Q)</f>
        <v/>
      </c>
      <c r="Q55" s="18">
        <f>+SUMIF(Рўйхат!$A:$A,'Риск йўналишлари'!$B55,Рўйхат!R:R)</f>
        <v/>
      </c>
      <c r="R55" s="18">
        <f>+SUMIF(Рўйхат!$A:$A,'Риск йўналишлари'!$B55,Рўйхат!S:S)</f>
        <v/>
      </c>
      <c r="S55" s="18">
        <f>+SUMIF(Рўйхат!$A:$A,'Риск йўналишлари'!$B55,Рўйхат!T:T)</f>
        <v/>
      </c>
      <c r="T55" s="18">
        <f>+SUMIF(Рўйхат!$A:$A,'Риск йўналишлари'!$B55,Рўйхат!U:U)</f>
        <v/>
      </c>
      <c r="U55" s="17">
        <f>+SUMIF(Рўйхат!$A:$A,'Риск йўналишлари'!$B55,Рўйхат!V:V)</f>
        <v/>
      </c>
      <c r="V55" s="18">
        <f>+SUMIF(Рўйхат!$A:$A,'Риск йўналишлари'!$B55,Рўйхат!W:W)</f>
        <v/>
      </c>
      <c r="W55" s="18">
        <f>+SUMIF(Рўйхат!$A:$A,'Риск йўналишлари'!$B55,Рўйхат!X:X)</f>
        <v/>
      </c>
      <c r="X55" s="18">
        <f>+SUMIF(Рўйхат!$A:$A,'Риск йўналишлари'!$B55,Рўйхат!Y:Y)</f>
        <v/>
      </c>
      <c r="Y55" s="18">
        <f>+SUMIF(Рўйхат!$A:$A,'Риск йўналишлари'!$B55,Рўйхат!Z:Z)</f>
        <v/>
      </c>
      <c r="Z55" s="17">
        <f>+SUMIF(Рўйхат!$A:$A,'Риск йўналишлари'!$B55,Рўйхат!AA:AA)</f>
        <v/>
      </c>
      <c r="AA55" s="18">
        <f>+SUMIF(Рўйхат!$A:$A,'Риск йўналишлари'!$B55,Рўйхат!AB:AB)</f>
        <v/>
      </c>
      <c r="AB55" s="18">
        <f>+SUMIF(Рўйхат!$A:$A,'Риск йўналишлари'!$B55,Рўйхат!AC:AC)</f>
        <v/>
      </c>
      <c r="AC55" s="18">
        <f>+SUMIF(Рўйхат!$A:$A,'Риск йўналишлари'!$B55,Рўйхат!AD:AD)</f>
        <v/>
      </c>
      <c r="AD55" s="18">
        <f>+SUMIF(Рўйхат!$A:$A,'Риск йўналишлари'!$B55,Рўйхат!AE:AE)</f>
        <v/>
      </c>
      <c r="AE55" s="17">
        <f>+SUMIF(Рўйхат!$A:$A,'Риск йўналишлари'!$B55,Рўйхат!AF:AF)</f>
        <v/>
      </c>
      <c r="AF55" s="18">
        <f>+SUMIF(Рўйхат!$A:$A,'Риск йўналишлари'!$B55,Рўйхат!AG:AG)</f>
        <v/>
      </c>
      <c r="AG55" s="18">
        <f>+SUMIF(Рўйхат!$A:$A,'Риск йўналишлари'!$B55,Рўйхат!AH:AH)</f>
        <v/>
      </c>
      <c r="AH55" s="33">
        <f>+SUMIF(Рўйхат!$A:$A,'Риск йўналишлари'!$B55,Рўйхат!AI:AI)</f>
        <v/>
      </c>
      <c r="AI55" s="19">
        <f>+SUMIF(Рўйхат!$A:$A,'Риск йўналишлари'!$B55,Рўйхат!AJ:AJ)</f>
        <v/>
      </c>
    </row>
    <row r="56">
      <c r="A56" s="15" t="n">
        <v>51</v>
      </c>
      <c r="B56" s="46" t="inlineStr">
        <is>
          <t>Товар, иш ёки хизматларни реализация қилишдан олинган даромадларни фойда солиғи ҳисоботида тўғри шакллантирилганлиги таҳлили</t>
        </is>
      </c>
      <c r="C56" s="16">
        <f>IFERROR(VLOOKUP(B56,Рўйхат!A:E,5,0),"")</f>
        <v/>
      </c>
      <c r="D56" s="30">
        <f>IFERROR(VLOOKUP(B56,Рўйхат!A:F,6,0),"")</f>
        <v/>
      </c>
      <c r="E56" s="17">
        <f>+SUMIF(Рўйхат!$A:$A,'Риск йўналишлари'!$B56,Рўйхат!G:G)</f>
        <v/>
      </c>
      <c r="F56" s="18">
        <f>+SUMIF(Рўйхат!$A:$A,'Риск йўналишлари'!$B56,Рўйхат!H:H)</f>
        <v/>
      </c>
      <c r="G56" s="18">
        <f>M56</f>
        <v/>
      </c>
      <c r="H56" s="18">
        <f>R56+W56+AB56+AG56</f>
        <v/>
      </c>
      <c r="I56" s="18">
        <f>+SUMIF(Рўйхат!$A:$A,'Риск йўналишлари'!$B56,Рўйхат!J:J)</f>
        <v/>
      </c>
      <c r="J56" s="18">
        <f>+SUMIF(Рўйхат!$A:$A,'Риск йўналишлари'!$B56,Рўйхат!K:K)</f>
        <v/>
      </c>
      <c r="K56" s="17">
        <f>+SUMIF(Рўйхат!$A:$A,'Риск йўналишлари'!$B56,Рўйхат!L:L)</f>
        <v/>
      </c>
      <c r="L56" s="18">
        <f>+SUMIF(Рўйхат!$A:$A,'Риск йўналишлари'!$B56,Рўйхат!M:M)</f>
        <v/>
      </c>
      <c r="M56" s="18">
        <f>+SUMIF(Рўйхат!$A:$A,'Риск йўналишлари'!$B56,Рўйхат!N:N)</f>
        <v/>
      </c>
      <c r="N56" s="18">
        <f>+SUMIF(Рўйхат!$A:$A,'Риск йўналишлари'!$B56,Рўйхат!O:O)</f>
        <v/>
      </c>
      <c r="O56" s="18">
        <f>+SUMIF(Рўйхат!$A:$A,'Риск йўналишлари'!$B56,Рўйхат!P:P)</f>
        <v/>
      </c>
      <c r="P56" s="17">
        <f>+SUMIF(Рўйхат!$A:$A,'Риск йўналишлари'!$B56,Рўйхат!Q:Q)</f>
        <v/>
      </c>
      <c r="Q56" s="18">
        <f>+SUMIF(Рўйхат!$A:$A,'Риск йўналишлари'!$B56,Рўйхат!R:R)</f>
        <v/>
      </c>
      <c r="R56" s="18">
        <f>+SUMIF(Рўйхат!$A:$A,'Риск йўналишлари'!$B56,Рўйхат!S:S)</f>
        <v/>
      </c>
      <c r="S56" s="18">
        <f>+SUMIF(Рўйхат!$A:$A,'Риск йўналишлари'!$B56,Рўйхат!T:T)</f>
        <v/>
      </c>
      <c r="T56" s="18">
        <f>+SUMIF(Рўйхат!$A:$A,'Риск йўналишлари'!$B56,Рўйхат!U:U)</f>
        <v/>
      </c>
      <c r="U56" s="17">
        <f>+SUMIF(Рўйхат!$A:$A,'Риск йўналишлари'!$B56,Рўйхат!V:V)</f>
        <v/>
      </c>
      <c r="V56" s="18">
        <f>+SUMIF(Рўйхат!$A:$A,'Риск йўналишлари'!$B56,Рўйхат!W:W)</f>
        <v/>
      </c>
      <c r="W56" s="18">
        <f>+SUMIF(Рўйхат!$A:$A,'Риск йўналишлари'!$B56,Рўйхат!X:X)</f>
        <v/>
      </c>
      <c r="X56" s="18">
        <f>+SUMIF(Рўйхат!$A:$A,'Риск йўналишлари'!$B56,Рўйхат!Y:Y)</f>
        <v/>
      </c>
      <c r="Y56" s="18">
        <f>+SUMIF(Рўйхат!$A:$A,'Риск йўналишлари'!$B56,Рўйхат!Z:Z)</f>
        <v/>
      </c>
      <c r="Z56" s="17">
        <f>+SUMIF(Рўйхат!$A:$A,'Риск йўналишлари'!$B56,Рўйхат!AA:AA)</f>
        <v/>
      </c>
      <c r="AA56" s="18">
        <f>+SUMIF(Рўйхат!$A:$A,'Риск йўналишлари'!$B56,Рўйхат!AB:AB)</f>
        <v/>
      </c>
      <c r="AB56" s="18">
        <f>+SUMIF(Рўйхат!$A:$A,'Риск йўналишлари'!$B56,Рўйхат!AC:AC)</f>
        <v/>
      </c>
      <c r="AC56" s="18">
        <f>+SUMIF(Рўйхат!$A:$A,'Риск йўналишлари'!$B56,Рўйхат!AD:AD)</f>
        <v/>
      </c>
      <c r="AD56" s="18">
        <f>+SUMIF(Рўйхат!$A:$A,'Риск йўналишлари'!$B56,Рўйхат!AE:AE)</f>
        <v/>
      </c>
      <c r="AE56" s="17">
        <f>+SUMIF(Рўйхат!$A:$A,'Риск йўналишлари'!$B56,Рўйхат!AF:AF)</f>
        <v/>
      </c>
      <c r="AF56" s="18">
        <f>+SUMIF(Рўйхат!$A:$A,'Риск йўналишлари'!$B56,Рўйхат!AG:AG)</f>
        <v/>
      </c>
      <c r="AG56" s="18">
        <f>+SUMIF(Рўйхат!$A:$A,'Риск йўналишлари'!$B56,Рўйхат!AH:AH)</f>
        <v/>
      </c>
      <c r="AH56" s="33">
        <f>+SUMIF(Рўйхат!$A:$A,'Риск йўналишлари'!$B56,Рўйхат!AI:AI)</f>
        <v/>
      </c>
      <c r="AI56" s="19">
        <f>+SUMIF(Рўйхат!$A:$A,'Риск йўналишлари'!$B56,Рўйхат!AJ:AJ)</f>
        <v/>
      </c>
    </row>
    <row r="57">
      <c r="A57" s="15" t="n">
        <v>52</v>
      </c>
      <c r="B57" s="46" t="inlineStr">
        <is>
          <t>Етарли тажрибага эга бўлмаган етказиб берувчилар билан тузилган тўғридан-тўғри шартномалар таҳлили</t>
        </is>
      </c>
      <c r="C57" s="16">
        <f>IFERROR(VLOOKUP(B57,Рўйхат!A:E,5,0),"")</f>
        <v/>
      </c>
      <c r="D57" s="30">
        <f>IFERROR(VLOOKUP(B57,Рўйхат!A:F,6,0),"")</f>
        <v/>
      </c>
      <c r="E57" s="17">
        <f>+SUMIF(Рўйхат!$A:$A,'Риск йўналишлари'!$B57,Рўйхат!G:G)</f>
        <v/>
      </c>
      <c r="F57" s="18">
        <f>+SUMIF(Рўйхат!$A:$A,'Риск йўналишлари'!$B57,Рўйхат!H:H)</f>
        <v/>
      </c>
      <c r="G57" s="18">
        <f>M57</f>
        <v/>
      </c>
      <c r="H57" s="18">
        <f>R57+W57+AB57+AG57</f>
        <v/>
      </c>
      <c r="I57" s="18">
        <f>+SUMIF(Рўйхат!$A:$A,'Риск йўналишлари'!$B57,Рўйхат!J:J)</f>
        <v/>
      </c>
      <c r="J57" s="18">
        <f>+SUMIF(Рўйхат!$A:$A,'Риск йўналишлари'!$B57,Рўйхат!K:K)</f>
        <v/>
      </c>
      <c r="K57" s="17">
        <f>+SUMIF(Рўйхат!$A:$A,'Риск йўналишлари'!$B57,Рўйхат!L:L)</f>
        <v/>
      </c>
      <c r="L57" s="18">
        <f>+SUMIF(Рўйхат!$A:$A,'Риск йўналишлари'!$B57,Рўйхат!M:M)</f>
        <v/>
      </c>
      <c r="M57" s="18">
        <f>+SUMIF(Рўйхат!$A:$A,'Риск йўналишлари'!$B57,Рўйхат!N:N)</f>
        <v/>
      </c>
      <c r="N57" s="18">
        <f>+SUMIF(Рўйхат!$A:$A,'Риск йўналишлари'!$B57,Рўйхат!O:O)</f>
        <v/>
      </c>
      <c r="O57" s="18">
        <f>+SUMIF(Рўйхат!$A:$A,'Риск йўналишлари'!$B57,Рўйхат!P:P)</f>
        <v/>
      </c>
      <c r="P57" s="17">
        <f>+SUMIF(Рўйхат!$A:$A,'Риск йўналишлари'!$B57,Рўйхат!Q:Q)</f>
        <v/>
      </c>
      <c r="Q57" s="18">
        <f>+SUMIF(Рўйхат!$A:$A,'Риск йўналишлари'!$B57,Рўйхат!R:R)</f>
        <v/>
      </c>
      <c r="R57" s="18">
        <f>+SUMIF(Рўйхат!$A:$A,'Риск йўналишлари'!$B57,Рўйхат!S:S)</f>
        <v/>
      </c>
      <c r="S57" s="18">
        <f>+SUMIF(Рўйхат!$A:$A,'Риск йўналишлари'!$B57,Рўйхат!T:T)</f>
        <v/>
      </c>
      <c r="T57" s="18">
        <f>+SUMIF(Рўйхат!$A:$A,'Риск йўналишлари'!$B57,Рўйхат!U:U)</f>
        <v/>
      </c>
      <c r="U57" s="17">
        <f>+SUMIF(Рўйхат!$A:$A,'Риск йўналишлари'!$B57,Рўйхат!V:V)</f>
        <v/>
      </c>
      <c r="V57" s="18">
        <f>+SUMIF(Рўйхат!$A:$A,'Риск йўналишлари'!$B57,Рўйхат!W:W)</f>
        <v/>
      </c>
      <c r="W57" s="18">
        <f>+SUMIF(Рўйхат!$A:$A,'Риск йўналишлари'!$B57,Рўйхат!X:X)</f>
        <v/>
      </c>
      <c r="X57" s="18">
        <f>+SUMIF(Рўйхат!$A:$A,'Риск йўналишлари'!$B57,Рўйхат!Y:Y)</f>
        <v/>
      </c>
      <c r="Y57" s="18">
        <f>+SUMIF(Рўйхат!$A:$A,'Риск йўналишлари'!$B57,Рўйхат!Z:Z)</f>
        <v/>
      </c>
      <c r="Z57" s="17">
        <f>+SUMIF(Рўйхат!$A:$A,'Риск йўналишлари'!$B57,Рўйхат!AA:AA)</f>
        <v/>
      </c>
      <c r="AA57" s="18">
        <f>+SUMIF(Рўйхат!$A:$A,'Риск йўналишлари'!$B57,Рўйхат!AB:AB)</f>
        <v/>
      </c>
      <c r="AB57" s="18">
        <f>+SUMIF(Рўйхат!$A:$A,'Риск йўналишлари'!$B57,Рўйхат!AC:AC)</f>
        <v/>
      </c>
      <c r="AC57" s="18">
        <f>+SUMIF(Рўйхат!$A:$A,'Риск йўналишлари'!$B57,Рўйхат!AD:AD)</f>
        <v/>
      </c>
      <c r="AD57" s="18">
        <f>+SUMIF(Рўйхат!$A:$A,'Риск йўналишлари'!$B57,Рўйхат!AE:AE)</f>
        <v/>
      </c>
      <c r="AE57" s="17">
        <f>+SUMIF(Рўйхат!$A:$A,'Риск йўналишлари'!$B57,Рўйхат!AF:AF)</f>
        <v/>
      </c>
      <c r="AF57" s="18">
        <f>+SUMIF(Рўйхат!$A:$A,'Риск йўналишлари'!$B57,Рўйхат!AG:AG)</f>
        <v/>
      </c>
      <c r="AG57" s="18">
        <f>+SUMIF(Рўйхат!$A:$A,'Риск йўналишлари'!$B57,Рўйхат!AH:AH)</f>
        <v/>
      </c>
      <c r="AH57" s="33">
        <f>+SUMIF(Рўйхат!$A:$A,'Риск йўналишлари'!$B57,Рўйхат!AI:AI)</f>
        <v/>
      </c>
      <c r="AI57" s="19">
        <f>+SUMIF(Рўйхат!$A:$A,'Риск йўналишлари'!$B57,Рўйхат!AJ:AJ)</f>
        <v/>
      </c>
    </row>
    <row r="58">
      <c r="A58" s="15" t="n">
        <v>53</v>
      </c>
      <c r="B58" s="46" t="inlineStr">
        <is>
          <t>Дебитор қарздорлик (Ғазначилик Солиқ СИ)</t>
        </is>
      </c>
      <c r="C58" s="16">
        <f>IFERROR(VLOOKUP(B58,Рўйхат!A:E,5,0),"")</f>
        <v/>
      </c>
      <c r="D58" s="30">
        <f>IFERROR(VLOOKUP(B58,Рўйхат!A:F,6,0),"")</f>
        <v/>
      </c>
      <c r="E58" s="17">
        <f>+SUMIF(Рўйхат!$A:$A,'Риск йўналишлари'!$B58,Рўйхат!G:G)</f>
        <v/>
      </c>
      <c r="F58" s="18">
        <f>+SUMIF(Рўйхат!$A:$A,'Риск йўналишлари'!$B58,Рўйхат!H:H)</f>
        <v/>
      </c>
      <c r="G58" s="18">
        <f>M58</f>
        <v/>
      </c>
      <c r="H58" s="18">
        <f>R58+W58+AB58+AG58</f>
        <v/>
      </c>
      <c r="I58" s="18">
        <f>+SUMIF(Рўйхат!$A:$A,'Риск йўналишлари'!$B58,Рўйхат!J:J)</f>
        <v/>
      </c>
      <c r="J58" s="18">
        <f>+SUMIF(Рўйхат!$A:$A,'Риск йўналишлари'!$B58,Рўйхат!K:K)</f>
        <v/>
      </c>
      <c r="K58" s="17">
        <f>+SUMIF(Рўйхат!$A:$A,'Риск йўналишлари'!$B58,Рўйхат!L:L)</f>
        <v/>
      </c>
      <c r="L58" s="18">
        <f>+SUMIF(Рўйхат!$A:$A,'Риск йўналишлари'!$B58,Рўйхат!M:M)</f>
        <v/>
      </c>
      <c r="M58" s="18">
        <f>+SUMIF(Рўйхат!$A:$A,'Риск йўналишлари'!$B58,Рўйхат!N:N)</f>
        <v/>
      </c>
      <c r="N58" s="18">
        <f>+SUMIF(Рўйхат!$A:$A,'Риск йўналишлари'!$B58,Рўйхат!O:O)</f>
        <v/>
      </c>
      <c r="O58" s="18">
        <f>+SUMIF(Рўйхат!$A:$A,'Риск йўналишлари'!$B58,Рўйхат!P:P)</f>
        <v/>
      </c>
      <c r="P58" s="17">
        <f>+SUMIF(Рўйхат!$A:$A,'Риск йўналишлари'!$B58,Рўйхат!Q:Q)</f>
        <v/>
      </c>
      <c r="Q58" s="18">
        <f>+SUMIF(Рўйхат!$A:$A,'Риск йўналишлари'!$B58,Рўйхат!R:R)</f>
        <v/>
      </c>
      <c r="R58" s="18">
        <f>+SUMIF(Рўйхат!$A:$A,'Риск йўналишлари'!$B58,Рўйхат!S:S)</f>
        <v/>
      </c>
      <c r="S58" s="18">
        <f>+SUMIF(Рўйхат!$A:$A,'Риск йўналишлари'!$B58,Рўйхат!T:T)</f>
        <v/>
      </c>
      <c r="T58" s="18">
        <f>+SUMIF(Рўйхат!$A:$A,'Риск йўналишлари'!$B58,Рўйхат!U:U)</f>
        <v/>
      </c>
      <c r="U58" s="17">
        <f>+SUMIF(Рўйхат!$A:$A,'Риск йўналишлари'!$B58,Рўйхат!V:V)</f>
        <v/>
      </c>
      <c r="V58" s="18">
        <f>+SUMIF(Рўйхат!$A:$A,'Риск йўналишлари'!$B58,Рўйхат!W:W)</f>
        <v/>
      </c>
      <c r="W58" s="18">
        <f>+SUMIF(Рўйхат!$A:$A,'Риск йўналишлари'!$B58,Рўйхат!X:X)</f>
        <v/>
      </c>
      <c r="X58" s="18">
        <f>+SUMIF(Рўйхат!$A:$A,'Риск йўналишлари'!$B58,Рўйхат!Y:Y)</f>
        <v/>
      </c>
      <c r="Y58" s="18">
        <f>+SUMIF(Рўйхат!$A:$A,'Риск йўналишлари'!$B58,Рўйхат!Z:Z)</f>
        <v/>
      </c>
      <c r="Z58" s="17">
        <f>+SUMIF(Рўйхат!$A:$A,'Риск йўналишлари'!$B58,Рўйхат!AA:AA)</f>
        <v/>
      </c>
      <c r="AA58" s="18">
        <f>+SUMIF(Рўйхат!$A:$A,'Риск йўналишлари'!$B58,Рўйхат!AB:AB)</f>
        <v/>
      </c>
      <c r="AB58" s="18">
        <f>+SUMIF(Рўйхат!$A:$A,'Риск йўналишлари'!$B58,Рўйхат!AC:AC)</f>
        <v/>
      </c>
      <c r="AC58" s="18">
        <f>+SUMIF(Рўйхат!$A:$A,'Риск йўналишлари'!$B58,Рўйхат!AD:AD)</f>
        <v/>
      </c>
      <c r="AD58" s="18">
        <f>+SUMIF(Рўйхат!$A:$A,'Риск йўналишлари'!$B58,Рўйхат!AE:AE)</f>
        <v/>
      </c>
      <c r="AE58" s="17">
        <f>+SUMIF(Рўйхат!$A:$A,'Риск йўналишлари'!$B58,Рўйхат!AF:AF)</f>
        <v/>
      </c>
      <c r="AF58" s="18">
        <f>+SUMIF(Рўйхат!$A:$A,'Риск йўналишлари'!$B58,Рўйхат!AG:AG)</f>
        <v/>
      </c>
      <c r="AG58" s="18">
        <f>+SUMIF(Рўйхат!$A:$A,'Риск йўналишлари'!$B58,Рўйхат!AH:AH)</f>
        <v/>
      </c>
      <c r="AH58" s="33">
        <f>+SUMIF(Рўйхат!$A:$A,'Риск йўналишлари'!$B58,Рўйхат!AI:AI)</f>
        <v/>
      </c>
      <c r="AI58" s="19">
        <f>+SUMIF(Рўйхат!$A:$A,'Риск йўналишлари'!$B58,Рўйхат!AJ:AJ)</f>
        <v/>
      </c>
    </row>
    <row r="59">
      <c r="A59" s="15" t="n">
        <v>54</v>
      </c>
      <c r="B59" s="46" t="inlineStr">
        <is>
          <t>Давлат хизматчилари корхоналари</t>
        </is>
      </c>
      <c r="C59" s="16">
        <f>IFERROR(VLOOKUP(B59,Рўйхат!A:E,5,0),"")</f>
        <v/>
      </c>
      <c r="D59" s="30">
        <f>IFERROR(VLOOKUP(B59,Рўйхат!A:F,6,0),"")</f>
        <v/>
      </c>
      <c r="E59" s="17">
        <f>+SUMIF(Рўйхат!$A:$A,'Риск йўналишлари'!$B59,Рўйхат!G:G)</f>
        <v/>
      </c>
      <c r="F59" s="18">
        <f>+SUMIF(Рўйхат!$A:$A,'Риск йўналишлари'!$B59,Рўйхат!H:H)</f>
        <v/>
      </c>
      <c r="G59" s="18">
        <f>M59</f>
        <v/>
      </c>
      <c r="H59" s="18">
        <f>R59+W59+AB59+AG59</f>
        <v/>
      </c>
      <c r="I59" s="18">
        <f>+SUMIF(Рўйхат!$A:$A,'Риск йўналишлари'!$B59,Рўйхат!J:J)</f>
        <v/>
      </c>
      <c r="J59" s="18">
        <f>+SUMIF(Рўйхат!$A:$A,'Риск йўналишлари'!$B59,Рўйхат!K:K)</f>
        <v/>
      </c>
      <c r="K59" s="17">
        <f>+SUMIF(Рўйхат!$A:$A,'Риск йўналишлари'!$B59,Рўйхат!L:L)</f>
        <v/>
      </c>
      <c r="L59" s="18">
        <f>+SUMIF(Рўйхат!$A:$A,'Риск йўналишлари'!$B59,Рўйхат!M:M)</f>
        <v/>
      </c>
      <c r="M59" s="18">
        <f>+SUMIF(Рўйхат!$A:$A,'Риск йўналишлари'!$B59,Рўйхат!N:N)</f>
        <v/>
      </c>
      <c r="N59" s="18">
        <f>+SUMIF(Рўйхат!$A:$A,'Риск йўналишлари'!$B59,Рўйхат!O:O)</f>
        <v/>
      </c>
      <c r="O59" s="18">
        <f>+SUMIF(Рўйхат!$A:$A,'Риск йўналишлари'!$B59,Рўйхат!P:P)</f>
        <v/>
      </c>
      <c r="P59" s="17">
        <f>+SUMIF(Рўйхат!$A:$A,'Риск йўналишлари'!$B59,Рўйхат!Q:Q)</f>
        <v/>
      </c>
      <c r="Q59" s="18">
        <f>+SUMIF(Рўйхат!$A:$A,'Риск йўналишлари'!$B59,Рўйхат!R:R)</f>
        <v/>
      </c>
      <c r="R59" s="18">
        <f>+SUMIF(Рўйхат!$A:$A,'Риск йўналишлари'!$B59,Рўйхат!S:S)</f>
        <v/>
      </c>
      <c r="S59" s="18">
        <f>+SUMIF(Рўйхат!$A:$A,'Риск йўналишлари'!$B59,Рўйхат!T:T)</f>
        <v/>
      </c>
      <c r="T59" s="18">
        <f>+SUMIF(Рўйхат!$A:$A,'Риск йўналишлари'!$B59,Рўйхат!U:U)</f>
        <v/>
      </c>
      <c r="U59" s="17">
        <f>+SUMIF(Рўйхат!$A:$A,'Риск йўналишлари'!$B59,Рўйхат!V:V)</f>
        <v/>
      </c>
      <c r="V59" s="18">
        <f>+SUMIF(Рўйхат!$A:$A,'Риск йўналишлари'!$B59,Рўйхат!W:W)</f>
        <v/>
      </c>
      <c r="W59" s="18">
        <f>+SUMIF(Рўйхат!$A:$A,'Риск йўналишлари'!$B59,Рўйхат!X:X)</f>
        <v/>
      </c>
      <c r="X59" s="18">
        <f>+SUMIF(Рўйхат!$A:$A,'Риск йўналишлари'!$B59,Рўйхат!Y:Y)</f>
        <v/>
      </c>
      <c r="Y59" s="18">
        <f>+SUMIF(Рўйхат!$A:$A,'Риск йўналишлари'!$B59,Рўйхат!Z:Z)</f>
        <v/>
      </c>
      <c r="Z59" s="17">
        <f>+SUMIF(Рўйхат!$A:$A,'Риск йўналишлари'!$B59,Рўйхат!AA:AA)</f>
        <v/>
      </c>
      <c r="AA59" s="18">
        <f>+SUMIF(Рўйхат!$A:$A,'Риск йўналишлари'!$B59,Рўйхат!AB:AB)</f>
        <v/>
      </c>
      <c r="AB59" s="18">
        <f>+SUMIF(Рўйхат!$A:$A,'Риск йўналишлари'!$B59,Рўйхат!AC:AC)</f>
        <v/>
      </c>
      <c r="AC59" s="18">
        <f>+SUMIF(Рўйхат!$A:$A,'Риск йўналишлари'!$B59,Рўйхат!AD:AD)</f>
        <v/>
      </c>
      <c r="AD59" s="18">
        <f>+SUMIF(Рўйхат!$A:$A,'Риск йўналишлари'!$B59,Рўйхат!AE:AE)</f>
        <v/>
      </c>
      <c r="AE59" s="17">
        <f>+SUMIF(Рўйхат!$A:$A,'Риск йўналишлари'!$B59,Рўйхат!AF:AF)</f>
        <v/>
      </c>
      <c r="AF59" s="18">
        <f>+SUMIF(Рўйхат!$A:$A,'Риск йўналишлари'!$B59,Рўйхат!AG:AG)</f>
        <v/>
      </c>
      <c r="AG59" s="18">
        <f>+SUMIF(Рўйхат!$A:$A,'Риск йўналишлари'!$B59,Рўйхат!AH:AH)</f>
        <v/>
      </c>
      <c r="AH59" s="33">
        <f>+SUMIF(Рўйхат!$A:$A,'Риск йўналишлари'!$B59,Рўйхат!AI:AI)</f>
        <v/>
      </c>
      <c r="AI59" s="19">
        <f>+SUMIF(Рўйхат!$A:$A,'Риск йўналишлари'!$B59,Рўйхат!AJ:AJ)</f>
        <v/>
      </c>
    </row>
    <row r="60">
      <c r="A60" s="15" t="n">
        <v>55</v>
      </c>
      <c r="B60" s="46" t="inlineStr">
        <is>
          <t>Меъёрдан ортиқ ҳисобланган хизмат сафари харажатлари</t>
        </is>
      </c>
      <c r="C60" s="16">
        <f>IFERROR(VLOOKUP(B60,Рўйхат!A:E,5,0),"")</f>
        <v/>
      </c>
      <c r="D60" s="30">
        <f>IFERROR(VLOOKUP(B60,Рўйхат!A:F,6,0),"")</f>
        <v/>
      </c>
      <c r="E60" s="17">
        <f>+SUMIF(Рўйхат!$A:$A,'Риск йўналишлари'!$B60,Рўйхат!G:G)</f>
        <v/>
      </c>
      <c r="F60" s="18">
        <f>+SUMIF(Рўйхат!$A:$A,'Риск йўналишлари'!$B60,Рўйхат!H:H)</f>
        <v/>
      </c>
      <c r="G60" s="18">
        <f>M60</f>
        <v/>
      </c>
      <c r="H60" s="18">
        <f>R60+W60+AB60+AG60</f>
        <v/>
      </c>
      <c r="I60" s="18">
        <f>+SUMIF(Рўйхат!$A:$A,'Риск йўналишлари'!$B60,Рўйхат!J:J)</f>
        <v/>
      </c>
      <c r="J60" s="18">
        <f>+SUMIF(Рўйхат!$A:$A,'Риск йўналишлари'!$B60,Рўйхат!K:K)</f>
        <v/>
      </c>
      <c r="K60" s="17">
        <f>+SUMIF(Рўйхат!$A:$A,'Риск йўналишлари'!$B60,Рўйхат!L:L)</f>
        <v/>
      </c>
      <c r="L60" s="18">
        <f>+SUMIF(Рўйхат!$A:$A,'Риск йўналишлари'!$B60,Рўйхат!M:M)</f>
        <v/>
      </c>
      <c r="M60" s="18">
        <f>+SUMIF(Рўйхат!$A:$A,'Риск йўналишлари'!$B60,Рўйхат!N:N)</f>
        <v/>
      </c>
      <c r="N60" s="18">
        <f>+SUMIF(Рўйхат!$A:$A,'Риск йўналишлари'!$B60,Рўйхат!O:O)</f>
        <v/>
      </c>
      <c r="O60" s="18">
        <f>+SUMIF(Рўйхат!$A:$A,'Риск йўналишлари'!$B60,Рўйхат!P:P)</f>
        <v/>
      </c>
      <c r="P60" s="17">
        <f>+SUMIF(Рўйхат!$A:$A,'Риск йўналишлари'!$B60,Рўйхат!Q:Q)</f>
        <v/>
      </c>
      <c r="Q60" s="18">
        <f>+SUMIF(Рўйхат!$A:$A,'Риск йўналишлари'!$B60,Рўйхат!R:R)</f>
        <v/>
      </c>
      <c r="R60" s="18">
        <f>+SUMIF(Рўйхат!$A:$A,'Риск йўналишлари'!$B60,Рўйхат!S:S)</f>
        <v/>
      </c>
      <c r="S60" s="18">
        <f>+SUMIF(Рўйхат!$A:$A,'Риск йўналишлари'!$B60,Рўйхат!T:T)</f>
        <v/>
      </c>
      <c r="T60" s="18">
        <f>+SUMIF(Рўйхат!$A:$A,'Риск йўналишлари'!$B60,Рўйхат!U:U)</f>
        <v/>
      </c>
      <c r="U60" s="17">
        <f>+SUMIF(Рўйхат!$A:$A,'Риск йўналишлари'!$B60,Рўйхат!V:V)</f>
        <v/>
      </c>
      <c r="V60" s="18">
        <f>+SUMIF(Рўйхат!$A:$A,'Риск йўналишлари'!$B60,Рўйхат!W:W)</f>
        <v/>
      </c>
      <c r="W60" s="18">
        <f>+SUMIF(Рўйхат!$A:$A,'Риск йўналишлари'!$B60,Рўйхат!X:X)</f>
        <v/>
      </c>
      <c r="X60" s="18">
        <f>+SUMIF(Рўйхат!$A:$A,'Риск йўналишлари'!$B60,Рўйхат!Y:Y)</f>
        <v/>
      </c>
      <c r="Y60" s="18">
        <f>+SUMIF(Рўйхат!$A:$A,'Риск йўналишлари'!$B60,Рўйхат!Z:Z)</f>
        <v/>
      </c>
      <c r="Z60" s="17">
        <f>+SUMIF(Рўйхат!$A:$A,'Риск йўналишлари'!$B60,Рўйхат!AA:AA)</f>
        <v/>
      </c>
      <c r="AA60" s="18">
        <f>+SUMIF(Рўйхат!$A:$A,'Риск йўналишлари'!$B60,Рўйхат!AB:AB)</f>
        <v/>
      </c>
      <c r="AB60" s="18">
        <f>+SUMIF(Рўйхат!$A:$A,'Риск йўналишлари'!$B60,Рўйхат!AC:AC)</f>
        <v/>
      </c>
      <c r="AC60" s="18">
        <f>+SUMIF(Рўйхат!$A:$A,'Риск йўналишлари'!$B60,Рўйхат!AD:AD)</f>
        <v/>
      </c>
      <c r="AD60" s="18">
        <f>+SUMIF(Рўйхат!$A:$A,'Риск йўналишлари'!$B60,Рўйхат!AE:AE)</f>
        <v/>
      </c>
      <c r="AE60" s="17">
        <f>+SUMIF(Рўйхат!$A:$A,'Риск йўналишлари'!$B60,Рўйхат!AF:AF)</f>
        <v/>
      </c>
      <c r="AF60" s="18">
        <f>+SUMIF(Рўйхат!$A:$A,'Риск йўналишлари'!$B60,Рўйхат!AG:AG)</f>
        <v/>
      </c>
      <c r="AG60" s="18">
        <f>+SUMIF(Рўйхат!$A:$A,'Риск йўналишлари'!$B60,Рўйхат!AH:AH)</f>
        <v/>
      </c>
      <c r="AH60" s="33">
        <f>+SUMIF(Рўйхат!$A:$A,'Риск йўналишлари'!$B60,Рўйхат!AI:AI)</f>
        <v/>
      </c>
      <c r="AI60" s="19">
        <f>+SUMIF(Рўйхат!$A:$A,'Риск йўналишлари'!$B60,Рўйхат!AJ:AJ)</f>
        <v/>
      </c>
    </row>
    <row r="61">
      <c r="A61" s="15" t="n">
        <v>56</v>
      </c>
      <c r="B61" s="46" t="inlineStr">
        <is>
          <t>Буюртмачилар томонидан салохиятсиз корхоналар билан тузилган шартномалар</t>
        </is>
      </c>
      <c r="C61" s="16">
        <f>IFERROR(VLOOKUP(B61,Рўйхат!A:E,5,0),"")</f>
        <v/>
      </c>
      <c r="D61" s="30">
        <f>IFERROR(VLOOKUP(B61,Рўйхат!A:F,6,0),"")</f>
        <v/>
      </c>
      <c r="E61" s="17">
        <f>+SUMIF(Рўйхат!$A:$A,'Риск йўналишлари'!$B61,Рўйхат!G:G)</f>
        <v/>
      </c>
      <c r="F61" s="18">
        <f>+SUMIF(Рўйхат!$A:$A,'Риск йўналишлари'!$B61,Рўйхат!H:H)</f>
        <v/>
      </c>
      <c r="G61" s="18">
        <f>M61</f>
        <v/>
      </c>
      <c r="H61" s="18">
        <f>R61+W61+AB61+AG61</f>
        <v/>
      </c>
      <c r="I61" s="18">
        <f>+SUMIF(Рўйхат!$A:$A,'Риск йўналишлари'!$B61,Рўйхат!J:J)</f>
        <v/>
      </c>
      <c r="J61" s="18">
        <f>+SUMIF(Рўйхат!$A:$A,'Риск йўналишлари'!$B61,Рўйхат!K:K)</f>
        <v/>
      </c>
      <c r="K61" s="17">
        <f>+SUMIF(Рўйхат!$A:$A,'Риск йўналишлари'!$B61,Рўйхат!L:L)</f>
        <v/>
      </c>
      <c r="L61" s="18">
        <f>+SUMIF(Рўйхат!$A:$A,'Риск йўналишлари'!$B61,Рўйхат!M:M)</f>
        <v/>
      </c>
      <c r="M61" s="18">
        <f>+SUMIF(Рўйхат!$A:$A,'Риск йўналишлари'!$B61,Рўйхат!N:N)</f>
        <v/>
      </c>
      <c r="N61" s="18">
        <f>+SUMIF(Рўйхат!$A:$A,'Риск йўналишлари'!$B61,Рўйхат!O:O)</f>
        <v/>
      </c>
      <c r="O61" s="18">
        <f>+SUMIF(Рўйхат!$A:$A,'Риск йўналишлари'!$B61,Рўйхат!P:P)</f>
        <v/>
      </c>
      <c r="P61" s="17">
        <f>+SUMIF(Рўйхат!$A:$A,'Риск йўналишлари'!$B61,Рўйхат!Q:Q)</f>
        <v/>
      </c>
      <c r="Q61" s="18">
        <f>+SUMIF(Рўйхат!$A:$A,'Риск йўналишлари'!$B61,Рўйхат!R:R)</f>
        <v/>
      </c>
      <c r="R61" s="18">
        <f>+SUMIF(Рўйхат!$A:$A,'Риск йўналишлари'!$B61,Рўйхат!S:S)</f>
        <v/>
      </c>
      <c r="S61" s="18">
        <f>+SUMIF(Рўйхат!$A:$A,'Риск йўналишлари'!$B61,Рўйхат!T:T)</f>
        <v/>
      </c>
      <c r="T61" s="18">
        <f>+SUMIF(Рўйхат!$A:$A,'Риск йўналишлари'!$B61,Рўйхат!U:U)</f>
        <v/>
      </c>
      <c r="U61" s="17">
        <f>+SUMIF(Рўйхат!$A:$A,'Риск йўналишлари'!$B61,Рўйхат!V:V)</f>
        <v/>
      </c>
      <c r="V61" s="18">
        <f>+SUMIF(Рўйхат!$A:$A,'Риск йўналишлари'!$B61,Рўйхат!W:W)</f>
        <v/>
      </c>
      <c r="W61" s="18">
        <f>+SUMIF(Рўйхат!$A:$A,'Риск йўналишлари'!$B61,Рўйхат!X:X)</f>
        <v/>
      </c>
      <c r="X61" s="18">
        <f>+SUMIF(Рўйхат!$A:$A,'Риск йўналишлари'!$B61,Рўйхат!Y:Y)</f>
        <v/>
      </c>
      <c r="Y61" s="18">
        <f>+SUMIF(Рўйхат!$A:$A,'Риск йўналишлари'!$B61,Рўйхат!Z:Z)</f>
        <v/>
      </c>
      <c r="Z61" s="17">
        <f>+SUMIF(Рўйхат!$A:$A,'Риск йўналишлари'!$B61,Рўйхат!AA:AA)</f>
        <v/>
      </c>
      <c r="AA61" s="18">
        <f>+SUMIF(Рўйхат!$A:$A,'Риск йўналишлари'!$B61,Рўйхат!AB:AB)</f>
        <v/>
      </c>
      <c r="AB61" s="18">
        <f>+SUMIF(Рўйхат!$A:$A,'Риск йўналишлари'!$B61,Рўйхат!AC:AC)</f>
        <v/>
      </c>
      <c r="AC61" s="18">
        <f>+SUMIF(Рўйхат!$A:$A,'Риск йўналишлари'!$B61,Рўйхат!AD:AD)</f>
        <v/>
      </c>
      <c r="AD61" s="18">
        <f>+SUMIF(Рўйхат!$A:$A,'Риск йўналишлари'!$B61,Рўйхат!AE:AE)</f>
        <v/>
      </c>
      <c r="AE61" s="17">
        <f>+SUMIF(Рўйхат!$A:$A,'Риск йўналишлари'!$B61,Рўйхат!AF:AF)</f>
        <v/>
      </c>
      <c r="AF61" s="18">
        <f>+SUMIF(Рўйхат!$A:$A,'Риск йўналишлари'!$B61,Рўйхат!AG:AG)</f>
        <v/>
      </c>
      <c r="AG61" s="18">
        <f>+SUMIF(Рўйхат!$A:$A,'Риск йўналишлари'!$B61,Рўйхат!AH:AH)</f>
        <v/>
      </c>
      <c r="AH61" s="33">
        <f>+SUMIF(Рўйхат!$A:$A,'Риск йўналишлари'!$B61,Рўйхат!AI:AI)</f>
        <v/>
      </c>
      <c r="AI61" s="19">
        <f>+SUMIF(Рўйхат!$A:$A,'Риск йўналишлари'!$B61,Рўйхат!AJ:AJ)</f>
        <v/>
      </c>
    </row>
    <row r="62">
      <c r="A62" s="15" t="n">
        <v>57</v>
      </c>
      <c r="B62" s="46" t="inlineStr">
        <is>
          <t>Якунига етмаган харидларда нархларни ошириб кўрсатилиш ҳолатлари таҳлили (UZEX)</t>
        </is>
      </c>
      <c r="C62" s="16">
        <f>IFERROR(VLOOKUP(B62,Рўйхат!A:E,5,0),"")</f>
        <v/>
      </c>
      <c r="D62" s="30">
        <f>IFERROR(VLOOKUP(B62,Рўйхат!A:F,6,0),"")</f>
        <v/>
      </c>
      <c r="E62" s="17">
        <f>+SUMIF(Рўйхат!$A:$A,'Риск йўналишлари'!$B62,Рўйхат!G:G)</f>
        <v/>
      </c>
      <c r="F62" s="18">
        <f>+SUMIF(Рўйхат!$A:$A,'Риск йўналишлари'!$B62,Рўйхат!H:H)</f>
        <v/>
      </c>
      <c r="G62" s="18">
        <f>M62</f>
        <v/>
      </c>
      <c r="H62" s="18">
        <f>R62+W62+AB62+AG62</f>
        <v/>
      </c>
      <c r="I62" s="18">
        <f>+SUMIF(Рўйхат!$A:$A,'Риск йўналишлари'!$B62,Рўйхат!J:J)</f>
        <v/>
      </c>
      <c r="J62" s="18">
        <f>+SUMIF(Рўйхат!$A:$A,'Риск йўналишлари'!$B62,Рўйхат!K:K)</f>
        <v/>
      </c>
      <c r="K62" s="17">
        <f>+SUMIF(Рўйхат!$A:$A,'Риск йўналишлари'!$B62,Рўйхат!L:L)</f>
        <v/>
      </c>
      <c r="L62" s="18">
        <f>+SUMIF(Рўйхат!$A:$A,'Риск йўналишлари'!$B62,Рўйхат!M:M)</f>
        <v/>
      </c>
      <c r="M62" s="18">
        <f>+SUMIF(Рўйхат!$A:$A,'Риск йўналишлари'!$B62,Рўйхат!N:N)</f>
        <v/>
      </c>
      <c r="N62" s="18">
        <f>+SUMIF(Рўйхат!$A:$A,'Риск йўналишлари'!$B62,Рўйхат!O:O)</f>
        <v/>
      </c>
      <c r="O62" s="18">
        <f>+SUMIF(Рўйхат!$A:$A,'Риск йўналишлари'!$B62,Рўйхат!P:P)</f>
        <v/>
      </c>
      <c r="P62" s="17">
        <f>+SUMIF(Рўйхат!$A:$A,'Риск йўналишлари'!$B62,Рўйхат!Q:Q)</f>
        <v/>
      </c>
      <c r="Q62" s="18">
        <f>+SUMIF(Рўйхат!$A:$A,'Риск йўналишлари'!$B62,Рўйхат!R:R)</f>
        <v/>
      </c>
      <c r="R62" s="18">
        <f>+SUMIF(Рўйхат!$A:$A,'Риск йўналишлари'!$B62,Рўйхат!S:S)</f>
        <v/>
      </c>
      <c r="S62" s="18">
        <f>+SUMIF(Рўйхат!$A:$A,'Риск йўналишлари'!$B62,Рўйхат!T:T)</f>
        <v/>
      </c>
      <c r="T62" s="18">
        <f>+SUMIF(Рўйхат!$A:$A,'Риск йўналишлари'!$B62,Рўйхат!U:U)</f>
        <v/>
      </c>
      <c r="U62" s="17">
        <f>+SUMIF(Рўйхат!$A:$A,'Риск йўналишлари'!$B62,Рўйхат!V:V)</f>
        <v/>
      </c>
      <c r="V62" s="18">
        <f>+SUMIF(Рўйхат!$A:$A,'Риск йўналишлари'!$B62,Рўйхат!W:W)</f>
        <v/>
      </c>
      <c r="W62" s="18">
        <f>+SUMIF(Рўйхат!$A:$A,'Риск йўналишлари'!$B62,Рўйхат!X:X)</f>
        <v/>
      </c>
      <c r="X62" s="18">
        <f>+SUMIF(Рўйхат!$A:$A,'Риск йўналишлари'!$B62,Рўйхат!Y:Y)</f>
        <v/>
      </c>
      <c r="Y62" s="18">
        <f>+SUMIF(Рўйхат!$A:$A,'Риск йўналишлари'!$B62,Рўйхат!Z:Z)</f>
        <v/>
      </c>
      <c r="Z62" s="17">
        <f>+SUMIF(Рўйхат!$A:$A,'Риск йўналишлари'!$B62,Рўйхат!AA:AA)</f>
        <v/>
      </c>
      <c r="AA62" s="18">
        <f>+SUMIF(Рўйхат!$A:$A,'Риск йўналишлари'!$B62,Рўйхат!AB:AB)</f>
        <v/>
      </c>
      <c r="AB62" s="18">
        <f>+SUMIF(Рўйхат!$A:$A,'Риск йўналишлари'!$B62,Рўйхат!AC:AC)</f>
        <v/>
      </c>
      <c r="AC62" s="18">
        <f>+SUMIF(Рўйхат!$A:$A,'Риск йўналишлари'!$B62,Рўйхат!AD:AD)</f>
        <v/>
      </c>
      <c r="AD62" s="18">
        <f>+SUMIF(Рўйхат!$A:$A,'Риск йўналишлари'!$B62,Рўйхат!AE:AE)</f>
        <v/>
      </c>
      <c r="AE62" s="17">
        <f>+SUMIF(Рўйхат!$A:$A,'Риск йўналишлари'!$B62,Рўйхат!AF:AF)</f>
        <v/>
      </c>
      <c r="AF62" s="18">
        <f>+SUMIF(Рўйхат!$A:$A,'Риск йўналишлари'!$B62,Рўйхат!AG:AG)</f>
        <v/>
      </c>
      <c r="AG62" s="18">
        <f>+SUMIF(Рўйхат!$A:$A,'Риск йўналишлари'!$B62,Рўйхат!AH:AH)</f>
        <v/>
      </c>
      <c r="AH62" s="33">
        <f>+SUMIF(Рўйхат!$A:$A,'Риск йўналишлари'!$B62,Рўйхат!AI:AI)</f>
        <v/>
      </c>
      <c r="AI62" s="19">
        <f>+SUMIF(Рўйхат!$A:$A,'Риск йўналишлари'!$B62,Рўйхат!AJ:AJ)</f>
        <v/>
      </c>
    </row>
    <row r="63">
      <c r="A63" s="15" t="n">
        <v>58</v>
      </c>
      <c r="B63" s="46" t="inlineStr">
        <is>
          <t>UzASBO тизими маълумотларига асосан 4 ва ундан ортиқ жойдан даромад олувчи фуқаролар тўғрисида маълумот</t>
        </is>
      </c>
      <c r="C63" s="16">
        <f>IFERROR(VLOOKUP(B63,Рўйхат!A:E,5,0),"")</f>
        <v/>
      </c>
      <c r="D63" s="30">
        <f>IFERROR(VLOOKUP(B63,Рўйхат!A:F,6,0),"")</f>
        <v/>
      </c>
      <c r="E63" s="17">
        <f>+SUMIF(Рўйхат!$A:$A,'Риск йўналишлари'!$B63,Рўйхат!G:G)</f>
        <v/>
      </c>
      <c r="F63" s="18">
        <f>+SUMIF(Рўйхат!$A:$A,'Риск йўналишлари'!$B63,Рўйхат!H:H)</f>
        <v/>
      </c>
      <c r="G63" s="18">
        <f>M63</f>
        <v/>
      </c>
      <c r="H63" s="18">
        <f>R63+W63+AB63+AG63</f>
        <v/>
      </c>
      <c r="I63" s="18">
        <f>+SUMIF(Рўйхат!$A:$A,'Риск йўналишлари'!$B63,Рўйхат!J:J)</f>
        <v/>
      </c>
      <c r="J63" s="18">
        <f>+SUMIF(Рўйхат!$A:$A,'Риск йўналишлари'!$B63,Рўйхат!K:K)</f>
        <v/>
      </c>
      <c r="K63" s="17">
        <f>+SUMIF(Рўйхат!$A:$A,'Риск йўналишлари'!$B63,Рўйхат!L:L)</f>
        <v/>
      </c>
      <c r="L63" s="18">
        <f>+SUMIF(Рўйхат!$A:$A,'Риск йўналишлари'!$B63,Рўйхат!M:M)</f>
        <v/>
      </c>
      <c r="M63" s="18">
        <f>+SUMIF(Рўйхат!$A:$A,'Риск йўналишлари'!$B63,Рўйхат!N:N)</f>
        <v/>
      </c>
      <c r="N63" s="18">
        <f>+SUMIF(Рўйхат!$A:$A,'Риск йўналишлари'!$B63,Рўйхат!O:O)</f>
        <v/>
      </c>
      <c r="O63" s="18">
        <f>+SUMIF(Рўйхат!$A:$A,'Риск йўналишлари'!$B63,Рўйхат!P:P)</f>
        <v/>
      </c>
      <c r="P63" s="17">
        <f>+SUMIF(Рўйхат!$A:$A,'Риск йўналишлари'!$B63,Рўйхат!Q:Q)</f>
        <v/>
      </c>
      <c r="Q63" s="18">
        <f>+SUMIF(Рўйхат!$A:$A,'Риск йўналишлари'!$B63,Рўйхат!R:R)</f>
        <v/>
      </c>
      <c r="R63" s="18">
        <f>+SUMIF(Рўйхат!$A:$A,'Риск йўналишлари'!$B63,Рўйхат!S:S)</f>
        <v/>
      </c>
      <c r="S63" s="18">
        <f>+SUMIF(Рўйхат!$A:$A,'Риск йўналишлари'!$B63,Рўйхат!T:T)</f>
        <v/>
      </c>
      <c r="T63" s="18">
        <f>+SUMIF(Рўйхат!$A:$A,'Риск йўналишлари'!$B63,Рўйхат!U:U)</f>
        <v/>
      </c>
      <c r="U63" s="17">
        <f>+SUMIF(Рўйхат!$A:$A,'Риск йўналишлари'!$B63,Рўйхат!V:V)</f>
        <v/>
      </c>
      <c r="V63" s="18">
        <f>+SUMIF(Рўйхат!$A:$A,'Риск йўналишлари'!$B63,Рўйхат!W:W)</f>
        <v/>
      </c>
      <c r="W63" s="18">
        <f>+SUMIF(Рўйхат!$A:$A,'Риск йўналишлари'!$B63,Рўйхат!X:X)</f>
        <v/>
      </c>
      <c r="X63" s="18">
        <f>+SUMIF(Рўйхат!$A:$A,'Риск йўналишлари'!$B63,Рўйхат!Y:Y)</f>
        <v/>
      </c>
      <c r="Y63" s="18">
        <f>+SUMIF(Рўйхат!$A:$A,'Риск йўналишлари'!$B63,Рўйхат!Z:Z)</f>
        <v/>
      </c>
      <c r="Z63" s="17">
        <f>+SUMIF(Рўйхат!$A:$A,'Риск йўналишлари'!$B63,Рўйхат!AA:AA)</f>
        <v/>
      </c>
      <c r="AA63" s="18">
        <f>+SUMIF(Рўйхат!$A:$A,'Риск йўналишлари'!$B63,Рўйхат!AB:AB)</f>
        <v/>
      </c>
      <c r="AB63" s="18">
        <f>+SUMIF(Рўйхат!$A:$A,'Риск йўналишлари'!$B63,Рўйхат!AC:AC)</f>
        <v/>
      </c>
      <c r="AC63" s="18">
        <f>+SUMIF(Рўйхат!$A:$A,'Риск йўналишлари'!$B63,Рўйхат!AD:AD)</f>
        <v/>
      </c>
      <c r="AD63" s="18">
        <f>+SUMIF(Рўйхат!$A:$A,'Риск йўналишлари'!$B63,Рўйхат!AE:AE)</f>
        <v/>
      </c>
      <c r="AE63" s="17">
        <f>+SUMIF(Рўйхат!$A:$A,'Риск йўналишлари'!$B63,Рўйхат!AF:AF)</f>
        <v/>
      </c>
      <c r="AF63" s="18">
        <f>+SUMIF(Рўйхат!$A:$A,'Риск йўналишлари'!$B63,Рўйхат!AG:AG)</f>
        <v/>
      </c>
      <c r="AG63" s="18">
        <f>+SUMIF(Рўйхат!$A:$A,'Риск йўналишлари'!$B63,Рўйхат!AH:AH)</f>
        <v/>
      </c>
      <c r="AH63" s="33">
        <f>+SUMIF(Рўйхат!$A:$A,'Риск йўналишлари'!$B63,Рўйхат!AI:AI)</f>
        <v/>
      </c>
      <c r="AI63" s="19">
        <f>+SUMIF(Рўйхат!$A:$A,'Риск йўналишлари'!$B63,Рўйхат!AJ:AJ)</f>
        <v/>
      </c>
    </row>
    <row r="64">
      <c r="A64" s="15" t="n">
        <v>59</v>
      </c>
      <c r="B64" s="46" t="inlineStr">
        <is>
          <t>Ғазначиликда рўйхатдан ўтган шартномадаги товар билан фактурадаги товарнинг ўзаро мувофиқлиги бўйича таҳлил (UZEX AI)</t>
        </is>
      </c>
      <c r="C64" s="16">
        <f>IFERROR(VLOOKUP(B64,Рўйхат!A:E,5,0),"")</f>
        <v/>
      </c>
      <c r="D64" s="30">
        <f>IFERROR(VLOOKUP(B64,Рўйхат!A:F,6,0),"")</f>
        <v/>
      </c>
      <c r="E64" s="17">
        <f>+SUMIF(Рўйхат!$A:$A,'Риск йўналишлари'!$B64,Рўйхат!G:G)</f>
        <v/>
      </c>
      <c r="F64" s="18">
        <f>+SUMIF(Рўйхат!$A:$A,'Риск йўналишлари'!$B64,Рўйхат!H:H)</f>
        <v/>
      </c>
      <c r="G64" s="18">
        <f>M64</f>
        <v/>
      </c>
      <c r="H64" s="18">
        <f>R64+W64+AB64+AG64</f>
        <v/>
      </c>
      <c r="I64" s="18">
        <f>+SUMIF(Рўйхат!$A:$A,'Риск йўналишлари'!$B64,Рўйхат!J:J)</f>
        <v/>
      </c>
      <c r="J64" s="18">
        <f>+SUMIF(Рўйхат!$A:$A,'Риск йўналишлари'!$B64,Рўйхат!K:K)</f>
        <v/>
      </c>
      <c r="K64" s="17">
        <f>+SUMIF(Рўйхат!$A:$A,'Риск йўналишлари'!$B64,Рўйхат!L:L)</f>
        <v/>
      </c>
      <c r="L64" s="18">
        <f>+SUMIF(Рўйхат!$A:$A,'Риск йўналишлари'!$B64,Рўйхат!M:M)</f>
        <v/>
      </c>
      <c r="M64" s="18">
        <f>+SUMIF(Рўйхат!$A:$A,'Риск йўналишлари'!$B64,Рўйхат!N:N)</f>
        <v/>
      </c>
      <c r="N64" s="18">
        <f>+SUMIF(Рўйхат!$A:$A,'Риск йўналишлари'!$B64,Рўйхат!O:O)</f>
        <v/>
      </c>
      <c r="O64" s="18">
        <f>+SUMIF(Рўйхат!$A:$A,'Риск йўналишлари'!$B64,Рўйхат!P:P)</f>
        <v/>
      </c>
      <c r="P64" s="17">
        <f>+SUMIF(Рўйхат!$A:$A,'Риск йўналишлари'!$B64,Рўйхат!Q:Q)</f>
        <v/>
      </c>
      <c r="Q64" s="18">
        <f>+SUMIF(Рўйхат!$A:$A,'Риск йўналишлари'!$B64,Рўйхат!R:R)</f>
        <v/>
      </c>
      <c r="R64" s="18">
        <f>+SUMIF(Рўйхат!$A:$A,'Риск йўналишлари'!$B64,Рўйхат!S:S)</f>
        <v/>
      </c>
      <c r="S64" s="18">
        <f>+SUMIF(Рўйхат!$A:$A,'Риск йўналишлари'!$B64,Рўйхат!T:T)</f>
        <v/>
      </c>
      <c r="T64" s="18">
        <f>+SUMIF(Рўйхат!$A:$A,'Риск йўналишлари'!$B64,Рўйхат!U:U)</f>
        <v/>
      </c>
      <c r="U64" s="17">
        <f>+SUMIF(Рўйхат!$A:$A,'Риск йўналишлари'!$B64,Рўйхат!V:V)</f>
        <v/>
      </c>
      <c r="V64" s="18">
        <f>+SUMIF(Рўйхат!$A:$A,'Риск йўналишлари'!$B64,Рўйхат!W:W)</f>
        <v/>
      </c>
      <c r="W64" s="18">
        <f>+SUMIF(Рўйхат!$A:$A,'Риск йўналишлари'!$B64,Рўйхат!X:X)</f>
        <v/>
      </c>
      <c r="X64" s="18">
        <f>+SUMIF(Рўйхат!$A:$A,'Риск йўналишлари'!$B64,Рўйхат!Y:Y)</f>
        <v/>
      </c>
      <c r="Y64" s="18">
        <f>+SUMIF(Рўйхат!$A:$A,'Риск йўналишлари'!$B64,Рўйхат!Z:Z)</f>
        <v/>
      </c>
      <c r="Z64" s="17">
        <f>+SUMIF(Рўйхат!$A:$A,'Риск йўналишлари'!$B64,Рўйхат!AA:AA)</f>
        <v/>
      </c>
      <c r="AA64" s="18">
        <f>+SUMIF(Рўйхат!$A:$A,'Риск йўналишлари'!$B64,Рўйхат!AB:AB)</f>
        <v/>
      </c>
      <c r="AB64" s="18">
        <f>+SUMIF(Рўйхат!$A:$A,'Риск йўналишлари'!$B64,Рўйхат!AC:AC)</f>
        <v/>
      </c>
      <c r="AC64" s="18">
        <f>+SUMIF(Рўйхат!$A:$A,'Риск йўналишлари'!$B64,Рўйхат!AD:AD)</f>
        <v/>
      </c>
      <c r="AD64" s="18">
        <f>+SUMIF(Рўйхат!$A:$A,'Риск йўналишлари'!$B64,Рўйхат!AE:AE)</f>
        <v/>
      </c>
      <c r="AE64" s="17">
        <f>+SUMIF(Рўйхат!$A:$A,'Риск йўналишлари'!$B64,Рўйхат!AF:AF)</f>
        <v/>
      </c>
      <c r="AF64" s="18">
        <f>+SUMIF(Рўйхат!$A:$A,'Риск йўналишлари'!$B64,Рўйхат!AG:AG)</f>
        <v/>
      </c>
      <c r="AG64" s="18">
        <f>+SUMIF(Рўйхат!$A:$A,'Риск йўналишлари'!$B64,Рўйхат!AH:AH)</f>
        <v/>
      </c>
      <c r="AH64" s="33">
        <f>+SUMIF(Рўйхат!$A:$A,'Риск йўналишлари'!$B64,Рўйхат!AI:AI)</f>
        <v/>
      </c>
      <c r="AI64" s="19">
        <f>+SUMIF(Рўйхат!$A:$A,'Риск йўналишлари'!$B64,Рўйхат!AJ:AJ)</f>
        <v/>
      </c>
    </row>
    <row r="65">
      <c r="A65" s="15" t="n">
        <v>60</v>
      </c>
      <c r="B65" s="46" t="inlineStr">
        <is>
          <t>Ғазначиликда рўйхатдан ўтган шартномадаги товар билан фактурадаги товарнинг ўзаро мувофиқлиги бўйича таҳлил (XT XARID AI)</t>
        </is>
      </c>
      <c r="C65" s="16">
        <f>IFERROR(VLOOKUP(B65,Рўйхат!A:E,5,0),"")</f>
        <v/>
      </c>
      <c r="D65" s="30">
        <f>IFERROR(VLOOKUP(B65,Рўйхат!A:F,6,0),"")</f>
        <v/>
      </c>
      <c r="E65" s="17">
        <f>+SUMIF(Рўйхат!$A:$A,'Риск йўналишлари'!$B65,Рўйхат!G:G)</f>
        <v/>
      </c>
      <c r="F65" s="18">
        <f>+SUMIF(Рўйхат!$A:$A,'Риск йўналишлари'!$B65,Рўйхат!H:H)</f>
        <v/>
      </c>
      <c r="G65" s="18">
        <f>M65</f>
        <v/>
      </c>
      <c r="H65" s="18">
        <f>R65+W65+AB65+AG65</f>
        <v/>
      </c>
      <c r="I65" s="18">
        <f>+SUMIF(Рўйхат!$A:$A,'Риск йўналишлари'!$B65,Рўйхат!J:J)</f>
        <v/>
      </c>
      <c r="J65" s="18">
        <f>+SUMIF(Рўйхат!$A:$A,'Риск йўналишлари'!$B65,Рўйхат!K:K)</f>
        <v/>
      </c>
      <c r="K65" s="17">
        <f>+SUMIF(Рўйхат!$A:$A,'Риск йўналишлари'!$B65,Рўйхат!L:L)</f>
        <v/>
      </c>
      <c r="L65" s="18">
        <f>+SUMIF(Рўйхат!$A:$A,'Риск йўналишлари'!$B65,Рўйхат!M:M)</f>
        <v/>
      </c>
      <c r="M65" s="18">
        <f>+SUMIF(Рўйхат!$A:$A,'Риск йўналишлари'!$B65,Рўйхат!N:N)</f>
        <v/>
      </c>
      <c r="N65" s="18">
        <f>+SUMIF(Рўйхат!$A:$A,'Риск йўналишлари'!$B65,Рўйхат!O:O)</f>
        <v/>
      </c>
      <c r="O65" s="18">
        <f>+SUMIF(Рўйхат!$A:$A,'Риск йўналишлари'!$B65,Рўйхат!P:P)</f>
        <v/>
      </c>
      <c r="P65" s="17">
        <f>+SUMIF(Рўйхат!$A:$A,'Риск йўналишлари'!$B65,Рўйхат!Q:Q)</f>
        <v/>
      </c>
      <c r="Q65" s="18">
        <f>+SUMIF(Рўйхат!$A:$A,'Риск йўналишлари'!$B65,Рўйхат!R:R)</f>
        <v/>
      </c>
      <c r="R65" s="18">
        <f>+SUMIF(Рўйхат!$A:$A,'Риск йўналишлари'!$B65,Рўйхат!S:S)</f>
        <v/>
      </c>
      <c r="S65" s="18">
        <f>+SUMIF(Рўйхат!$A:$A,'Риск йўналишлари'!$B65,Рўйхат!T:T)</f>
        <v/>
      </c>
      <c r="T65" s="18">
        <f>+SUMIF(Рўйхат!$A:$A,'Риск йўналишлари'!$B65,Рўйхат!U:U)</f>
        <v/>
      </c>
      <c r="U65" s="17">
        <f>+SUMIF(Рўйхат!$A:$A,'Риск йўналишлари'!$B65,Рўйхат!V:V)</f>
        <v/>
      </c>
      <c r="V65" s="18">
        <f>+SUMIF(Рўйхат!$A:$A,'Риск йўналишлари'!$B65,Рўйхат!W:W)</f>
        <v/>
      </c>
      <c r="W65" s="18">
        <f>+SUMIF(Рўйхат!$A:$A,'Риск йўналишлари'!$B65,Рўйхат!X:X)</f>
        <v/>
      </c>
      <c r="X65" s="18">
        <f>+SUMIF(Рўйхат!$A:$A,'Риск йўналишлари'!$B65,Рўйхат!Y:Y)</f>
        <v/>
      </c>
      <c r="Y65" s="18">
        <f>+SUMIF(Рўйхат!$A:$A,'Риск йўналишлари'!$B65,Рўйхат!Z:Z)</f>
        <v/>
      </c>
      <c r="Z65" s="17">
        <f>+SUMIF(Рўйхат!$A:$A,'Риск йўналишлари'!$B65,Рўйхат!AA:AA)</f>
        <v/>
      </c>
      <c r="AA65" s="18">
        <f>+SUMIF(Рўйхат!$A:$A,'Риск йўналишлари'!$B65,Рўйхат!AB:AB)</f>
        <v/>
      </c>
      <c r="AB65" s="18">
        <f>+SUMIF(Рўйхат!$A:$A,'Риск йўналишлари'!$B65,Рўйхат!AC:AC)</f>
        <v/>
      </c>
      <c r="AC65" s="18">
        <f>+SUMIF(Рўйхат!$A:$A,'Риск йўналишлари'!$B65,Рўйхат!AD:AD)</f>
        <v/>
      </c>
      <c r="AD65" s="18">
        <f>+SUMIF(Рўйхат!$A:$A,'Риск йўналишлари'!$B65,Рўйхат!AE:AE)</f>
        <v/>
      </c>
      <c r="AE65" s="17">
        <f>+SUMIF(Рўйхат!$A:$A,'Риск йўналишлари'!$B65,Рўйхат!AF:AF)</f>
        <v/>
      </c>
      <c r="AF65" s="18">
        <f>+SUMIF(Рўйхат!$A:$A,'Риск йўналишлари'!$B65,Рўйхат!AG:AG)</f>
        <v/>
      </c>
      <c r="AG65" s="18">
        <f>+SUMIF(Рўйхат!$A:$A,'Риск йўналишлари'!$B65,Рўйхат!AH:AH)</f>
        <v/>
      </c>
      <c r="AH65" s="33">
        <f>+SUMIF(Рўйхат!$A:$A,'Риск йўналишлари'!$B65,Рўйхат!AI:AI)</f>
        <v/>
      </c>
      <c r="AI65" s="19">
        <f>+SUMIF(Рўйхат!$A:$A,'Риск йўналишлари'!$B65,Рўйхат!AJ:AJ)</f>
        <v/>
      </c>
    </row>
    <row r="66">
      <c r="A66" s="15" t="n">
        <v>61</v>
      </c>
      <c r="B66" s="46" t="inlineStr">
        <is>
          <t xml:space="preserve">Объектларни фойдаланишга топшириш муддати ўтган ва далолатномалари расмийлаштирилгунига қадар тендер савдоларида иштирок этган ташкилотлар. </t>
        </is>
      </c>
      <c r="C66" s="16">
        <f>IFERROR(VLOOKUP(B66,Рўйхат!A:E,5,0),"")</f>
        <v/>
      </c>
      <c r="D66" s="30">
        <f>IFERROR(VLOOKUP(B66,Рўйхат!A:F,6,0),"")</f>
        <v/>
      </c>
      <c r="E66" s="17">
        <f>+SUMIF(Рўйхат!$A:$A,'Риск йўналишлари'!$B66,Рўйхат!G:G)</f>
        <v/>
      </c>
      <c r="F66" s="18">
        <f>+SUMIF(Рўйхат!$A:$A,'Риск йўналишлари'!$B66,Рўйхат!H:H)</f>
        <v/>
      </c>
      <c r="G66" s="18">
        <f>M66</f>
        <v/>
      </c>
      <c r="H66" s="18">
        <f>R66+W66+AB66+AG66</f>
        <v/>
      </c>
      <c r="I66" s="18">
        <f>+SUMIF(Рўйхат!$A:$A,'Риск йўналишлари'!$B66,Рўйхат!J:J)</f>
        <v/>
      </c>
      <c r="J66" s="18">
        <f>+SUMIF(Рўйхат!$A:$A,'Риск йўналишлари'!$B66,Рўйхат!K:K)</f>
        <v/>
      </c>
      <c r="K66" s="17">
        <f>+SUMIF(Рўйхат!$A:$A,'Риск йўналишлари'!$B66,Рўйхат!L:L)</f>
        <v/>
      </c>
      <c r="L66" s="18">
        <f>+SUMIF(Рўйхат!$A:$A,'Риск йўналишлари'!$B66,Рўйхат!M:M)</f>
        <v/>
      </c>
      <c r="M66" s="18">
        <f>+SUMIF(Рўйхат!$A:$A,'Риск йўналишлари'!$B66,Рўйхат!N:N)</f>
        <v/>
      </c>
      <c r="N66" s="18">
        <f>+SUMIF(Рўйхат!$A:$A,'Риск йўналишлари'!$B66,Рўйхат!O:O)</f>
        <v/>
      </c>
      <c r="O66" s="18">
        <f>+SUMIF(Рўйхат!$A:$A,'Риск йўналишлари'!$B66,Рўйхат!P:P)</f>
        <v/>
      </c>
      <c r="P66" s="17">
        <f>+SUMIF(Рўйхат!$A:$A,'Риск йўналишлари'!$B66,Рўйхат!Q:Q)</f>
        <v/>
      </c>
      <c r="Q66" s="18">
        <f>+SUMIF(Рўйхат!$A:$A,'Риск йўналишлари'!$B66,Рўйхат!R:R)</f>
        <v/>
      </c>
      <c r="R66" s="18">
        <f>+SUMIF(Рўйхат!$A:$A,'Риск йўналишлари'!$B66,Рўйхат!S:S)</f>
        <v/>
      </c>
      <c r="S66" s="18">
        <f>+SUMIF(Рўйхат!$A:$A,'Риск йўналишлари'!$B66,Рўйхат!T:T)</f>
        <v/>
      </c>
      <c r="T66" s="18">
        <f>+SUMIF(Рўйхат!$A:$A,'Риск йўналишлари'!$B66,Рўйхат!U:U)</f>
        <v/>
      </c>
      <c r="U66" s="17">
        <f>+SUMIF(Рўйхат!$A:$A,'Риск йўналишлари'!$B66,Рўйхат!V:V)</f>
        <v/>
      </c>
      <c r="V66" s="18">
        <f>+SUMIF(Рўйхат!$A:$A,'Риск йўналишлари'!$B66,Рўйхат!W:W)</f>
        <v/>
      </c>
      <c r="W66" s="18">
        <f>+SUMIF(Рўйхат!$A:$A,'Риск йўналишлари'!$B66,Рўйхат!X:X)</f>
        <v/>
      </c>
      <c r="X66" s="18">
        <f>+SUMIF(Рўйхат!$A:$A,'Риск йўналишлари'!$B66,Рўйхат!Y:Y)</f>
        <v/>
      </c>
      <c r="Y66" s="18">
        <f>+SUMIF(Рўйхат!$A:$A,'Риск йўналишлари'!$B66,Рўйхат!Z:Z)</f>
        <v/>
      </c>
      <c r="Z66" s="17">
        <f>+SUMIF(Рўйхат!$A:$A,'Риск йўналишлари'!$B66,Рўйхат!AA:AA)</f>
        <v/>
      </c>
      <c r="AA66" s="18">
        <f>+SUMIF(Рўйхат!$A:$A,'Риск йўналишлари'!$B66,Рўйхат!AB:AB)</f>
        <v/>
      </c>
      <c r="AB66" s="18">
        <f>+SUMIF(Рўйхат!$A:$A,'Риск йўналишлари'!$B66,Рўйхат!AC:AC)</f>
        <v/>
      </c>
      <c r="AC66" s="18">
        <f>+SUMIF(Рўйхат!$A:$A,'Риск йўналишлари'!$B66,Рўйхат!AD:AD)</f>
        <v/>
      </c>
      <c r="AD66" s="18">
        <f>+SUMIF(Рўйхат!$A:$A,'Риск йўналишлари'!$B66,Рўйхат!AE:AE)</f>
        <v/>
      </c>
      <c r="AE66" s="17">
        <f>+SUMIF(Рўйхат!$A:$A,'Риск йўналишлари'!$B66,Рўйхат!AF:AF)</f>
        <v/>
      </c>
      <c r="AF66" s="18">
        <f>+SUMIF(Рўйхат!$A:$A,'Риск йўналишлари'!$B66,Рўйхат!AG:AG)</f>
        <v/>
      </c>
      <c r="AG66" s="18">
        <f>+SUMIF(Рўйхат!$A:$A,'Риск йўналишлари'!$B66,Рўйхат!AH:AH)</f>
        <v/>
      </c>
      <c r="AH66" s="33">
        <f>+SUMIF(Рўйхат!$A:$A,'Риск йўналишлари'!$B66,Рўйхат!AI:AI)</f>
        <v/>
      </c>
      <c r="AI66" s="19">
        <f>+SUMIF(Рўйхат!$A:$A,'Риск йўналишлари'!$B66,Рўйхат!AJ:AJ)</f>
        <v/>
      </c>
    </row>
    <row r="67">
      <c r="A67" s="15" t="n">
        <v>62</v>
      </c>
      <c r="B67" s="46" t="inlineStr">
        <is>
          <t>Дебитор қарздорликлар</t>
        </is>
      </c>
      <c r="C67" s="16">
        <f>IFERROR(VLOOKUP(B67,Рўйхат!A:E,5,0),"")</f>
        <v/>
      </c>
      <c r="D67" s="30">
        <f>IFERROR(VLOOKUP(B67,Рўйхат!A:F,6,0),"")</f>
        <v/>
      </c>
      <c r="E67" s="17">
        <f>+SUMIF(Рўйхат!$A:$A,'Риск йўналишлари'!$B67,Рўйхат!G:G)</f>
        <v/>
      </c>
      <c r="F67" s="18">
        <f>+SUMIF(Рўйхат!$A:$A,'Риск йўналишлари'!$B67,Рўйхат!H:H)</f>
        <v/>
      </c>
      <c r="G67" s="18">
        <f>M67</f>
        <v/>
      </c>
      <c r="H67" s="18">
        <f>R67+W67+AB67+AG67</f>
        <v/>
      </c>
      <c r="I67" s="18">
        <f>+SUMIF(Рўйхат!$A:$A,'Риск йўналишлари'!$B67,Рўйхат!J:J)</f>
        <v/>
      </c>
      <c r="J67" s="18">
        <f>+SUMIF(Рўйхат!$A:$A,'Риск йўналишлари'!$B67,Рўйхат!K:K)</f>
        <v/>
      </c>
      <c r="K67" s="17">
        <f>+SUMIF(Рўйхат!$A:$A,'Риск йўналишлари'!$B67,Рўйхат!L:L)</f>
        <v/>
      </c>
      <c r="L67" s="18">
        <f>+SUMIF(Рўйхат!$A:$A,'Риск йўналишлари'!$B67,Рўйхат!M:M)</f>
        <v/>
      </c>
      <c r="M67" s="18">
        <f>+SUMIF(Рўйхат!$A:$A,'Риск йўналишлари'!$B67,Рўйхат!N:N)</f>
        <v/>
      </c>
      <c r="N67" s="18">
        <f>+SUMIF(Рўйхат!$A:$A,'Риск йўналишлари'!$B67,Рўйхат!O:O)</f>
        <v/>
      </c>
      <c r="O67" s="18">
        <f>+SUMIF(Рўйхат!$A:$A,'Риск йўналишлари'!$B67,Рўйхат!P:P)</f>
        <v/>
      </c>
      <c r="P67" s="17">
        <f>+SUMIF(Рўйхат!$A:$A,'Риск йўналишлари'!$B67,Рўйхат!Q:Q)</f>
        <v/>
      </c>
      <c r="Q67" s="18">
        <f>+SUMIF(Рўйхат!$A:$A,'Риск йўналишлари'!$B67,Рўйхат!R:R)</f>
        <v/>
      </c>
      <c r="R67" s="18">
        <f>+SUMIF(Рўйхат!$A:$A,'Риск йўналишлари'!$B67,Рўйхат!S:S)</f>
        <v/>
      </c>
      <c r="S67" s="18">
        <f>+SUMIF(Рўйхат!$A:$A,'Риск йўналишлари'!$B67,Рўйхат!T:T)</f>
        <v/>
      </c>
      <c r="T67" s="18">
        <f>+SUMIF(Рўйхат!$A:$A,'Риск йўналишлари'!$B67,Рўйхат!U:U)</f>
        <v/>
      </c>
      <c r="U67" s="17">
        <f>+SUMIF(Рўйхат!$A:$A,'Риск йўналишлари'!$B67,Рўйхат!V:V)</f>
        <v/>
      </c>
      <c r="V67" s="18">
        <f>+SUMIF(Рўйхат!$A:$A,'Риск йўналишлари'!$B67,Рўйхат!W:W)</f>
        <v/>
      </c>
      <c r="W67" s="18">
        <f>+SUMIF(Рўйхат!$A:$A,'Риск йўналишлари'!$B67,Рўйхат!X:X)</f>
        <v/>
      </c>
      <c r="X67" s="18">
        <f>+SUMIF(Рўйхат!$A:$A,'Риск йўналишлари'!$B67,Рўйхат!Y:Y)</f>
        <v/>
      </c>
      <c r="Y67" s="18">
        <f>+SUMIF(Рўйхат!$A:$A,'Риск йўналишлари'!$B67,Рўйхат!Z:Z)</f>
        <v/>
      </c>
      <c r="Z67" s="17">
        <f>+SUMIF(Рўйхат!$A:$A,'Риск йўналишлари'!$B67,Рўйхат!AA:AA)</f>
        <v/>
      </c>
      <c r="AA67" s="18">
        <f>+SUMIF(Рўйхат!$A:$A,'Риск йўналишлари'!$B67,Рўйхат!AB:AB)</f>
        <v/>
      </c>
      <c r="AB67" s="18">
        <f>+SUMIF(Рўйхат!$A:$A,'Риск йўналишлари'!$B67,Рўйхат!AC:AC)</f>
        <v/>
      </c>
      <c r="AC67" s="18">
        <f>+SUMIF(Рўйхат!$A:$A,'Риск йўналишлари'!$B67,Рўйхат!AD:AD)</f>
        <v/>
      </c>
      <c r="AD67" s="18">
        <f>+SUMIF(Рўйхат!$A:$A,'Риск йўналишлари'!$B67,Рўйхат!AE:AE)</f>
        <v/>
      </c>
      <c r="AE67" s="17">
        <f>+SUMIF(Рўйхат!$A:$A,'Риск йўналишлари'!$B67,Рўйхат!AF:AF)</f>
        <v/>
      </c>
      <c r="AF67" s="18">
        <f>+SUMIF(Рўйхат!$A:$A,'Риск йўналишлари'!$B67,Рўйхат!AG:AG)</f>
        <v/>
      </c>
      <c r="AG67" s="18">
        <f>+SUMIF(Рўйхат!$A:$A,'Риск йўналишлари'!$B67,Рўйхат!AH:AH)</f>
        <v/>
      </c>
      <c r="AH67" s="33">
        <f>+SUMIF(Рўйхат!$A:$A,'Риск йўналишлари'!$B67,Рўйхат!AI:AI)</f>
        <v/>
      </c>
      <c r="AI67" s="19">
        <f>+SUMIF(Рўйхат!$A:$A,'Риск йўналишлари'!$B67,Рўйхат!AJ:AJ)</f>
        <v/>
      </c>
    </row>
    <row r="68">
      <c r="A68" s="15" t="n">
        <v>63</v>
      </c>
      <c r="B68" s="46" t="inlineStr">
        <is>
          <t>Белгиланган мудддатларда фойдаланишга топширилмаган объектлар</t>
        </is>
      </c>
      <c r="C68" s="16">
        <f>IFERROR(VLOOKUP(B68,Рўйхат!A:E,5,0),"")</f>
        <v/>
      </c>
      <c r="D68" s="30">
        <f>IFERROR(VLOOKUP(B68,Рўйхат!A:F,6,0),"")</f>
        <v/>
      </c>
      <c r="E68" s="17">
        <f>+SUMIF(Рўйхат!$A:$A,'Риск йўналишлари'!$B68,Рўйхат!G:G)</f>
        <v/>
      </c>
      <c r="F68" s="18">
        <f>+SUMIF(Рўйхат!$A:$A,'Риск йўналишлари'!$B68,Рўйхат!H:H)</f>
        <v/>
      </c>
      <c r="G68" s="18">
        <f>M68</f>
        <v/>
      </c>
      <c r="H68" s="18">
        <f>R68+W68+AB68+AG68</f>
        <v/>
      </c>
      <c r="I68" s="18">
        <f>+SUMIF(Рўйхат!$A:$A,'Риск йўналишлари'!$B68,Рўйхат!J:J)</f>
        <v/>
      </c>
      <c r="J68" s="18">
        <f>+SUMIF(Рўйхат!$A:$A,'Риск йўналишлари'!$B68,Рўйхат!K:K)</f>
        <v/>
      </c>
      <c r="K68" s="17">
        <f>+SUMIF(Рўйхат!$A:$A,'Риск йўналишлари'!$B68,Рўйхат!L:L)</f>
        <v/>
      </c>
      <c r="L68" s="18">
        <f>+SUMIF(Рўйхат!$A:$A,'Риск йўналишлари'!$B68,Рўйхат!M:M)</f>
        <v/>
      </c>
      <c r="M68" s="18">
        <f>+SUMIF(Рўйхат!$A:$A,'Риск йўналишлари'!$B68,Рўйхат!N:N)</f>
        <v/>
      </c>
      <c r="N68" s="18">
        <f>+SUMIF(Рўйхат!$A:$A,'Риск йўналишлари'!$B68,Рўйхат!O:O)</f>
        <v/>
      </c>
      <c r="O68" s="18">
        <f>+SUMIF(Рўйхат!$A:$A,'Риск йўналишлари'!$B68,Рўйхат!P:P)</f>
        <v/>
      </c>
      <c r="P68" s="17">
        <f>+SUMIF(Рўйхат!$A:$A,'Риск йўналишлари'!$B68,Рўйхат!Q:Q)</f>
        <v/>
      </c>
      <c r="Q68" s="18">
        <f>+SUMIF(Рўйхат!$A:$A,'Риск йўналишлари'!$B68,Рўйхат!R:R)</f>
        <v/>
      </c>
      <c r="R68" s="18">
        <f>+SUMIF(Рўйхат!$A:$A,'Риск йўналишлари'!$B68,Рўйхат!S:S)</f>
        <v/>
      </c>
      <c r="S68" s="18">
        <f>+SUMIF(Рўйхат!$A:$A,'Риск йўналишлари'!$B68,Рўйхат!T:T)</f>
        <v/>
      </c>
      <c r="T68" s="18">
        <f>+SUMIF(Рўйхат!$A:$A,'Риск йўналишлари'!$B68,Рўйхат!U:U)</f>
        <v/>
      </c>
      <c r="U68" s="17">
        <f>+SUMIF(Рўйхат!$A:$A,'Риск йўналишлари'!$B68,Рўйхат!V:V)</f>
        <v/>
      </c>
      <c r="V68" s="18">
        <f>+SUMIF(Рўйхат!$A:$A,'Риск йўналишлари'!$B68,Рўйхат!W:W)</f>
        <v/>
      </c>
      <c r="W68" s="18">
        <f>+SUMIF(Рўйхат!$A:$A,'Риск йўналишлари'!$B68,Рўйхат!X:X)</f>
        <v/>
      </c>
      <c r="X68" s="18">
        <f>+SUMIF(Рўйхат!$A:$A,'Риск йўналишлари'!$B68,Рўйхат!Y:Y)</f>
        <v/>
      </c>
      <c r="Y68" s="18">
        <f>+SUMIF(Рўйхат!$A:$A,'Риск йўналишлари'!$B68,Рўйхат!Z:Z)</f>
        <v/>
      </c>
      <c r="Z68" s="17">
        <f>+SUMIF(Рўйхат!$A:$A,'Риск йўналишлари'!$B68,Рўйхат!AA:AA)</f>
        <v/>
      </c>
      <c r="AA68" s="18">
        <f>+SUMIF(Рўйхат!$A:$A,'Риск йўналишлари'!$B68,Рўйхат!AB:AB)</f>
        <v/>
      </c>
      <c r="AB68" s="18">
        <f>+SUMIF(Рўйхат!$A:$A,'Риск йўналишлари'!$B68,Рўйхат!AC:AC)</f>
        <v/>
      </c>
      <c r="AC68" s="18">
        <f>+SUMIF(Рўйхат!$A:$A,'Риск йўналишлари'!$B68,Рўйхат!AD:AD)</f>
        <v/>
      </c>
      <c r="AD68" s="18">
        <f>+SUMIF(Рўйхат!$A:$A,'Риск йўналишлари'!$B68,Рўйхат!AE:AE)</f>
        <v/>
      </c>
      <c r="AE68" s="17">
        <f>+SUMIF(Рўйхат!$A:$A,'Риск йўналишлари'!$B68,Рўйхат!AF:AF)</f>
        <v/>
      </c>
      <c r="AF68" s="18">
        <f>+SUMIF(Рўйхат!$A:$A,'Риск йўналишлари'!$B68,Рўйхат!AG:AG)</f>
        <v/>
      </c>
      <c r="AG68" s="18">
        <f>+SUMIF(Рўйхат!$A:$A,'Риск йўналишлари'!$B68,Рўйхат!AH:AH)</f>
        <v/>
      </c>
      <c r="AH68" s="33">
        <f>+SUMIF(Рўйхат!$A:$A,'Риск йўналишлари'!$B68,Рўйхат!AI:AI)</f>
        <v/>
      </c>
      <c r="AI68" s="19">
        <f>+SUMIF(Рўйхат!$A:$A,'Риск йўналишлари'!$B68,Рўйхат!AJ:AJ)</f>
        <v/>
      </c>
    </row>
    <row r="69">
      <c r="A69" s="15" t="n">
        <v>64</v>
      </c>
      <c r="B69" s="46" t="inlineStr">
        <is>
          <t>Бюджет ташкилотлари ходимлари иш ҳақисини УзАСБО ва Солиқ органлари маълумотлари базасини ўзаро солиштириш</t>
        </is>
      </c>
      <c r="C69" s="16">
        <f>IFERROR(VLOOKUP(B69,Рўйхат!A:E,5,0),"")</f>
        <v/>
      </c>
      <c r="D69" s="30">
        <f>IFERROR(VLOOKUP(B69,Рўйхат!A:F,6,0),"")</f>
        <v/>
      </c>
      <c r="E69" s="17">
        <f>+SUMIF(Рўйхат!$A:$A,'Риск йўналишлари'!$B69,Рўйхат!G:G)</f>
        <v/>
      </c>
      <c r="F69" s="18">
        <f>+SUMIF(Рўйхат!$A:$A,'Риск йўналишлари'!$B69,Рўйхат!H:H)</f>
        <v/>
      </c>
      <c r="G69" s="18">
        <f>M69</f>
        <v/>
      </c>
      <c r="H69" s="18">
        <f>R69+W69+AB69+AG69</f>
        <v/>
      </c>
      <c r="I69" s="18">
        <f>+SUMIF(Рўйхат!$A:$A,'Риск йўналишлари'!$B69,Рўйхат!J:J)</f>
        <v/>
      </c>
      <c r="J69" s="18">
        <f>+SUMIF(Рўйхат!$A:$A,'Риск йўналишлари'!$B69,Рўйхат!K:K)</f>
        <v/>
      </c>
      <c r="K69" s="17">
        <f>+SUMIF(Рўйхат!$A:$A,'Риск йўналишлари'!$B69,Рўйхат!L:L)</f>
        <v/>
      </c>
      <c r="L69" s="18">
        <f>+SUMIF(Рўйхат!$A:$A,'Риск йўналишлари'!$B69,Рўйхат!M:M)</f>
        <v/>
      </c>
      <c r="M69" s="18">
        <f>+SUMIF(Рўйхат!$A:$A,'Риск йўналишлари'!$B69,Рўйхат!N:N)</f>
        <v/>
      </c>
      <c r="N69" s="18">
        <f>+SUMIF(Рўйхат!$A:$A,'Риск йўналишлари'!$B69,Рўйхат!O:O)</f>
        <v/>
      </c>
      <c r="O69" s="18">
        <f>+SUMIF(Рўйхат!$A:$A,'Риск йўналишлари'!$B69,Рўйхат!P:P)</f>
        <v/>
      </c>
      <c r="P69" s="17">
        <f>+SUMIF(Рўйхат!$A:$A,'Риск йўналишлари'!$B69,Рўйхат!Q:Q)</f>
        <v/>
      </c>
      <c r="Q69" s="18">
        <f>+SUMIF(Рўйхат!$A:$A,'Риск йўналишлари'!$B69,Рўйхат!R:R)</f>
        <v/>
      </c>
      <c r="R69" s="18">
        <f>+SUMIF(Рўйхат!$A:$A,'Риск йўналишлари'!$B69,Рўйхат!S:S)</f>
        <v/>
      </c>
      <c r="S69" s="18">
        <f>+SUMIF(Рўйхат!$A:$A,'Риск йўналишлари'!$B69,Рўйхат!T:T)</f>
        <v/>
      </c>
      <c r="T69" s="18">
        <f>+SUMIF(Рўйхат!$A:$A,'Риск йўналишлари'!$B69,Рўйхат!U:U)</f>
        <v/>
      </c>
      <c r="U69" s="17">
        <f>+SUMIF(Рўйхат!$A:$A,'Риск йўналишлари'!$B69,Рўйхат!V:V)</f>
        <v/>
      </c>
      <c r="V69" s="18">
        <f>+SUMIF(Рўйхат!$A:$A,'Риск йўналишлари'!$B69,Рўйхат!W:W)</f>
        <v/>
      </c>
      <c r="W69" s="18">
        <f>+SUMIF(Рўйхат!$A:$A,'Риск йўналишлари'!$B69,Рўйхат!X:X)</f>
        <v/>
      </c>
      <c r="X69" s="18">
        <f>+SUMIF(Рўйхат!$A:$A,'Риск йўналишлари'!$B69,Рўйхат!Y:Y)</f>
        <v/>
      </c>
      <c r="Y69" s="18">
        <f>+SUMIF(Рўйхат!$A:$A,'Риск йўналишлари'!$B69,Рўйхат!Z:Z)</f>
        <v/>
      </c>
      <c r="Z69" s="17">
        <f>+SUMIF(Рўйхат!$A:$A,'Риск йўналишлари'!$B69,Рўйхат!AA:AA)</f>
        <v/>
      </c>
      <c r="AA69" s="18">
        <f>+SUMIF(Рўйхат!$A:$A,'Риск йўналишлари'!$B69,Рўйхат!AB:AB)</f>
        <v/>
      </c>
      <c r="AB69" s="18">
        <f>+SUMIF(Рўйхат!$A:$A,'Риск йўналишлари'!$B69,Рўйхат!AC:AC)</f>
        <v/>
      </c>
      <c r="AC69" s="18">
        <f>+SUMIF(Рўйхат!$A:$A,'Риск йўналишлари'!$B69,Рўйхат!AD:AD)</f>
        <v/>
      </c>
      <c r="AD69" s="18">
        <f>+SUMIF(Рўйхат!$A:$A,'Риск йўналишлари'!$B69,Рўйхат!AE:AE)</f>
        <v/>
      </c>
      <c r="AE69" s="17">
        <f>+SUMIF(Рўйхат!$A:$A,'Риск йўналишлари'!$B69,Рўйхат!AF:AF)</f>
        <v/>
      </c>
      <c r="AF69" s="18">
        <f>+SUMIF(Рўйхат!$A:$A,'Риск йўналишлари'!$B69,Рўйхат!AG:AG)</f>
        <v/>
      </c>
      <c r="AG69" s="18">
        <f>+SUMIF(Рўйхат!$A:$A,'Риск йўналишлари'!$B69,Рўйхат!AH:AH)</f>
        <v/>
      </c>
      <c r="AH69" s="33">
        <f>+SUMIF(Рўйхат!$A:$A,'Риск йўналишлари'!$B69,Рўйхат!AI:AI)</f>
        <v/>
      </c>
      <c r="AI69" s="19">
        <f>+SUMIF(Рўйхат!$A:$A,'Риск йўналишлари'!$B69,Рўйхат!AJ:AJ)</f>
        <v/>
      </c>
    </row>
    <row r="70">
      <c r="A70" s="15" t="n">
        <v>65</v>
      </c>
      <c r="B70" s="46" t="inlineStr">
        <is>
          <t>Операторда манфаатлар тўқнашуви (UZEX)</t>
        </is>
      </c>
      <c r="C70" s="16">
        <f>IFERROR(VLOOKUP(B70,Рўйхат!A:E,5,0),"")</f>
        <v/>
      </c>
      <c r="D70" s="30">
        <f>IFERROR(VLOOKUP(B70,Рўйхат!A:F,6,0),"")</f>
        <v/>
      </c>
      <c r="E70" s="17">
        <f>+SUMIF(Рўйхат!$A:$A,'Риск йўналишлари'!$B70,Рўйхат!G:G)</f>
        <v/>
      </c>
      <c r="F70" s="18">
        <f>+SUMIF(Рўйхат!$A:$A,'Риск йўналишлари'!$B70,Рўйхат!H:H)</f>
        <v/>
      </c>
      <c r="G70" s="18">
        <f>M70</f>
        <v/>
      </c>
      <c r="H70" s="18">
        <f>R70+W70+AB70+AG70</f>
        <v/>
      </c>
      <c r="I70" s="18">
        <f>+SUMIF(Рўйхат!$A:$A,'Риск йўналишлари'!$B70,Рўйхат!J:J)</f>
        <v/>
      </c>
      <c r="J70" s="18">
        <f>+SUMIF(Рўйхат!$A:$A,'Риск йўналишлари'!$B70,Рўйхат!K:K)</f>
        <v/>
      </c>
      <c r="K70" s="17">
        <f>+SUMIF(Рўйхат!$A:$A,'Риск йўналишлари'!$B70,Рўйхат!L:L)</f>
        <v/>
      </c>
      <c r="L70" s="18">
        <f>+SUMIF(Рўйхат!$A:$A,'Риск йўналишлари'!$B70,Рўйхат!M:M)</f>
        <v/>
      </c>
      <c r="M70" s="18">
        <f>+SUMIF(Рўйхат!$A:$A,'Риск йўналишлари'!$B70,Рўйхат!N:N)</f>
        <v/>
      </c>
      <c r="N70" s="18">
        <f>+SUMIF(Рўйхат!$A:$A,'Риск йўналишлари'!$B70,Рўйхат!O:O)</f>
        <v/>
      </c>
      <c r="O70" s="18">
        <f>+SUMIF(Рўйхат!$A:$A,'Риск йўналишлари'!$B70,Рўйхат!P:P)</f>
        <v/>
      </c>
      <c r="P70" s="17">
        <f>+SUMIF(Рўйхат!$A:$A,'Риск йўналишлари'!$B70,Рўйхат!Q:Q)</f>
        <v/>
      </c>
      <c r="Q70" s="18">
        <f>+SUMIF(Рўйхат!$A:$A,'Риск йўналишлари'!$B70,Рўйхат!R:R)</f>
        <v/>
      </c>
      <c r="R70" s="18">
        <f>+SUMIF(Рўйхат!$A:$A,'Риск йўналишлари'!$B70,Рўйхат!S:S)</f>
        <v/>
      </c>
      <c r="S70" s="18">
        <f>+SUMIF(Рўйхат!$A:$A,'Риск йўналишлари'!$B70,Рўйхат!T:T)</f>
        <v/>
      </c>
      <c r="T70" s="18">
        <f>+SUMIF(Рўйхат!$A:$A,'Риск йўналишлари'!$B70,Рўйхат!U:U)</f>
        <v/>
      </c>
      <c r="U70" s="17">
        <f>+SUMIF(Рўйхат!$A:$A,'Риск йўналишлари'!$B70,Рўйхат!V:V)</f>
        <v/>
      </c>
      <c r="V70" s="18">
        <f>+SUMIF(Рўйхат!$A:$A,'Риск йўналишлари'!$B70,Рўйхат!W:W)</f>
        <v/>
      </c>
      <c r="W70" s="18">
        <f>+SUMIF(Рўйхат!$A:$A,'Риск йўналишлари'!$B70,Рўйхат!X:X)</f>
        <v/>
      </c>
      <c r="X70" s="18">
        <f>+SUMIF(Рўйхат!$A:$A,'Риск йўналишлари'!$B70,Рўйхат!Y:Y)</f>
        <v/>
      </c>
      <c r="Y70" s="18">
        <f>+SUMIF(Рўйхат!$A:$A,'Риск йўналишлари'!$B70,Рўйхат!Z:Z)</f>
        <v/>
      </c>
      <c r="Z70" s="17">
        <f>+SUMIF(Рўйхат!$A:$A,'Риск йўналишлари'!$B70,Рўйхат!AA:AA)</f>
        <v/>
      </c>
      <c r="AA70" s="18">
        <f>+SUMIF(Рўйхат!$A:$A,'Риск йўналишлари'!$B70,Рўйхат!AB:AB)</f>
        <v/>
      </c>
      <c r="AB70" s="18">
        <f>+SUMIF(Рўйхат!$A:$A,'Риск йўналишлари'!$B70,Рўйхат!AC:AC)</f>
        <v/>
      </c>
      <c r="AC70" s="18">
        <f>+SUMIF(Рўйхат!$A:$A,'Риск йўналишлари'!$B70,Рўйхат!AD:AD)</f>
        <v/>
      </c>
      <c r="AD70" s="18">
        <f>+SUMIF(Рўйхат!$A:$A,'Риск йўналишлари'!$B70,Рўйхат!AE:AE)</f>
        <v/>
      </c>
      <c r="AE70" s="17">
        <f>+SUMIF(Рўйхат!$A:$A,'Риск йўналишлари'!$B70,Рўйхат!AF:AF)</f>
        <v/>
      </c>
      <c r="AF70" s="18">
        <f>+SUMIF(Рўйхат!$A:$A,'Риск йўналишлари'!$B70,Рўйхат!AG:AG)</f>
        <v/>
      </c>
      <c r="AG70" s="18">
        <f>+SUMIF(Рўйхат!$A:$A,'Риск йўналишлари'!$B70,Рўйхат!AH:AH)</f>
        <v/>
      </c>
      <c r="AH70" s="33">
        <f>+SUMIF(Рўйхат!$A:$A,'Риск йўналишлари'!$B70,Рўйхат!AI:AI)</f>
        <v/>
      </c>
      <c r="AI70" s="19">
        <f>+SUMIF(Рўйхат!$A:$A,'Риск йўналишлари'!$B70,Рўйхат!AJ:AJ)</f>
        <v/>
      </c>
    </row>
    <row r="71">
      <c r="A71" s="15" t="n">
        <v>66</v>
      </c>
      <c r="B71" s="46" t="inlineStr">
        <is>
          <t>Операторда манфаатлар тўқнашуви (Xt Xarid)</t>
        </is>
      </c>
      <c r="C71" s="16">
        <f>IFERROR(VLOOKUP(B71,Рўйхат!A:E,5,0),"")</f>
        <v/>
      </c>
      <c r="D71" s="30">
        <f>IFERROR(VLOOKUP(B71,Рўйхат!A:F,6,0),"")</f>
        <v/>
      </c>
      <c r="E71" s="17">
        <f>+SUMIF(Рўйхат!$A:$A,'Риск йўналишлари'!$B71,Рўйхат!G:G)</f>
        <v/>
      </c>
      <c r="F71" s="18">
        <f>+SUMIF(Рўйхат!$A:$A,'Риск йўналишлари'!$B71,Рўйхат!H:H)</f>
        <v/>
      </c>
      <c r="G71" s="18">
        <f>M71</f>
        <v/>
      </c>
      <c r="H71" s="18">
        <f>R71+W71+AB71+AG71</f>
        <v/>
      </c>
      <c r="I71" s="18">
        <f>+SUMIF(Рўйхат!$A:$A,'Риск йўналишлари'!$B71,Рўйхат!J:J)</f>
        <v/>
      </c>
      <c r="J71" s="18">
        <f>+SUMIF(Рўйхат!$A:$A,'Риск йўналишлари'!$B71,Рўйхат!K:K)</f>
        <v/>
      </c>
      <c r="K71" s="17">
        <f>+SUMIF(Рўйхат!$A:$A,'Риск йўналишлари'!$B71,Рўйхат!L:L)</f>
        <v/>
      </c>
      <c r="L71" s="18">
        <f>+SUMIF(Рўйхат!$A:$A,'Риск йўналишлари'!$B71,Рўйхат!M:M)</f>
        <v/>
      </c>
      <c r="M71" s="18">
        <f>+SUMIF(Рўйхат!$A:$A,'Риск йўналишлари'!$B71,Рўйхат!N:N)</f>
        <v/>
      </c>
      <c r="N71" s="18">
        <f>+SUMIF(Рўйхат!$A:$A,'Риск йўналишлари'!$B71,Рўйхат!O:O)</f>
        <v/>
      </c>
      <c r="O71" s="18">
        <f>+SUMIF(Рўйхат!$A:$A,'Риск йўналишлари'!$B71,Рўйхат!P:P)</f>
        <v/>
      </c>
      <c r="P71" s="17">
        <f>+SUMIF(Рўйхат!$A:$A,'Риск йўналишлари'!$B71,Рўйхат!Q:Q)</f>
        <v/>
      </c>
      <c r="Q71" s="18">
        <f>+SUMIF(Рўйхат!$A:$A,'Риск йўналишлари'!$B71,Рўйхат!R:R)</f>
        <v/>
      </c>
      <c r="R71" s="18">
        <f>+SUMIF(Рўйхат!$A:$A,'Риск йўналишлари'!$B71,Рўйхат!S:S)</f>
        <v/>
      </c>
      <c r="S71" s="18">
        <f>+SUMIF(Рўйхат!$A:$A,'Риск йўналишлари'!$B71,Рўйхат!T:T)</f>
        <v/>
      </c>
      <c r="T71" s="18">
        <f>+SUMIF(Рўйхат!$A:$A,'Риск йўналишлари'!$B71,Рўйхат!U:U)</f>
        <v/>
      </c>
      <c r="U71" s="17">
        <f>+SUMIF(Рўйхат!$A:$A,'Риск йўналишлари'!$B71,Рўйхат!V:V)</f>
        <v/>
      </c>
      <c r="V71" s="18">
        <f>+SUMIF(Рўйхат!$A:$A,'Риск йўналишлари'!$B71,Рўйхат!W:W)</f>
        <v/>
      </c>
      <c r="W71" s="18">
        <f>+SUMIF(Рўйхат!$A:$A,'Риск йўналишлари'!$B71,Рўйхат!X:X)</f>
        <v/>
      </c>
      <c r="X71" s="18">
        <f>+SUMIF(Рўйхат!$A:$A,'Риск йўналишлари'!$B71,Рўйхат!Y:Y)</f>
        <v/>
      </c>
      <c r="Y71" s="18">
        <f>+SUMIF(Рўйхат!$A:$A,'Риск йўналишлари'!$B71,Рўйхат!Z:Z)</f>
        <v/>
      </c>
      <c r="Z71" s="17">
        <f>+SUMIF(Рўйхат!$A:$A,'Риск йўналишлари'!$B71,Рўйхат!AA:AA)</f>
        <v/>
      </c>
      <c r="AA71" s="18">
        <f>+SUMIF(Рўйхат!$A:$A,'Риск йўналишлари'!$B71,Рўйхат!AB:AB)</f>
        <v/>
      </c>
      <c r="AB71" s="18">
        <f>+SUMIF(Рўйхат!$A:$A,'Риск йўналишлари'!$B71,Рўйхат!AC:AC)</f>
        <v/>
      </c>
      <c r="AC71" s="18">
        <f>+SUMIF(Рўйхат!$A:$A,'Риск йўналишлари'!$B71,Рўйхат!AD:AD)</f>
        <v/>
      </c>
      <c r="AD71" s="18">
        <f>+SUMIF(Рўйхат!$A:$A,'Риск йўналишлари'!$B71,Рўйхат!AE:AE)</f>
        <v/>
      </c>
      <c r="AE71" s="17">
        <f>+SUMIF(Рўйхат!$A:$A,'Риск йўналишлари'!$B71,Рўйхат!AF:AF)</f>
        <v/>
      </c>
      <c r="AF71" s="18">
        <f>+SUMIF(Рўйхат!$A:$A,'Риск йўналишлари'!$B71,Рўйхат!AG:AG)</f>
        <v/>
      </c>
      <c r="AG71" s="18">
        <f>+SUMIF(Рўйхат!$A:$A,'Риск йўналишлари'!$B71,Рўйхат!AH:AH)</f>
        <v/>
      </c>
      <c r="AH71" s="33">
        <f>+SUMIF(Рўйхат!$A:$A,'Риск йўналишлари'!$B71,Рўйхат!AI:AI)</f>
        <v/>
      </c>
      <c r="AI71" s="19">
        <f>+SUMIF(Рўйхат!$A:$A,'Риск йўналишлари'!$B71,Рўйхат!AJ:AJ)</f>
        <v/>
      </c>
    </row>
    <row r="72">
      <c r="A72" s="15" t="n">
        <v>67</v>
      </c>
      <c r="B72" s="46" t="inlineStr">
        <is>
          <t>Шартномасини кечикиб бажарган пудрат ташкилотларини бошқа тендер савдоларида иштирок этиши</t>
        </is>
      </c>
      <c r="C72" s="16">
        <f>IFERROR(VLOOKUP(B72,Рўйхат!A:E,5,0),"")</f>
        <v/>
      </c>
      <c r="D72" s="30">
        <f>IFERROR(VLOOKUP(B72,Рўйхат!A:F,6,0),"")</f>
        <v/>
      </c>
      <c r="E72" s="17">
        <f>+SUMIF(Рўйхат!$A:$A,'Риск йўналишлари'!$B72,Рўйхат!G:G)</f>
        <v/>
      </c>
      <c r="F72" s="18">
        <f>+SUMIF(Рўйхат!$A:$A,'Риск йўналишлари'!$B72,Рўйхат!H:H)</f>
        <v/>
      </c>
      <c r="G72" s="18">
        <f>M72</f>
        <v/>
      </c>
      <c r="H72" s="18">
        <f>R72+W72+AB72+AG72</f>
        <v/>
      </c>
      <c r="I72" s="18">
        <f>+SUMIF(Рўйхат!$A:$A,'Риск йўналишлари'!$B72,Рўйхат!J:J)</f>
        <v/>
      </c>
      <c r="J72" s="18">
        <f>+SUMIF(Рўйхат!$A:$A,'Риск йўналишлари'!$B72,Рўйхат!K:K)</f>
        <v/>
      </c>
      <c r="K72" s="17">
        <f>+SUMIF(Рўйхат!$A:$A,'Риск йўналишлари'!$B72,Рўйхат!L:L)</f>
        <v/>
      </c>
      <c r="L72" s="18">
        <f>+SUMIF(Рўйхат!$A:$A,'Риск йўналишлари'!$B72,Рўйхат!M:M)</f>
        <v/>
      </c>
      <c r="M72" s="18">
        <f>+SUMIF(Рўйхат!$A:$A,'Риск йўналишлари'!$B72,Рўйхат!N:N)</f>
        <v/>
      </c>
      <c r="N72" s="18">
        <f>+SUMIF(Рўйхат!$A:$A,'Риск йўналишлари'!$B72,Рўйхат!O:O)</f>
        <v/>
      </c>
      <c r="O72" s="18">
        <f>+SUMIF(Рўйхат!$A:$A,'Риск йўналишлари'!$B72,Рўйхат!P:P)</f>
        <v/>
      </c>
      <c r="P72" s="17">
        <f>+SUMIF(Рўйхат!$A:$A,'Риск йўналишлари'!$B72,Рўйхат!Q:Q)</f>
        <v/>
      </c>
      <c r="Q72" s="18">
        <f>+SUMIF(Рўйхат!$A:$A,'Риск йўналишлари'!$B72,Рўйхат!R:R)</f>
        <v/>
      </c>
      <c r="R72" s="18">
        <f>+SUMIF(Рўйхат!$A:$A,'Риск йўналишлари'!$B72,Рўйхат!S:S)</f>
        <v/>
      </c>
      <c r="S72" s="18">
        <f>+SUMIF(Рўйхат!$A:$A,'Риск йўналишлари'!$B72,Рўйхат!T:T)</f>
        <v/>
      </c>
      <c r="T72" s="18">
        <f>+SUMIF(Рўйхат!$A:$A,'Риск йўналишлари'!$B72,Рўйхат!U:U)</f>
        <v/>
      </c>
      <c r="U72" s="17">
        <f>+SUMIF(Рўйхат!$A:$A,'Риск йўналишлари'!$B72,Рўйхат!V:V)</f>
        <v/>
      </c>
      <c r="V72" s="18">
        <f>+SUMIF(Рўйхат!$A:$A,'Риск йўналишлари'!$B72,Рўйхат!W:W)</f>
        <v/>
      </c>
      <c r="W72" s="18">
        <f>+SUMIF(Рўйхат!$A:$A,'Риск йўналишлари'!$B72,Рўйхат!X:X)</f>
        <v/>
      </c>
      <c r="X72" s="18">
        <f>+SUMIF(Рўйхат!$A:$A,'Риск йўналишлари'!$B72,Рўйхат!Y:Y)</f>
        <v/>
      </c>
      <c r="Y72" s="18">
        <f>+SUMIF(Рўйхат!$A:$A,'Риск йўналишлари'!$B72,Рўйхат!Z:Z)</f>
        <v/>
      </c>
      <c r="Z72" s="17">
        <f>+SUMIF(Рўйхат!$A:$A,'Риск йўналишлари'!$B72,Рўйхат!AA:AA)</f>
        <v/>
      </c>
      <c r="AA72" s="18">
        <f>+SUMIF(Рўйхат!$A:$A,'Риск йўналишлари'!$B72,Рўйхат!AB:AB)</f>
        <v/>
      </c>
      <c r="AB72" s="18">
        <f>+SUMIF(Рўйхат!$A:$A,'Риск йўналишлари'!$B72,Рўйхат!AC:AC)</f>
        <v/>
      </c>
      <c r="AC72" s="18">
        <f>+SUMIF(Рўйхат!$A:$A,'Риск йўналишлари'!$B72,Рўйхат!AD:AD)</f>
        <v/>
      </c>
      <c r="AD72" s="18">
        <f>+SUMIF(Рўйхат!$A:$A,'Риск йўналишлари'!$B72,Рўйхат!AE:AE)</f>
        <v/>
      </c>
      <c r="AE72" s="17">
        <f>+SUMIF(Рўйхат!$A:$A,'Риск йўналишлари'!$B72,Рўйхат!AF:AF)</f>
        <v/>
      </c>
      <c r="AF72" s="18">
        <f>+SUMIF(Рўйхат!$A:$A,'Риск йўналишлари'!$B72,Рўйхат!AG:AG)</f>
        <v/>
      </c>
      <c r="AG72" s="18">
        <f>+SUMIF(Рўйхат!$A:$A,'Риск йўналишлари'!$B72,Рўйхат!AH:AH)</f>
        <v/>
      </c>
      <c r="AH72" s="33">
        <f>+SUMIF(Рўйхат!$A:$A,'Риск йўналишлари'!$B72,Рўйхат!AI:AI)</f>
        <v/>
      </c>
      <c r="AI72" s="19">
        <f>+SUMIF(Рўйхат!$A:$A,'Риск йўналишлари'!$B72,Рўйхат!AJ:AJ)</f>
        <v/>
      </c>
    </row>
    <row r="73">
      <c r="A73" s="100" t="n">
        <v>68</v>
      </c>
      <c r="B73" s="46" t="inlineStr">
        <is>
          <t>Импорт қилинган озиқ-овқат маҳсулотлари таҳлили</t>
        </is>
      </c>
      <c r="C73" s="16">
        <f>IFERROR(VLOOKUP(B73,Рўйхат!A:E,5,0),"")</f>
        <v/>
      </c>
      <c r="D73" s="30">
        <f>IFERROR(VLOOKUP(B73,Рўйхат!A:F,6,0),"")</f>
        <v/>
      </c>
      <c r="E73" s="17">
        <f>+SUMIF(Рўйхат!$A:$A,'Риск йўналишлари'!$B73,Рўйхат!G:G)</f>
        <v/>
      </c>
      <c r="F73" s="18">
        <f>+SUMIF(Рўйхат!$A:$A,'Риск йўналишлари'!$B73,Рўйхат!H:H)</f>
        <v/>
      </c>
      <c r="G73" s="18">
        <f>M73</f>
        <v/>
      </c>
      <c r="H73" s="18">
        <f>R73+W73+AB73+AG73</f>
        <v/>
      </c>
      <c r="I73" s="18">
        <f>+SUMIF(Рўйхат!$A:$A,'Риск йўналишлари'!$B73,Рўйхат!J:J)</f>
        <v/>
      </c>
      <c r="J73" s="18">
        <f>+SUMIF(Рўйхат!$A:$A,'Риск йўналишлари'!$B73,Рўйхат!K:K)</f>
        <v/>
      </c>
      <c r="K73" s="17">
        <f>+SUMIF(Рўйхат!$A:$A,'Риск йўналишлари'!$B73,Рўйхат!L:L)</f>
        <v/>
      </c>
      <c r="L73" s="18">
        <f>+SUMIF(Рўйхат!$A:$A,'Риск йўналишлари'!$B73,Рўйхат!M:M)</f>
        <v/>
      </c>
      <c r="M73" s="18">
        <f>+SUMIF(Рўйхат!$A:$A,'Риск йўналишлари'!$B73,Рўйхат!N:N)</f>
        <v/>
      </c>
      <c r="N73" s="18">
        <f>+SUMIF(Рўйхат!$A:$A,'Риск йўналишлари'!$B73,Рўйхат!O:O)</f>
        <v/>
      </c>
      <c r="O73" s="18">
        <f>+SUMIF(Рўйхат!$A:$A,'Риск йўналишлари'!$B73,Рўйхат!P:P)</f>
        <v/>
      </c>
      <c r="P73" s="17">
        <f>+SUMIF(Рўйхат!$A:$A,'Риск йўналишлари'!$B73,Рўйхат!Q:Q)</f>
        <v/>
      </c>
      <c r="Q73" s="18">
        <f>+SUMIF(Рўйхат!$A:$A,'Риск йўналишлари'!$B73,Рўйхат!R:R)</f>
        <v/>
      </c>
      <c r="R73" s="18">
        <f>+SUMIF(Рўйхат!$A:$A,'Риск йўналишлари'!$B73,Рўйхат!S:S)</f>
        <v/>
      </c>
      <c r="S73" s="18">
        <f>+SUMIF(Рўйхат!$A:$A,'Риск йўналишлари'!$B73,Рўйхат!T:T)</f>
        <v/>
      </c>
      <c r="T73" s="18">
        <f>+SUMIF(Рўйхат!$A:$A,'Риск йўналишлари'!$B73,Рўйхат!U:U)</f>
        <v/>
      </c>
      <c r="U73" s="17">
        <f>+SUMIF(Рўйхат!$A:$A,'Риск йўналишлари'!$B73,Рўйхат!V:V)</f>
        <v/>
      </c>
      <c r="V73" s="18">
        <f>+SUMIF(Рўйхат!$A:$A,'Риск йўналишлари'!$B73,Рўйхат!W:W)</f>
        <v/>
      </c>
      <c r="W73" s="18">
        <f>+SUMIF(Рўйхат!$A:$A,'Риск йўналишлари'!$B73,Рўйхат!X:X)</f>
        <v/>
      </c>
      <c r="X73" s="18">
        <f>+SUMIF(Рўйхат!$A:$A,'Риск йўналишлари'!$B73,Рўйхат!Y:Y)</f>
        <v/>
      </c>
      <c r="Y73" s="18">
        <f>+SUMIF(Рўйхат!$A:$A,'Риск йўналишлари'!$B73,Рўйхат!Z:Z)</f>
        <v/>
      </c>
      <c r="Z73" s="17">
        <f>+SUMIF(Рўйхат!$A:$A,'Риск йўналишлари'!$B73,Рўйхат!AA:AA)</f>
        <v/>
      </c>
      <c r="AA73" s="18">
        <f>+SUMIF(Рўйхат!$A:$A,'Риск йўналишлари'!$B73,Рўйхат!AB:AB)</f>
        <v/>
      </c>
      <c r="AB73" s="18">
        <f>+SUMIF(Рўйхат!$A:$A,'Риск йўналишлари'!$B73,Рўйхат!AC:AC)</f>
        <v/>
      </c>
      <c r="AC73" s="18">
        <f>+SUMIF(Рўйхат!$A:$A,'Риск йўналишлари'!$B73,Рўйхат!AD:AD)</f>
        <v/>
      </c>
      <c r="AD73" s="18">
        <f>+SUMIF(Рўйхат!$A:$A,'Риск йўналишлари'!$B73,Рўйхат!AE:AE)</f>
        <v/>
      </c>
      <c r="AE73" s="17">
        <f>+SUMIF(Рўйхат!$A:$A,'Риск йўналишлари'!$B73,Рўйхат!AF:AF)</f>
        <v/>
      </c>
      <c r="AF73" s="18">
        <f>+SUMIF(Рўйхат!$A:$A,'Риск йўналишлари'!$B73,Рўйхат!AG:AG)</f>
        <v/>
      </c>
      <c r="AG73" s="18">
        <f>+SUMIF(Рўйхат!$A:$A,'Риск йўналишлари'!$B73,Рўйхат!AH:AH)</f>
        <v/>
      </c>
      <c r="AH73" s="33">
        <f>+SUMIF(Рўйхат!$A:$A,'Риск йўналишлари'!$B73,Рўйхат!AI:AI)</f>
        <v/>
      </c>
      <c r="AI73" s="19">
        <f>+SUMIF(Рўйхат!$A:$A,'Риск йўналишлари'!$B73,Рўйхат!AJ:AJ)</f>
        <v/>
      </c>
    </row>
    <row r="74">
      <c r="A74" s="100" t="n">
        <v>69</v>
      </c>
      <c r="B74" s="46" t="inlineStr">
        <is>
          <t>Муддатидан олдин имтиёзли пенсия (14-модда) тайинланган фуқаролар иш билан бандлиги тўғрисида</t>
        </is>
      </c>
      <c r="C74" s="16">
        <f>IFERROR(VLOOKUP(B74,Рўйхат!A:E,5,0),"")</f>
        <v/>
      </c>
      <c r="D74" s="30">
        <f>IFERROR(VLOOKUP(B74,Рўйхат!A:F,6,0),"")</f>
        <v/>
      </c>
      <c r="E74" s="17">
        <f>+SUMIF(Рўйхат!$A:$A,'Риск йўналишлари'!$B74,Рўйхат!G:G)</f>
        <v/>
      </c>
      <c r="F74" s="18">
        <f>+SUMIF(Рўйхат!$A:$A,'Риск йўналишлари'!$B74,Рўйхат!H:H)</f>
        <v/>
      </c>
      <c r="G74" s="18">
        <f>M74</f>
        <v/>
      </c>
      <c r="H74" s="18">
        <f>R74+W74+AB74+AG74</f>
        <v/>
      </c>
      <c r="I74" s="18">
        <f>+SUMIF(Рўйхат!$A:$A,'Риск йўналишлари'!$B74,Рўйхат!J:J)</f>
        <v/>
      </c>
      <c r="J74" s="18">
        <f>+SUMIF(Рўйхат!$A:$A,'Риск йўналишлари'!$B74,Рўйхат!K:K)</f>
        <v/>
      </c>
      <c r="K74" s="17">
        <f>+SUMIF(Рўйхат!$A:$A,'Риск йўналишлари'!$B74,Рўйхат!L:L)</f>
        <v/>
      </c>
      <c r="L74" s="18">
        <f>+SUMIF(Рўйхат!$A:$A,'Риск йўналишлари'!$B74,Рўйхат!M:M)</f>
        <v/>
      </c>
      <c r="M74" s="18">
        <f>+SUMIF(Рўйхат!$A:$A,'Риск йўналишлари'!$B74,Рўйхат!N:N)</f>
        <v/>
      </c>
      <c r="N74" s="18">
        <f>+SUMIF(Рўйхат!$A:$A,'Риск йўналишлари'!$B74,Рўйхат!O:O)</f>
        <v/>
      </c>
      <c r="O74" s="18">
        <f>+SUMIF(Рўйхат!$A:$A,'Риск йўналишлари'!$B74,Рўйхат!P:P)</f>
        <v/>
      </c>
      <c r="P74" s="17">
        <f>+SUMIF(Рўйхат!$A:$A,'Риск йўналишлари'!$B74,Рўйхат!Q:Q)</f>
        <v/>
      </c>
      <c r="Q74" s="18">
        <f>+SUMIF(Рўйхат!$A:$A,'Риск йўналишлари'!$B74,Рўйхат!R:R)</f>
        <v/>
      </c>
      <c r="R74" s="18">
        <f>+SUMIF(Рўйхат!$A:$A,'Риск йўналишлари'!$B74,Рўйхат!S:S)</f>
        <v/>
      </c>
      <c r="S74" s="18">
        <f>+SUMIF(Рўйхат!$A:$A,'Риск йўналишлари'!$B74,Рўйхат!T:T)</f>
        <v/>
      </c>
      <c r="T74" s="18">
        <f>+SUMIF(Рўйхат!$A:$A,'Риск йўналишлари'!$B74,Рўйхат!U:U)</f>
        <v/>
      </c>
      <c r="U74" s="17">
        <f>+SUMIF(Рўйхат!$A:$A,'Риск йўналишлари'!$B74,Рўйхат!V:V)</f>
        <v/>
      </c>
      <c r="V74" s="18">
        <f>+SUMIF(Рўйхат!$A:$A,'Риск йўналишлари'!$B74,Рўйхат!W:W)</f>
        <v/>
      </c>
      <c r="W74" s="18">
        <f>+SUMIF(Рўйхат!$A:$A,'Риск йўналишлари'!$B74,Рўйхат!X:X)</f>
        <v/>
      </c>
      <c r="X74" s="18">
        <f>+SUMIF(Рўйхат!$A:$A,'Риск йўналишлари'!$B74,Рўйхат!Y:Y)</f>
        <v/>
      </c>
      <c r="Y74" s="18">
        <f>+SUMIF(Рўйхат!$A:$A,'Риск йўналишлари'!$B74,Рўйхат!Z:Z)</f>
        <v/>
      </c>
      <c r="Z74" s="17">
        <f>+SUMIF(Рўйхат!$A:$A,'Риск йўналишлари'!$B74,Рўйхат!AA:AA)</f>
        <v/>
      </c>
      <c r="AA74" s="18">
        <f>+SUMIF(Рўйхат!$A:$A,'Риск йўналишлари'!$B74,Рўйхат!AB:AB)</f>
        <v/>
      </c>
      <c r="AB74" s="18">
        <f>+SUMIF(Рўйхат!$A:$A,'Риск йўналишлари'!$B74,Рўйхат!AC:AC)</f>
        <v/>
      </c>
      <c r="AC74" s="18">
        <f>+SUMIF(Рўйхат!$A:$A,'Риск йўналишлари'!$B74,Рўйхат!AD:AD)</f>
        <v/>
      </c>
      <c r="AD74" s="18">
        <f>+SUMIF(Рўйхат!$A:$A,'Риск йўналишлари'!$B74,Рўйхат!AE:AE)</f>
        <v/>
      </c>
      <c r="AE74" s="17">
        <f>+SUMIF(Рўйхат!$A:$A,'Риск йўналишлари'!$B74,Рўйхат!AF:AF)</f>
        <v/>
      </c>
      <c r="AF74" s="18">
        <f>+SUMIF(Рўйхат!$A:$A,'Риск йўналишлари'!$B74,Рўйхат!AG:AG)</f>
        <v/>
      </c>
      <c r="AG74" s="18">
        <f>+SUMIF(Рўйхат!$A:$A,'Риск йўналишлари'!$B74,Рўйхат!AH:AH)</f>
        <v/>
      </c>
      <c r="AH74" s="33">
        <f>+SUMIF(Рўйхат!$A:$A,'Риск йўналишлари'!$B74,Рўйхат!AI:AI)</f>
        <v/>
      </c>
      <c r="AI74" s="19">
        <f>+SUMIF(Рўйхат!$A:$A,'Риск йўналишлари'!$B74,Рўйхат!AJ:AJ)</f>
        <v/>
      </c>
    </row>
    <row r="75">
      <c r="A75" s="100" t="n">
        <v>70</v>
      </c>
      <c r="B75" s="46" t="inlineStr">
        <is>
          <t>Вафот этган фуқароларга ойлик иш ҳақи ҳисобланганлиги (V3)</t>
        </is>
      </c>
      <c r="C75" s="16">
        <f>IFERROR(VLOOKUP(B75,Рўйхат!A:E,5,0),"")</f>
        <v/>
      </c>
      <c r="D75" s="30">
        <f>IFERROR(VLOOKUP(B75,Рўйхат!A:F,6,0),"")</f>
        <v/>
      </c>
      <c r="E75" s="17">
        <f>+SUMIF(Рўйхат!$A:$A,'Риск йўналишлари'!$B75,Рўйхат!G:G)</f>
        <v/>
      </c>
      <c r="F75" s="18">
        <f>+SUMIF(Рўйхат!$A:$A,'Риск йўналишлари'!$B75,Рўйхат!H:H)</f>
        <v/>
      </c>
      <c r="G75" s="18">
        <f>M75</f>
        <v/>
      </c>
      <c r="H75" s="18">
        <f>R75+W75+AB75+AG75</f>
        <v/>
      </c>
      <c r="I75" s="18">
        <f>+SUMIF(Рўйхат!$A:$A,'Риск йўналишлари'!$B75,Рўйхат!J:J)</f>
        <v/>
      </c>
      <c r="J75" s="18">
        <f>+SUMIF(Рўйхат!$A:$A,'Риск йўналишлари'!$B75,Рўйхат!K:K)</f>
        <v/>
      </c>
      <c r="K75" s="17">
        <f>+SUMIF(Рўйхат!$A:$A,'Риск йўналишлари'!$B75,Рўйхат!L:L)</f>
        <v/>
      </c>
      <c r="L75" s="18">
        <f>+SUMIF(Рўйхат!$A:$A,'Риск йўналишлари'!$B75,Рўйхат!M:M)</f>
        <v/>
      </c>
      <c r="M75" s="18">
        <f>+SUMIF(Рўйхат!$A:$A,'Риск йўналишлари'!$B75,Рўйхат!N:N)</f>
        <v/>
      </c>
      <c r="N75" s="18">
        <f>+SUMIF(Рўйхат!$A:$A,'Риск йўналишлари'!$B75,Рўйхат!O:O)</f>
        <v/>
      </c>
      <c r="O75" s="18">
        <f>+SUMIF(Рўйхат!$A:$A,'Риск йўналишлари'!$B75,Рўйхат!P:P)</f>
        <v/>
      </c>
      <c r="P75" s="17">
        <f>+SUMIF(Рўйхат!$A:$A,'Риск йўналишлари'!$B75,Рўйхат!Q:Q)</f>
        <v/>
      </c>
      <c r="Q75" s="18">
        <f>+SUMIF(Рўйхат!$A:$A,'Риск йўналишлари'!$B75,Рўйхат!R:R)</f>
        <v/>
      </c>
      <c r="R75" s="18">
        <f>+SUMIF(Рўйхат!$A:$A,'Риск йўналишлари'!$B75,Рўйхат!S:S)</f>
        <v/>
      </c>
      <c r="S75" s="18">
        <f>+SUMIF(Рўйхат!$A:$A,'Риск йўналишлари'!$B75,Рўйхат!T:T)</f>
        <v/>
      </c>
      <c r="T75" s="18">
        <f>+SUMIF(Рўйхат!$A:$A,'Риск йўналишлари'!$B75,Рўйхат!U:U)</f>
        <v/>
      </c>
      <c r="U75" s="17">
        <f>+SUMIF(Рўйхат!$A:$A,'Риск йўналишлари'!$B75,Рўйхат!V:V)</f>
        <v/>
      </c>
      <c r="V75" s="18">
        <f>+SUMIF(Рўйхат!$A:$A,'Риск йўналишлари'!$B75,Рўйхат!W:W)</f>
        <v/>
      </c>
      <c r="W75" s="18">
        <f>+SUMIF(Рўйхат!$A:$A,'Риск йўналишлари'!$B75,Рўйхат!X:X)</f>
        <v/>
      </c>
      <c r="X75" s="18">
        <f>+SUMIF(Рўйхат!$A:$A,'Риск йўналишлари'!$B75,Рўйхат!Y:Y)</f>
        <v/>
      </c>
      <c r="Y75" s="18">
        <f>+SUMIF(Рўйхат!$A:$A,'Риск йўналишлари'!$B75,Рўйхат!Z:Z)</f>
        <v/>
      </c>
      <c r="Z75" s="17">
        <f>+SUMIF(Рўйхат!$A:$A,'Риск йўналишлари'!$B75,Рўйхат!AA:AA)</f>
        <v/>
      </c>
      <c r="AA75" s="18">
        <f>+SUMIF(Рўйхат!$A:$A,'Риск йўналишлари'!$B75,Рўйхат!AB:AB)</f>
        <v/>
      </c>
      <c r="AB75" s="18">
        <f>+SUMIF(Рўйхат!$A:$A,'Риск йўналишлари'!$B75,Рўйхат!AC:AC)</f>
        <v/>
      </c>
      <c r="AC75" s="18">
        <f>+SUMIF(Рўйхат!$A:$A,'Риск йўналишлари'!$B75,Рўйхат!AD:AD)</f>
        <v/>
      </c>
      <c r="AD75" s="18">
        <f>+SUMIF(Рўйхат!$A:$A,'Риск йўналишлари'!$B75,Рўйхат!AE:AE)</f>
        <v/>
      </c>
      <c r="AE75" s="17">
        <f>+SUMIF(Рўйхат!$A:$A,'Риск йўналишлари'!$B75,Рўйхат!AF:AF)</f>
        <v/>
      </c>
      <c r="AF75" s="18">
        <f>+SUMIF(Рўйхат!$A:$A,'Риск йўналишлари'!$B75,Рўйхат!AG:AG)</f>
        <v/>
      </c>
      <c r="AG75" s="18">
        <f>+SUMIF(Рўйхат!$A:$A,'Риск йўналишлари'!$B75,Рўйхат!AH:AH)</f>
        <v/>
      </c>
      <c r="AH75" s="33">
        <f>+SUMIF(Рўйхат!$A:$A,'Риск йўналишлари'!$B75,Рўйхат!AI:AI)</f>
        <v/>
      </c>
      <c r="AI75" s="19">
        <f>+SUMIF(Рўйхат!$A:$A,'Риск йўналишлари'!$B75,Рўйхат!AJ:AJ)</f>
        <v/>
      </c>
    </row>
    <row r="76">
      <c r="A76" s="100" t="n">
        <v>71</v>
      </c>
      <c r="B76" s="46" t="inlineStr">
        <is>
          <t>Олис ҳудудларда жойлашган этиб белгиланмаган муассасаларда педагогларга ҳисобланган устамалар (ВМ-471)</t>
        </is>
      </c>
      <c r="C76" s="16">
        <f>IFERROR(VLOOKUP(B76,Рўйхат!A:E,5,0),"")</f>
        <v/>
      </c>
      <c r="D76" s="30">
        <f>IFERROR(VLOOKUP(B76,Рўйхат!A:F,6,0),"")</f>
        <v/>
      </c>
      <c r="E76" s="17">
        <f>+SUMIF(Рўйхат!$A:$A,'Риск йўналишлари'!$B76,Рўйхат!G:G)</f>
        <v/>
      </c>
      <c r="F76" s="18">
        <f>+SUMIF(Рўйхат!$A:$A,'Риск йўналишлари'!$B76,Рўйхат!H:H)</f>
        <v/>
      </c>
      <c r="G76" s="18">
        <f>M76</f>
        <v/>
      </c>
      <c r="H76" s="18">
        <f>R76+W76+AB76+AG76</f>
        <v/>
      </c>
      <c r="I76" s="18">
        <f>+SUMIF(Рўйхат!$A:$A,'Риск йўналишлари'!$B76,Рўйхат!J:J)</f>
        <v/>
      </c>
      <c r="J76" s="18">
        <f>+SUMIF(Рўйхат!$A:$A,'Риск йўналишлари'!$B76,Рўйхат!K:K)</f>
        <v/>
      </c>
      <c r="K76" s="17">
        <f>+SUMIF(Рўйхат!$A:$A,'Риск йўналишлари'!$B76,Рўйхат!L:L)</f>
        <v/>
      </c>
      <c r="L76" s="18">
        <f>+SUMIF(Рўйхат!$A:$A,'Риск йўналишлари'!$B76,Рўйхат!M:M)</f>
        <v/>
      </c>
      <c r="M76" s="18">
        <f>+SUMIF(Рўйхат!$A:$A,'Риск йўналишлари'!$B76,Рўйхат!N:N)</f>
        <v/>
      </c>
      <c r="N76" s="18">
        <f>+SUMIF(Рўйхат!$A:$A,'Риск йўналишлари'!$B76,Рўйхат!O:O)</f>
        <v/>
      </c>
      <c r="O76" s="18">
        <f>+SUMIF(Рўйхат!$A:$A,'Риск йўналишлари'!$B76,Рўйхат!P:P)</f>
        <v/>
      </c>
      <c r="P76" s="17">
        <f>+SUMIF(Рўйхат!$A:$A,'Риск йўналишлари'!$B76,Рўйхат!Q:Q)</f>
        <v/>
      </c>
      <c r="Q76" s="18">
        <f>+SUMIF(Рўйхат!$A:$A,'Риск йўналишлари'!$B76,Рўйхат!R:R)</f>
        <v/>
      </c>
      <c r="R76" s="18">
        <f>+SUMIF(Рўйхат!$A:$A,'Риск йўналишлари'!$B76,Рўйхат!S:S)</f>
        <v/>
      </c>
      <c r="S76" s="18">
        <f>+SUMIF(Рўйхат!$A:$A,'Риск йўналишлари'!$B76,Рўйхат!T:T)</f>
        <v/>
      </c>
      <c r="T76" s="18">
        <f>+SUMIF(Рўйхат!$A:$A,'Риск йўналишлари'!$B76,Рўйхат!U:U)</f>
        <v/>
      </c>
      <c r="U76" s="17">
        <f>+SUMIF(Рўйхат!$A:$A,'Риск йўналишлари'!$B76,Рўйхат!V:V)</f>
        <v/>
      </c>
      <c r="V76" s="18">
        <f>+SUMIF(Рўйхат!$A:$A,'Риск йўналишлари'!$B76,Рўйхат!W:W)</f>
        <v/>
      </c>
      <c r="W76" s="18">
        <f>+SUMIF(Рўйхат!$A:$A,'Риск йўналишлари'!$B76,Рўйхат!X:X)</f>
        <v/>
      </c>
      <c r="X76" s="18">
        <f>+SUMIF(Рўйхат!$A:$A,'Риск йўналишлари'!$B76,Рўйхат!Y:Y)</f>
        <v/>
      </c>
      <c r="Y76" s="18">
        <f>+SUMIF(Рўйхат!$A:$A,'Риск йўналишлари'!$B76,Рўйхат!Z:Z)</f>
        <v/>
      </c>
      <c r="Z76" s="17">
        <f>+SUMIF(Рўйхат!$A:$A,'Риск йўналишлари'!$B76,Рўйхат!AA:AA)</f>
        <v/>
      </c>
      <c r="AA76" s="18">
        <f>+SUMIF(Рўйхат!$A:$A,'Риск йўналишлари'!$B76,Рўйхат!AB:AB)</f>
        <v/>
      </c>
      <c r="AB76" s="18">
        <f>+SUMIF(Рўйхат!$A:$A,'Риск йўналишлари'!$B76,Рўйхат!AC:AC)</f>
        <v/>
      </c>
      <c r="AC76" s="18">
        <f>+SUMIF(Рўйхат!$A:$A,'Риск йўналишлари'!$B76,Рўйхат!AD:AD)</f>
        <v/>
      </c>
      <c r="AD76" s="18">
        <f>+SUMIF(Рўйхат!$A:$A,'Риск йўналишлари'!$B76,Рўйхат!AE:AE)</f>
        <v/>
      </c>
      <c r="AE76" s="17">
        <f>+SUMIF(Рўйхат!$A:$A,'Риск йўналишлари'!$B76,Рўйхат!AF:AF)</f>
        <v/>
      </c>
      <c r="AF76" s="18">
        <f>+SUMIF(Рўйхат!$A:$A,'Риск йўналишлари'!$B76,Рўйхат!AG:AG)</f>
        <v/>
      </c>
      <c r="AG76" s="18">
        <f>+SUMIF(Рўйхат!$A:$A,'Риск йўналишлари'!$B76,Рўйхат!AH:AH)</f>
        <v/>
      </c>
      <c r="AH76" s="33">
        <f>+SUMIF(Рўйхат!$A:$A,'Риск йўналишлари'!$B76,Рўйхат!AI:AI)</f>
        <v/>
      </c>
      <c r="AI76" s="19">
        <f>+SUMIF(Рўйхат!$A:$A,'Риск йўналишлари'!$B76,Рўйхат!AJ:AJ)</f>
        <v/>
      </c>
    </row>
    <row r="77">
      <c r="A77" s="100" t="n">
        <v>72</v>
      </c>
      <c r="B77" s="46" t="inlineStr">
        <is>
          <t>Давлат харидлари ҳажмини қисмларга бўлиш ҳолатлари</t>
        </is>
      </c>
      <c r="C77" s="16">
        <f>IFERROR(VLOOKUP(B77,Рўйхат!A:E,5,0),"")</f>
        <v/>
      </c>
      <c r="D77" s="30">
        <f>IFERROR(VLOOKUP(B77,Рўйхат!A:F,6,0),"")</f>
        <v/>
      </c>
      <c r="E77" s="17">
        <f>+SUMIF(Рўйхат!$A:$A,'Риск йўналишлари'!$B77,Рўйхат!G:G)</f>
        <v/>
      </c>
      <c r="F77" s="18">
        <f>+SUMIF(Рўйхат!$A:$A,'Риск йўналишлари'!$B77,Рўйхат!H:H)</f>
        <v/>
      </c>
      <c r="G77" s="18">
        <f>M77</f>
        <v/>
      </c>
      <c r="H77" s="18">
        <f>R77+W77+AB77+AG77</f>
        <v/>
      </c>
      <c r="I77" s="18">
        <f>+SUMIF(Рўйхат!$A:$A,'Риск йўналишлари'!$B77,Рўйхат!J:J)</f>
        <v/>
      </c>
      <c r="J77" s="18">
        <f>+SUMIF(Рўйхат!$A:$A,'Риск йўналишлари'!$B77,Рўйхат!K:K)</f>
        <v/>
      </c>
      <c r="K77" s="17">
        <f>+SUMIF(Рўйхат!$A:$A,'Риск йўналишлари'!$B77,Рўйхат!L:L)</f>
        <v/>
      </c>
      <c r="L77" s="18">
        <f>+SUMIF(Рўйхат!$A:$A,'Риск йўналишлари'!$B77,Рўйхат!M:M)</f>
        <v/>
      </c>
      <c r="M77" s="18">
        <f>+SUMIF(Рўйхат!$A:$A,'Риск йўналишлари'!$B77,Рўйхат!N:N)</f>
        <v/>
      </c>
      <c r="N77" s="18">
        <f>+SUMIF(Рўйхат!$A:$A,'Риск йўналишлари'!$B77,Рўйхат!O:O)</f>
        <v/>
      </c>
      <c r="O77" s="18">
        <f>+SUMIF(Рўйхат!$A:$A,'Риск йўналишлари'!$B77,Рўйхат!P:P)</f>
        <v/>
      </c>
      <c r="P77" s="17">
        <f>+SUMIF(Рўйхат!$A:$A,'Риск йўналишлари'!$B77,Рўйхат!Q:Q)</f>
        <v/>
      </c>
      <c r="Q77" s="18">
        <f>+SUMIF(Рўйхат!$A:$A,'Риск йўналишлари'!$B77,Рўйхат!R:R)</f>
        <v/>
      </c>
      <c r="R77" s="18">
        <f>+SUMIF(Рўйхат!$A:$A,'Риск йўналишлари'!$B77,Рўйхат!S:S)</f>
        <v/>
      </c>
      <c r="S77" s="18">
        <f>+SUMIF(Рўйхат!$A:$A,'Риск йўналишлари'!$B77,Рўйхат!T:T)</f>
        <v/>
      </c>
      <c r="T77" s="18">
        <f>+SUMIF(Рўйхат!$A:$A,'Риск йўналишлари'!$B77,Рўйхат!U:U)</f>
        <v/>
      </c>
      <c r="U77" s="17">
        <f>+SUMIF(Рўйхат!$A:$A,'Риск йўналишлари'!$B77,Рўйхат!V:V)</f>
        <v/>
      </c>
      <c r="V77" s="18">
        <f>+SUMIF(Рўйхат!$A:$A,'Риск йўналишлари'!$B77,Рўйхат!W:W)</f>
        <v/>
      </c>
      <c r="W77" s="18">
        <f>+SUMIF(Рўйхат!$A:$A,'Риск йўналишлари'!$B77,Рўйхат!X:X)</f>
        <v/>
      </c>
      <c r="X77" s="18">
        <f>+SUMIF(Рўйхат!$A:$A,'Риск йўналишлари'!$B77,Рўйхат!Y:Y)</f>
        <v/>
      </c>
      <c r="Y77" s="18">
        <f>+SUMIF(Рўйхат!$A:$A,'Риск йўналишлари'!$B77,Рўйхат!Z:Z)</f>
        <v/>
      </c>
      <c r="Z77" s="17">
        <f>+SUMIF(Рўйхат!$A:$A,'Риск йўналишлари'!$B77,Рўйхат!AA:AA)</f>
        <v/>
      </c>
      <c r="AA77" s="18">
        <f>+SUMIF(Рўйхат!$A:$A,'Риск йўналишлари'!$B77,Рўйхат!AB:AB)</f>
        <v/>
      </c>
      <c r="AB77" s="18">
        <f>+SUMIF(Рўйхат!$A:$A,'Риск йўналишлари'!$B77,Рўйхат!AC:AC)</f>
        <v/>
      </c>
      <c r="AC77" s="18">
        <f>+SUMIF(Рўйхат!$A:$A,'Риск йўналишлари'!$B77,Рўйхат!AD:AD)</f>
        <v/>
      </c>
      <c r="AD77" s="18">
        <f>+SUMIF(Рўйхат!$A:$A,'Риск йўналишлари'!$B77,Рўйхат!AE:AE)</f>
        <v/>
      </c>
      <c r="AE77" s="17">
        <f>+SUMIF(Рўйхат!$A:$A,'Риск йўналишлари'!$B77,Рўйхат!AF:AF)</f>
        <v/>
      </c>
      <c r="AF77" s="18">
        <f>+SUMIF(Рўйхат!$A:$A,'Риск йўналишлари'!$B77,Рўйхат!AG:AG)</f>
        <v/>
      </c>
      <c r="AG77" s="18">
        <f>+SUMIF(Рўйхат!$A:$A,'Риск йўналишлари'!$B77,Рўйхат!AH:AH)</f>
        <v/>
      </c>
      <c r="AH77" s="33">
        <f>+SUMIF(Рўйхат!$A:$A,'Риск йўналишлари'!$B77,Рўйхат!AI:AI)</f>
        <v/>
      </c>
      <c r="AI77" s="19">
        <f>+SUMIF(Рўйхат!$A:$A,'Риск йўналишлари'!$B77,Рўйхат!AJ:AJ)</f>
        <v/>
      </c>
    </row>
    <row r="78">
      <c r="A78" s="100" t="n">
        <v>73</v>
      </c>
      <c r="B78" s="46" t="inlineStr">
        <is>
          <t>Транспорт учун олинган рухсатномалар ва ишчи ходимлар номутаносиблиги таҳлили</t>
        </is>
      </c>
      <c r="C78" s="16">
        <f>IFERROR(VLOOKUP(B78,Рўйхат!A:E,5,0),"")</f>
        <v/>
      </c>
      <c r="D78" s="30">
        <f>IFERROR(VLOOKUP(B78,Рўйхат!A:F,6,0),"")</f>
        <v/>
      </c>
      <c r="E78" s="17">
        <f>+SUMIF(Рўйхат!$A:$A,'Риск йўналишлари'!$B78,Рўйхат!G:G)</f>
        <v/>
      </c>
      <c r="F78" s="18">
        <f>+SUMIF(Рўйхат!$A:$A,'Риск йўналишлари'!$B78,Рўйхат!H:H)</f>
        <v/>
      </c>
      <c r="G78" s="18">
        <f>M78</f>
        <v/>
      </c>
      <c r="H78" s="18">
        <f>R78+W78+AB78+AG78</f>
        <v/>
      </c>
      <c r="I78" s="18">
        <f>+SUMIF(Рўйхат!$A:$A,'Риск йўналишлари'!$B78,Рўйхат!J:J)</f>
        <v/>
      </c>
      <c r="J78" s="18">
        <f>+SUMIF(Рўйхат!$A:$A,'Риск йўналишлари'!$B78,Рўйхат!K:K)</f>
        <v/>
      </c>
      <c r="K78" s="17">
        <f>+SUMIF(Рўйхат!$A:$A,'Риск йўналишлари'!$B78,Рўйхат!L:L)</f>
        <v/>
      </c>
      <c r="L78" s="18">
        <f>+SUMIF(Рўйхат!$A:$A,'Риск йўналишлари'!$B78,Рўйхат!M:M)</f>
        <v/>
      </c>
      <c r="M78" s="18">
        <f>+SUMIF(Рўйхат!$A:$A,'Риск йўналишлари'!$B78,Рўйхат!N:N)</f>
        <v/>
      </c>
      <c r="N78" s="18">
        <f>+SUMIF(Рўйхат!$A:$A,'Риск йўналишлари'!$B78,Рўйхат!O:O)</f>
        <v/>
      </c>
      <c r="O78" s="18">
        <f>+SUMIF(Рўйхат!$A:$A,'Риск йўналишлари'!$B78,Рўйхат!P:P)</f>
        <v/>
      </c>
      <c r="P78" s="17">
        <f>+SUMIF(Рўйхат!$A:$A,'Риск йўналишлари'!$B78,Рўйхат!Q:Q)</f>
        <v/>
      </c>
      <c r="Q78" s="18">
        <f>+SUMIF(Рўйхат!$A:$A,'Риск йўналишлари'!$B78,Рўйхат!R:R)</f>
        <v/>
      </c>
      <c r="R78" s="18">
        <f>+SUMIF(Рўйхат!$A:$A,'Риск йўналишлари'!$B78,Рўйхат!S:S)</f>
        <v/>
      </c>
      <c r="S78" s="18">
        <f>+SUMIF(Рўйхат!$A:$A,'Риск йўналишлари'!$B78,Рўйхат!T:T)</f>
        <v/>
      </c>
      <c r="T78" s="18">
        <f>+SUMIF(Рўйхат!$A:$A,'Риск йўналишлари'!$B78,Рўйхат!U:U)</f>
        <v/>
      </c>
      <c r="U78" s="17">
        <f>+SUMIF(Рўйхат!$A:$A,'Риск йўналишлари'!$B78,Рўйхат!V:V)</f>
        <v/>
      </c>
      <c r="V78" s="18">
        <f>+SUMIF(Рўйхат!$A:$A,'Риск йўналишлари'!$B78,Рўйхат!W:W)</f>
        <v/>
      </c>
      <c r="W78" s="18">
        <f>+SUMIF(Рўйхат!$A:$A,'Риск йўналишлари'!$B78,Рўйхат!X:X)</f>
        <v/>
      </c>
      <c r="X78" s="18">
        <f>+SUMIF(Рўйхат!$A:$A,'Риск йўналишлари'!$B78,Рўйхат!Y:Y)</f>
        <v/>
      </c>
      <c r="Y78" s="18">
        <f>+SUMIF(Рўйхат!$A:$A,'Риск йўналишлари'!$B78,Рўйхат!Z:Z)</f>
        <v/>
      </c>
      <c r="Z78" s="17">
        <f>+SUMIF(Рўйхат!$A:$A,'Риск йўналишлари'!$B78,Рўйхат!AA:AA)</f>
        <v/>
      </c>
      <c r="AA78" s="18">
        <f>+SUMIF(Рўйхат!$A:$A,'Риск йўналишлари'!$B78,Рўйхат!AB:AB)</f>
        <v/>
      </c>
      <c r="AB78" s="18">
        <f>+SUMIF(Рўйхат!$A:$A,'Риск йўналишлари'!$B78,Рўйхат!AC:AC)</f>
        <v/>
      </c>
      <c r="AC78" s="18">
        <f>+SUMIF(Рўйхат!$A:$A,'Риск йўналишлари'!$B78,Рўйхат!AD:AD)</f>
        <v/>
      </c>
      <c r="AD78" s="18">
        <f>+SUMIF(Рўйхат!$A:$A,'Риск йўналишлари'!$B78,Рўйхат!AE:AE)</f>
        <v/>
      </c>
      <c r="AE78" s="17">
        <f>+SUMIF(Рўйхат!$A:$A,'Риск йўналишлари'!$B78,Рўйхат!AF:AF)</f>
        <v/>
      </c>
      <c r="AF78" s="18">
        <f>+SUMIF(Рўйхат!$A:$A,'Риск йўналишлари'!$B78,Рўйхат!AG:AG)</f>
        <v/>
      </c>
      <c r="AG78" s="18">
        <f>+SUMIF(Рўйхат!$A:$A,'Риск йўналишлари'!$B78,Рўйхат!AH:AH)</f>
        <v/>
      </c>
      <c r="AH78" s="33">
        <f>+SUMIF(Рўйхат!$A:$A,'Риск йўналишлари'!$B78,Рўйхат!AI:AI)</f>
        <v/>
      </c>
      <c r="AI78" s="19">
        <f>+SUMIF(Рўйхат!$A:$A,'Риск йўналишлари'!$B78,Рўйхат!AJ:AJ)</f>
        <v/>
      </c>
    </row>
    <row r="79">
      <c r="A79" s="100" t="n">
        <v>74</v>
      </c>
      <c r="B79" s="46" t="inlineStr">
        <is>
          <t>Давлат мулкини ижарага беришда манфаатлар тўқнашуви</t>
        </is>
      </c>
      <c r="C79" s="16">
        <f>IFERROR(VLOOKUP(B79,Рўйхат!A:E,5,0),"")</f>
        <v/>
      </c>
      <c r="D79" s="30">
        <f>IFERROR(VLOOKUP(B79,Рўйхат!A:F,6,0),"")</f>
        <v/>
      </c>
      <c r="E79" s="17">
        <f>+SUMIF(Рўйхат!$A:$A,'Риск йўналишлари'!$B79,Рўйхат!G:G)</f>
        <v/>
      </c>
      <c r="F79" s="18">
        <f>+SUMIF(Рўйхат!$A:$A,'Риск йўналишлари'!$B79,Рўйхат!H:H)</f>
        <v/>
      </c>
      <c r="G79" s="18">
        <f>M79</f>
        <v/>
      </c>
      <c r="H79" s="18">
        <f>R79+W79+AB79+AG79</f>
        <v/>
      </c>
      <c r="I79" s="18">
        <f>+SUMIF(Рўйхат!$A:$A,'Риск йўналишлари'!$B79,Рўйхат!J:J)</f>
        <v/>
      </c>
      <c r="J79" s="18">
        <f>+SUMIF(Рўйхат!$A:$A,'Риск йўналишлари'!$B79,Рўйхат!K:K)</f>
        <v/>
      </c>
      <c r="K79" s="17">
        <f>+SUMIF(Рўйхат!$A:$A,'Риск йўналишлари'!$B79,Рўйхат!L:L)</f>
        <v/>
      </c>
      <c r="L79" s="18">
        <f>+SUMIF(Рўйхат!$A:$A,'Риск йўналишлари'!$B79,Рўйхат!M:M)</f>
        <v/>
      </c>
      <c r="M79" s="18">
        <f>+SUMIF(Рўйхат!$A:$A,'Риск йўналишлари'!$B79,Рўйхат!N:N)</f>
        <v/>
      </c>
      <c r="N79" s="18">
        <f>+SUMIF(Рўйхат!$A:$A,'Риск йўналишлари'!$B79,Рўйхат!O:O)</f>
        <v/>
      </c>
      <c r="O79" s="18">
        <f>+SUMIF(Рўйхат!$A:$A,'Риск йўналишлари'!$B79,Рўйхат!P:P)</f>
        <v/>
      </c>
      <c r="P79" s="17">
        <f>+SUMIF(Рўйхат!$A:$A,'Риск йўналишлари'!$B79,Рўйхат!Q:Q)</f>
        <v/>
      </c>
      <c r="Q79" s="18">
        <f>+SUMIF(Рўйхат!$A:$A,'Риск йўналишлари'!$B79,Рўйхат!R:R)</f>
        <v/>
      </c>
      <c r="R79" s="18">
        <f>+SUMIF(Рўйхат!$A:$A,'Риск йўналишлари'!$B79,Рўйхат!S:S)</f>
        <v/>
      </c>
      <c r="S79" s="18">
        <f>+SUMIF(Рўйхат!$A:$A,'Риск йўналишлари'!$B79,Рўйхат!T:T)</f>
        <v/>
      </c>
      <c r="T79" s="18">
        <f>+SUMIF(Рўйхат!$A:$A,'Риск йўналишлари'!$B79,Рўйхат!U:U)</f>
        <v/>
      </c>
      <c r="U79" s="17">
        <f>+SUMIF(Рўйхат!$A:$A,'Риск йўналишлари'!$B79,Рўйхат!V:V)</f>
        <v/>
      </c>
      <c r="V79" s="18">
        <f>+SUMIF(Рўйхат!$A:$A,'Риск йўналишлари'!$B79,Рўйхат!W:W)</f>
        <v/>
      </c>
      <c r="W79" s="18">
        <f>+SUMIF(Рўйхат!$A:$A,'Риск йўналишлари'!$B79,Рўйхат!X:X)</f>
        <v/>
      </c>
      <c r="X79" s="18">
        <f>+SUMIF(Рўйхат!$A:$A,'Риск йўналишлари'!$B79,Рўйхат!Y:Y)</f>
        <v/>
      </c>
      <c r="Y79" s="18">
        <f>+SUMIF(Рўйхат!$A:$A,'Риск йўналишлари'!$B79,Рўйхат!Z:Z)</f>
        <v/>
      </c>
      <c r="Z79" s="17">
        <f>+SUMIF(Рўйхат!$A:$A,'Риск йўналишлари'!$B79,Рўйхат!AA:AA)</f>
        <v/>
      </c>
      <c r="AA79" s="18">
        <f>+SUMIF(Рўйхат!$A:$A,'Риск йўналишлари'!$B79,Рўйхат!AB:AB)</f>
        <v/>
      </c>
      <c r="AB79" s="18">
        <f>+SUMIF(Рўйхат!$A:$A,'Риск йўналишлари'!$B79,Рўйхат!AC:AC)</f>
        <v/>
      </c>
      <c r="AC79" s="18">
        <f>+SUMIF(Рўйхат!$A:$A,'Риск йўналишлари'!$B79,Рўйхат!AD:AD)</f>
        <v/>
      </c>
      <c r="AD79" s="18">
        <f>+SUMIF(Рўйхат!$A:$A,'Риск йўналишлари'!$B79,Рўйхат!AE:AE)</f>
        <v/>
      </c>
      <c r="AE79" s="17">
        <f>+SUMIF(Рўйхат!$A:$A,'Риск йўналишлари'!$B79,Рўйхат!AF:AF)</f>
        <v/>
      </c>
      <c r="AF79" s="18">
        <f>+SUMIF(Рўйхат!$A:$A,'Риск йўналишлари'!$B79,Рўйхат!AG:AG)</f>
        <v/>
      </c>
      <c r="AG79" s="18">
        <f>+SUMIF(Рўйхат!$A:$A,'Риск йўналишлари'!$B79,Рўйхат!AH:AH)</f>
        <v/>
      </c>
      <c r="AH79" s="33">
        <f>+SUMIF(Рўйхат!$A:$A,'Риск йўналишлари'!$B79,Рўйхат!AI:AI)</f>
        <v/>
      </c>
      <c r="AI79" s="19">
        <f>+SUMIF(Рўйхат!$A:$A,'Риск йўналишлари'!$B79,Рўйхат!AJ:AJ)</f>
        <v/>
      </c>
    </row>
    <row r="80">
      <c r="A80" s="100" t="n">
        <v>75</v>
      </c>
      <c r="B80" s="46" t="inlineStr">
        <is>
          <t>Марказий банкнинг Манфаатлар тўқнашувини ҳисобга олиш реестрига (декларацияга) киритилмаган мансабдор шахслар</t>
        </is>
      </c>
      <c r="C80" s="16">
        <f>IFERROR(VLOOKUP(B80,Рўйхат!A:E,5,0),"")</f>
        <v/>
      </c>
      <c r="D80" s="30">
        <f>IFERROR(VLOOKUP(B80,Рўйхат!A:F,6,0),"")</f>
        <v/>
      </c>
      <c r="E80" s="17">
        <f>+SUMIF(Рўйхат!$A:$A,'Риск йўналишлари'!$B80,Рўйхат!G:G)</f>
        <v/>
      </c>
      <c r="F80" s="18">
        <f>+SUMIF(Рўйхат!$A:$A,'Риск йўналишлари'!$B80,Рўйхат!H:H)</f>
        <v/>
      </c>
      <c r="G80" s="18">
        <f>M80</f>
        <v/>
      </c>
      <c r="H80" s="18">
        <f>R80+W80+AB80+AG80</f>
        <v/>
      </c>
      <c r="I80" s="18">
        <f>+SUMIF(Рўйхат!$A:$A,'Риск йўналишлари'!$B80,Рўйхат!J:J)</f>
        <v/>
      </c>
      <c r="J80" s="18">
        <f>+SUMIF(Рўйхат!$A:$A,'Риск йўналишлари'!$B80,Рўйхат!K:K)</f>
        <v/>
      </c>
      <c r="K80" s="17">
        <f>+SUMIF(Рўйхат!$A:$A,'Риск йўналишлари'!$B80,Рўйхат!L:L)</f>
        <v/>
      </c>
      <c r="L80" s="18">
        <f>+SUMIF(Рўйхат!$A:$A,'Риск йўналишлари'!$B80,Рўйхат!M:M)</f>
        <v/>
      </c>
      <c r="M80" s="18">
        <f>+SUMIF(Рўйхат!$A:$A,'Риск йўналишлари'!$B80,Рўйхат!N:N)</f>
        <v/>
      </c>
      <c r="N80" s="18">
        <f>+SUMIF(Рўйхат!$A:$A,'Риск йўналишлари'!$B80,Рўйхат!O:O)</f>
        <v/>
      </c>
      <c r="O80" s="18">
        <f>+SUMIF(Рўйхат!$A:$A,'Риск йўналишлари'!$B80,Рўйхат!P:P)</f>
        <v/>
      </c>
      <c r="P80" s="17">
        <f>+SUMIF(Рўйхат!$A:$A,'Риск йўналишлари'!$B80,Рўйхат!Q:Q)</f>
        <v/>
      </c>
      <c r="Q80" s="18">
        <f>+SUMIF(Рўйхат!$A:$A,'Риск йўналишлари'!$B80,Рўйхат!R:R)</f>
        <v/>
      </c>
      <c r="R80" s="18">
        <f>+SUMIF(Рўйхат!$A:$A,'Риск йўналишлари'!$B80,Рўйхат!S:S)</f>
        <v/>
      </c>
      <c r="S80" s="18">
        <f>+SUMIF(Рўйхат!$A:$A,'Риск йўналишлари'!$B80,Рўйхат!T:T)</f>
        <v/>
      </c>
      <c r="T80" s="18">
        <f>+SUMIF(Рўйхат!$A:$A,'Риск йўналишлари'!$B80,Рўйхат!U:U)</f>
        <v/>
      </c>
      <c r="U80" s="17">
        <f>+SUMIF(Рўйхат!$A:$A,'Риск йўналишлари'!$B80,Рўйхат!V:V)</f>
        <v/>
      </c>
      <c r="V80" s="18">
        <f>+SUMIF(Рўйхат!$A:$A,'Риск йўналишлари'!$B80,Рўйхат!W:W)</f>
        <v/>
      </c>
      <c r="W80" s="18">
        <f>+SUMIF(Рўйхат!$A:$A,'Риск йўналишлари'!$B80,Рўйхат!X:X)</f>
        <v/>
      </c>
      <c r="X80" s="18">
        <f>+SUMIF(Рўйхат!$A:$A,'Риск йўналишлари'!$B80,Рўйхат!Y:Y)</f>
        <v/>
      </c>
      <c r="Y80" s="18">
        <f>+SUMIF(Рўйхат!$A:$A,'Риск йўналишлари'!$B80,Рўйхат!Z:Z)</f>
        <v/>
      </c>
      <c r="Z80" s="17">
        <f>+SUMIF(Рўйхат!$A:$A,'Риск йўналишлари'!$B80,Рўйхат!AA:AA)</f>
        <v/>
      </c>
      <c r="AA80" s="18">
        <f>+SUMIF(Рўйхат!$A:$A,'Риск йўналишлари'!$B80,Рўйхат!AB:AB)</f>
        <v/>
      </c>
      <c r="AB80" s="18">
        <f>+SUMIF(Рўйхат!$A:$A,'Риск йўналишлари'!$B80,Рўйхат!AC:AC)</f>
        <v/>
      </c>
      <c r="AC80" s="18">
        <f>+SUMIF(Рўйхат!$A:$A,'Риск йўналишлари'!$B80,Рўйхат!AD:AD)</f>
        <v/>
      </c>
      <c r="AD80" s="18">
        <f>+SUMIF(Рўйхат!$A:$A,'Риск йўналишлари'!$B80,Рўйхат!AE:AE)</f>
        <v/>
      </c>
      <c r="AE80" s="17">
        <f>+SUMIF(Рўйхат!$A:$A,'Риск йўналишлари'!$B80,Рўйхат!AF:AF)</f>
        <v/>
      </c>
      <c r="AF80" s="18">
        <f>+SUMIF(Рўйхат!$A:$A,'Риск йўналишлари'!$B80,Рўйхат!AG:AG)</f>
        <v/>
      </c>
      <c r="AG80" s="18">
        <f>+SUMIF(Рўйхат!$A:$A,'Риск йўналишлари'!$B80,Рўйхат!AH:AH)</f>
        <v/>
      </c>
      <c r="AH80" s="33">
        <f>+SUMIF(Рўйхат!$A:$A,'Риск йўналишлари'!$B80,Рўйхат!AI:AI)</f>
        <v/>
      </c>
      <c r="AI80" s="19">
        <f>+SUMIF(Рўйхат!$A:$A,'Риск йўналишлари'!$B80,Рўйхат!AJ:AJ)</f>
        <v/>
      </c>
    </row>
    <row r="81">
      <c r="A81" s="100" t="n">
        <v>76</v>
      </c>
      <c r="B81" s="46" t="inlineStr">
        <is>
          <t>Аффилланганлик ҳолати бир хил IP манзиллар</t>
        </is>
      </c>
      <c r="C81" s="16">
        <f>IFERROR(VLOOKUP(B81,Рўйхат!A:E,5,0),"")</f>
        <v/>
      </c>
      <c r="D81" s="30">
        <f>IFERROR(VLOOKUP(B81,Рўйхат!A:F,6,0),"")</f>
        <v/>
      </c>
      <c r="E81" s="17">
        <f>+SUMIF(Рўйхат!$A:$A,'Риск йўналишлари'!$B81,Рўйхат!G:G)</f>
        <v/>
      </c>
      <c r="F81" s="18">
        <f>+SUMIF(Рўйхат!$A:$A,'Риск йўналишлари'!$B81,Рўйхат!H:H)</f>
        <v/>
      </c>
      <c r="G81" s="18">
        <f>M81</f>
        <v/>
      </c>
      <c r="H81" s="18">
        <f>R81+W81+AB81+AG81</f>
        <v/>
      </c>
      <c r="I81" s="18">
        <f>+SUMIF(Рўйхат!$A:$A,'Риск йўналишлари'!$B81,Рўйхат!J:J)</f>
        <v/>
      </c>
      <c r="J81" s="18">
        <f>+SUMIF(Рўйхат!$A:$A,'Риск йўналишлари'!$B81,Рўйхат!K:K)</f>
        <v/>
      </c>
      <c r="K81" s="17">
        <f>+SUMIF(Рўйхат!$A:$A,'Риск йўналишлари'!$B81,Рўйхат!L:L)</f>
        <v/>
      </c>
      <c r="L81" s="18">
        <f>+SUMIF(Рўйхат!$A:$A,'Риск йўналишлари'!$B81,Рўйхат!M:M)</f>
        <v/>
      </c>
      <c r="M81" s="18">
        <f>+SUMIF(Рўйхат!$A:$A,'Риск йўналишлари'!$B81,Рўйхат!N:N)</f>
        <v/>
      </c>
      <c r="N81" s="18">
        <f>+SUMIF(Рўйхат!$A:$A,'Риск йўналишлари'!$B81,Рўйхат!O:O)</f>
        <v/>
      </c>
      <c r="O81" s="18">
        <f>+SUMIF(Рўйхат!$A:$A,'Риск йўналишлари'!$B81,Рўйхат!P:P)</f>
        <v/>
      </c>
      <c r="P81" s="17">
        <f>+SUMIF(Рўйхат!$A:$A,'Риск йўналишлари'!$B81,Рўйхат!Q:Q)</f>
        <v/>
      </c>
      <c r="Q81" s="18">
        <f>+SUMIF(Рўйхат!$A:$A,'Риск йўналишлари'!$B81,Рўйхат!R:R)</f>
        <v/>
      </c>
      <c r="R81" s="18">
        <f>+SUMIF(Рўйхат!$A:$A,'Риск йўналишлари'!$B81,Рўйхат!S:S)</f>
        <v/>
      </c>
      <c r="S81" s="18">
        <f>+SUMIF(Рўйхат!$A:$A,'Риск йўналишлари'!$B81,Рўйхат!T:T)</f>
        <v/>
      </c>
      <c r="T81" s="18">
        <f>+SUMIF(Рўйхат!$A:$A,'Риск йўналишлари'!$B81,Рўйхат!U:U)</f>
        <v/>
      </c>
      <c r="U81" s="17">
        <f>+SUMIF(Рўйхат!$A:$A,'Риск йўналишлари'!$B81,Рўйхат!V:V)</f>
        <v/>
      </c>
      <c r="V81" s="18">
        <f>+SUMIF(Рўйхат!$A:$A,'Риск йўналишлари'!$B81,Рўйхат!W:W)</f>
        <v/>
      </c>
      <c r="W81" s="18">
        <f>+SUMIF(Рўйхат!$A:$A,'Риск йўналишлари'!$B81,Рўйхат!X:X)</f>
        <v/>
      </c>
      <c r="X81" s="18">
        <f>+SUMIF(Рўйхат!$A:$A,'Риск йўналишлари'!$B81,Рўйхат!Y:Y)</f>
        <v/>
      </c>
      <c r="Y81" s="18">
        <f>+SUMIF(Рўйхат!$A:$A,'Риск йўналишлари'!$B81,Рўйхат!Z:Z)</f>
        <v/>
      </c>
      <c r="Z81" s="17">
        <f>+SUMIF(Рўйхат!$A:$A,'Риск йўналишлари'!$B81,Рўйхат!AA:AA)</f>
        <v/>
      </c>
      <c r="AA81" s="18">
        <f>+SUMIF(Рўйхат!$A:$A,'Риск йўналишлари'!$B81,Рўйхат!AB:AB)</f>
        <v/>
      </c>
      <c r="AB81" s="18">
        <f>+SUMIF(Рўйхат!$A:$A,'Риск йўналишлари'!$B81,Рўйхат!AC:AC)</f>
        <v/>
      </c>
      <c r="AC81" s="18">
        <f>+SUMIF(Рўйхат!$A:$A,'Риск йўналишлари'!$B81,Рўйхат!AD:AD)</f>
        <v/>
      </c>
      <c r="AD81" s="18">
        <f>+SUMIF(Рўйхат!$A:$A,'Риск йўналишлари'!$B81,Рўйхат!AE:AE)</f>
        <v/>
      </c>
      <c r="AE81" s="17">
        <f>+SUMIF(Рўйхат!$A:$A,'Риск йўналишлари'!$B81,Рўйхат!AF:AF)</f>
        <v/>
      </c>
      <c r="AF81" s="18">
        <f>+SUMIF(Рўйхат!$A:$A,'Риск йўналишлари'!$B81,Рўйхат!AG:AG)</f>
        <v/>
      </c>
      <c r="AG81" s="18">
        <f>+SUMIF(Рўйхат!$A:$A,'Риск йўналишлари'!$B81,Рўйхат!AH:AH)</f>
        <v/>
      </c>
      <c r="AH81" s="33">
        <f>+SUMIF(Рўйхат!$A:$A,'Риск йўналишлари'!$B81,Рўйхат!AI:AI)</f>
        <v/>
      </c>
      <c r="AI81" s="19">
        <f>+SUMIF(Рўйхат!$A:$A,'Риск йўналишлари'!$B81,Рўйхат!AJ:AJ)</f>
        <v/>
      </c>
    </row>
    <row r="82">
      <c r="A82" s="100" t="n">
        <v>77</v>
      </c>
      <c r="B82" s="46" t="inlineStr">
        <is>
          <t>Манфаатлар тўқнашуви бир хил IP манзиллар</t>
        </is>
      </c>
      <c r="C82" s="16">
        <f>IFERROR(VLOOKUP(B82,Рўйхат!A:E,5,0),"")</f>
        <v/>
      </c>
      <c r="D82" s="30">
        <f>IFERROR(VLOOKUP(B82,Рўйхат!A:F,6,0),"")</f>
        <v/>
      </c>
      <c r="E82" s="17">
        <f>+SUMIF(Рўйхат!$A:$A,'Риск йўналишлари'!$B82,Рўйхат!G:G)</f>
        <v/>
      </c>
      <c r="F82" s="18">
        <f>+SUMIF(Рўйхат!$A:$A,'Риск йўналишлари'!$B82,Рўйхат!H:H)</f>
        <v/>
      </c>
      <c r="G82" s="18">
        <f>M82</f>
        <v/>
      </c>
      <c r="H82" s="18">
        <f>R82+W82+AB82+AG82</f>
        <v/>
      </c>
      <c r="I82" s="18">
        <f>+SUMIF(Рўйхат!$A:$A,'Риск йўналишлари'!$B82,Рўйхат!J:J)</f>
        <v/>
      </c>
      <c r="J82" s="18">
        <f>+SUMIF(Рўйхат!$A:$A,'Риск йўналишлари'!$B82,Рўйхат!K:K)</f>
        <v/>
      </c>
      <c r="K82" s="17">
        <f>+SUMIF(Рўйхат!$A:$A,'Риск йўналишлари'!$B82,Рўйхат!L:L)</f>
        <v/>
      </c>
      <c r="L82" s="18">
        <f>+SUMIF(Рўйхат!$A:$A,'Риск йўналишлари'!$B82,Рўйхат!M:M)</f>
        <v/>
      </c>
      <c r="M82" s="18">
        <f>+SUMIF(Рўйхат!$A:$A,'Риск йўналишлари'!$B82,Рўйхат!N:N)</f>
        <v/>
      </c>
      <c r="N82" s="18">
        <f>+SUMIF(Рўйхат!$A:$A,'Риск йўналишлари'!$B82,Рўйхат!O:O)</f>
        <v/>
      </c>
      <c r="O82" s="18">
        <f>+SUMIF(Рўйхат!$A:$A,'Риск йўналишлари'!$B82,Рўйхат!P:P)</f>
        <v/>
      </c>
      <c r="P82" s="17">
        <f>+SUMIF(Рўйхат!$A:$A,'Риск йўналишлари'!$B82,Рўйхат!Q:Q)</f>
        <v/>
      </c>
      <c r="Q82" s="18">
        <f>+SUMIF(Рўйхат!$A:$A,'Риск йўналишлари'!$B82,Рўйхат!R:R)</f>
        <v/>
      </c>
      <c r="R82" s="18">
        <f>+SUMIF(Рўйхат!$A:$A,'Риск йўналишлари'!$B82,Рўйхат!S:S)</f>
        <v/>
      </c>
      <c r="S82" s="18">
        <f>+SUMIF(Рўйхат!$A:$A,'Риск йўналишлари'!$B82,Рўйхат!T:T)</f>
        <v/>
      </c>
      <c r="T82" s="18">
        <f>+SUMIF(Рўйхат!$A:$A,'Риск йўналишлари'!$B82,Рўйхат!U:U)</f>
        <v/>
      </c>
      <c r="U82" s="17">
        <f>+SUMIF(Рўйхат!$A:$A,'Риск йўналишлари'!$B82,Рўйхат!V:V)</f>
        <v/>
      </c>
      <c r="V82" s="18">
        <f>+SUMIF(Рўйхат!$A:$A,'Риск йўналишлари'!$B82,Рўйхат!W:W)</f>
        <v/>
      </c>
      <c r="W82" s="18">
        <f>+SUMIF(Рўйхат!$A:$A,'Риск йўналишлари'!$B82,Рўйхат!X:X)</f>
        <v/>
      </c>
      <c r="X82" s="18">
        <f>+SUMIF(Рўйхат!$A:$A,'Риск йўналишлари'!$B82,Рўйхат!Y:Y)</f>
        <v/>
      </c>
      <c r="Y82" s="18">
        <f>+SUMIF(Рўйхат!$A:$A,'Риск йўналишлари'!$B82,Рўйхат!Z:Z)</f>
        <v/>
      </c>
      <c r="Z82" s="17">
        <f>+SUMIF(Рўйхат!$A:$A,'Риск йўналишлари'!$B82,Рўйхат!AA:AA)</f>
        <v/>
      </c>
      <c r="AA82" s="18">
        <f>+SUMIF(Рўйхат!$A:$A,'Риск йўналишлари'!$B82,Рўйхат!AB:AB)</f>
        <v/>
      </c>
      <c r="AB82" s="18">
        <f>+SUMIF(Рўйхат!$A:$A,'Риск йўналишлари'!$B82,Рўйхат!AC:AC)</f>
        <v/>
      </c>
      <c r="AC82" s="18">
        <f>+SUMIF(Рўйхат!$A:$A,'Риск йўналишлари'!$B82,Рўйхат!AD:AD)</f>
        <v/>
      </c>
      <c r="AD82" s="18">
        <f>+SUMIF(Рўйхат!$A:$A,'Риск йўналишлари'!$B82,Рўйхат!AE:AE)</f>
        <v/>
      </c>
      <c r="AE82" s="17">
        <f>+SUMIF(Рўйхат!$A:$A,'Риск йўналишлари'!$B82,Рўйхат!AF:AF)</f>
        <v/>
      </c>
      <c r="AF82" s="18">
        <f>+SUMIF(Рўйхат!$A:$A,'Риск йўналишлари'!$B82,Рўйхат!AG:AG)</f>
        <v/>
      </c>
      <c r="AG82" s="18">
        <f>+SUMIF(Рўйхат!$A:$A,'Риск йўналишлари'!$B82,Рўйхат!AH:AH)</f>
        <v/>
      </c>
      <c r="AH82" s="33">
        <f>+SUMIF(Рўйхат!$A:$A,'Риск йўналишлари'!$B82,Рўйхат!AI:AI)</f>
        <v/>
      </c>
      <c r="AI82" s="19">
        <f>+SUMIF(Рўйхат!$A:$A,'Риск йўналишлари'!$B82,Рўйхат!AJ:AJ)</f>
        <v/>
      </c>
    </row>
    <row r="83">
      <c r="A83" s="100" t="n">
        <v>78</v>
      </c>
      <c r="B83" s="46" t="inlineStr">
        <is>
          <t>Ходимларга уй-жой ижараси учун ҳисобланган компенсация тўловлари таҳлили</t>
        </is>
      </c>
      <c r="C83" s="16">
        <f>IFERROR(VLOOKUP(B83,Рўйхат!A:E,5,0),"")</f>
        <v/>
      </c>
      <c r="D83" s="30">
        <f>IFERROR(VLOOKUP(B83,Рўйхат!A:F,6,0),"")</f>
        <v/>
      </c>
      <c r="E83" s="17">
        <f>+SUMIF(Рўйхат!$A:$A,'Риск йўналишлари'!$B83,Рўйхат!G:G)</f>
        <v/>
      </c>
      <c r="F83" s="18">
        <f>+SUMIF(Рўйхат!$A:$A,'Риск йўналишлари'!$B83,Рўйхат!H:H)</f>
        <v/>
      </c>
      <c r="G83" s="18">
        <f>M83</f>
        <v/>
      </c>
      <c r="H83" s="18">
        <f>R83+W83+AB83+AG83</f>
        <v/>
      </c>
      <c r="I83" s="18">
        <f>+SUMIF(Рўйхат!$A:$A,'Риск йўналишлари'!$B83,Рўйхат!J:J)</f>
        <v/>
      </c>
      <c r="J83" s="18">
        <f>+SUMIF(Рўйхат!$A:$A,'Риск йўналишлари'!$B83,Рўйхат!K:K)</f>
        <v/>
      </c>
      <c r="K83" s="17">
        <f>+SUMIF(Рўйхат!$A:$A,'Риск йўналишлари'!$B83,Рўйхат!L:L)</f>
        <v/>
      </c>
      <c r="L83" s="18">
        <f>+SUMIF(Рўйхат!$A:$A,'Риск йўналишлари'!$B83,Рўйхат!M:M)</f>
        <v/>
      </c>
      <c r="M83" s="18">
        <f>+SUMIF(Рўйхат!$A:$A,'Риск йўналишлари'!$B83,Рўйхат!N:N)</f>
        <v/>
      </c>
      <c r="N83" s="18">
        <f>+SUMIF(Рўйхат!$A:$A,'Риск йўналишлари'!$B83,Рўйхат!O:O)</f>
        <v/>
      </c>
      <c r="O83" s="18">
        <f>+SUMIF(Рўйхат!$A:$A,'Риск йўналишлари'!$B83,Рўйхат!P:P)</f>
        <v/>
      </c>
      <c r="P83" s="17">
        <f>+SUMIF(Рўйхат!$A:$A,'Риск йўналишлари'!$B83,Рўйхат!Q:Q)</f>
        <v/>
      </c>
      <c r="Q83" s="18">
        <f>+SUMIF(Рўйхат!$A:$A,'Риск йўналишлари'!$B83,Рўйхат!R:R)</f>
        <v/>
      </c>
      <c r="R83" s="18">
        <f>+SUMIF(Рўйхат!$A:$A,'Риск йўналишлари'!$B83,Рўйхат!S:S)</f>
        <v/>
      </c>
      <c r="S83" s="18">
        <f>+SUMIF(Рўйхат!$A:$A,'Риск йўналишлари'!$B83,Рўйхат!T:T)</f>
        <v/>
      </c>
      <c r="T83" s="18">
        <f>+SUMIF(Рўйхат!$A:$A,'Риск йўналишлари'!$B83,Рўйхат!U:U)</f>
        <v/>
      </c>
      <c r="U83" s="17">
        <f>+SUMIF(Рўйхат!$A:$A,'Риск йўналишлари'!$B83,Рўйхат!V:V)</f>
        <v/>
      </c>
      <c r="V83" s="18">
        <f>+SUMIF(Рўйхат!$A:$A,'Риск йўналишлари'!$B83,Рўйхат!W:W)</f>
        <v/>
      </c>
      <c r="W83" s="18">
        <f>+SUMIF(Рўйхат!$A:$A,'Риск йўналишлари'!$B83,Рўйхат!X:X)</f>
        <v/>
      </c>
      <c r="X83" s="18">
        <f>+SUMIF(Рўйхат!$A:$A,'Риск йўналишлари'!$B83,Рўйхат!Y:Y)</f>
        <v/>
      </c>
      <c r="Y83" s="18">
        <f>+SUMIF(Рўйхат!$A:$A,'Риск йўналишлари'!$B83,Рўйхат!Z:Z)</f>
        <v/>
      </c>
      <c r="Z83" s="17">
        <f>+SUMIF(Рўйхат!$A:$A,'Риск йўналишлари'!$B83,Рўйхат!AA:AA)</f>
        <v/>
      </c>
      <c r="AA83" s="18">
        <f>+SUMIF(Рўйхат!$A:$A,'Риск йўналишлари'!$B83,Рўйхат!AB:AB)</f>
        <v/>
      </c>
      <c r="AB83" s="18">
        <f>+SUMIF(Рўйхат!$A:$A,'Риск йўналишлари'!$B83,Рўйхат!AC:AC)</f>
        <v/>
      </c>
      <c r="AC83" s="18">
        <f>+SUMIF(Рўйхат!$A:$A,'Риск йўналишлари'!$B83,Рўйхат!AD:AD)</f>
        <v/>
      </c>
      <c r="AD83" s="18">
        <f>+SUMIF(Рўйхат!$A:$A,'Риск йўналишлари'!$B83,Рўйхат!AE:AE)</f>
        <v/>
      </c>
      <c r="AE83" s="17">
        <f>+SUMIF(Рўйхат!$A:$A,'Риск йўналишлари'!$B83,Рўйхат!AF:AF)</f>
        <v/>
      </c>
      <c r="AF83" s="18">
        <f>+SUMIF(Рўйхат!$A:$A,'Риск йўналишлари'!$B83,Рўйхат!AG:AG)</f>
        <v/>
      </c>
      <c r="AG83" s="18">
        <f>+SUMIF(Рўйхат!$A:$A,'Риск йўналишлари'!$B83,Рўйхат!AH:AH)</f>
        <v/>
      </c>
      <c r="AH83" s="33">
        <f>+SUMIF(Рўйхат!$A:$A,'Риск йўналишлари'!$B83,Рўйхат!AI:AI)</f>
        <v/>
      </c>
      <c r="AI83" s="19">
        <f>+SUMIF(Рўйхат!$A:$A,'Риск йўналишлари'!$B83,Рўйхат!AJ:AJ)</f>
        <v/>
      </c>
    </row>
    <row r="84">
      <c r="A84" s="100" t="n">
        <v>79</v>
      </c>
      <c r="B84" s="46" t="inlineStr">
        <is>
          <t>Давлат мулкларини ижарага беришда коммунал тўловларни ҳисобга олмаслик</t>
        </is>
      </c>
      <c r="C84" s="16">
        <f>IFERROR(VLOOKUP(B84,Рўйхат!A:E,5,0),"")</f>
        <v/>
      </c>
      <c r="D84" s="30">
        <f>IFERROR(VLOOKUP(B84,Рўйхат!A:F,6,0),"")</f>
        <v/>
      </c>
      <c r="E84" s="17">
        <f>+SUMIF(Рўйхат!$A:$A,'Риск йўналишлари'!$B84,Рўйхат!G:G)</f>
        <v/>
      </c>
      <c r="F84" s="18">
        <f>+SUMIF(Рўйхат!$A:$A,'Риск йўналишлари'!$B84,Рўйхат!H:H)</f>
        <v/>
      </c>
      <c r="G84" s="18">
        <f>M84</f>
        <v/>
      </c>
      <c r="H84" s="18">
        <f>R84+W84+AB84+AG84</f>
        <v/>
      </c>
      <c r="I84" s="18">
        <f>+SUMIF(Рўйхат!$A:$A,'Риск йўналишлари'!$B84,Рўйхат!J:J)</f>
        <v/>
      </c>
      <c r="J84" s="18">
        <f>+SUMIF(Рўйхат!$A:$A,'Риск йўналишлари'!$B84,Рўйхат!K:K)</f>
        <v/>
      </c>
      <c r="K84" s="17">
        <f>+SUMIF(Рўйхат!$A:$A,'Риск йўналишлари'!$B84,Рўйхат!L:L)</f>
        <v/>
      </c>
      <c r="L84" s="18">
        <f>+SUMIF(Рўйхат!$A:$A,'Риск йўналишлари'!$B84,Рўйхат!M:M)</f>
        <v/>
      </c>
      <c r="M84" s="18">
        <f>+SUMIF(Рўйхат!$A:$A,'Риск йўналишлари'!$B84,Рўйхат!N:N)</f>
        <v/>
      </c>
      <c r="N84" s="18">
        <f>+SUMIF(Рўйхат!$A:$A,'Риск йўналишлари'!$B84,Рўйхат!O:O)</f>
        <v/>
      </c>
      <c r="O84" s="18">
        <f>+SUMIF(Рўйхат!$A:$A,'Риск йўналишлари'!$B84,Рўйхат!P:P)</f>
        <v/>
      </c>
      <c r="P84" s="17">
        <f>+SUMIF(Рўйхат!$A:$A,'Риск йўналишлари'!$B84,Рўйхат!Q:Q)</f>
        <v/>
      </c>
      <c r="Q84" s="18">
        <f>+SUMIF(Рўйхат!$A:$A,'Риск йўналишлари'!$B84,Рўйхат!R:R)</f>
        <v/>
      </c>
      <c r="R84" s="18">
        <f>+SUMIF(Рўйхат!$A:$A,'Риск йўналишлари'!$B84,Рўйхат!S:S)</f>
        <v/>
      </c>
      <c r="S84" s="18">
        <f>+SUMIF(Рўйхат!$A:$A,'Риск йўналишлари'!$B84,Рўйхат!T:T)</f>
        <v/>
      </c>
      <c r="T84" s="18">
        <f>+SUMIF(Рўйхат!$A:$A,'Риск йўналишлари'!$B84,Рўйхат!U:U)</f>
        <v/>
      </c>
      <c r="U84" s="17">
        <f>+SUMIF(Рўйхат!$A:$A,'Риск йўналишлари'!$B84,Рўйхат!V:V)</f>
        <v/>
      </c>
      <c r="V84" s="18">
        <f>+SUMIF(Рўйхат!$A:$A,'Риск йўналишлари'!$B84,Рўйхат!W:W)</f>
        <v/>
      </c>
      <c r="W84" s="18">
        <f>+SUMIF(Рўйхат!$A:$A,'Риск йўналишлари'!$B84,Рўйхат!X:X)</f>
        <v/>
      </c>
      <c r="X84" s="18">
        <f>+SUMIF(Рўйхат!$A:$A,'Риск йўналишлари'!$B84,Рўйхат!Y:Y)</f>
        <v/>
      </c>
      <c r="Y84" s="18">
        <f>+SUMIF(Рўйхат!$A:$A,'Риск йўналишлари'!$B84,Рўйхат!Z:Z)</f>
        <v/>
      </c>
      <c r="Z84" s="17">
        <f>+SUMIF(Рўйхат!$A:$A,'Риск йўналишлари'!$B84,Рўйхат!AA:AA)</f>
        <v/>
      </c>
      <c r="AA84" s="18">
        <f>+SUMIF(Рўйхат!$A:$A,'Риск йўналишлари'!$B84,Рўйхат!AB:AB)</f>
        <v/>
      </c>
      <c r="AB84" s="18">
        <f>+SUMIF(Рўйхат!$A:$A,'Риск йўналишлари'!$B84,Рўйхат!AC:AC)</f>
        <v/>
      </c>
      <c r="AC84" s="18">
        <f>+SUMIF(Рўйхат!$A:$A,'Риск йўналишлари'!$B84,Рўйхат!AD:AD)</f>
        <v/>
      </c>
      <c r="AD84" s="18">
        <f>+SUMIF(Рўйхат!$A:$A,'Риск йўналишлари'!$B84,Рўйхат!AE:AE)</f>
        <v/>
      </c>
      <c r="AE84" s="17">
        <f>+SUMIF(Рўйхат!$A:$A,'Риск йўналишлари'!$B84,Рўйхат!AF:AF)</f>
        <v/>
      </c>
      <c r="AF84" s="18">
        <f>+SUMIF(Рўйхат!$A:$A,'Риск йўналишлари'!$B84,Рўйхат!AG:AG)</f>
        <v/>
      </c>
      <c r="AG84" s="18">
        <f>+SUMIF(Рўйхат!$A:$A,'Риск йўналишлари'!$B84,Рўйхат!AH:AH)</f>
        <v/>
      </c>
      <c r="AH84" s="33">
        <f>+SUMIF(Рўйхат!$A:$A,'Риск йўналишлари'!$B84,Рўйхат!AI:AI)</f>
        <v/>
      </c>
      <c r="AI84" s="19">
        <f>+SUMIF(Рўйхат!$A:$A,'Риск йўналишлари'!$B84,Рўйхат!AJ:AJ)</f>
        <v/>
      </c>
    </row>
    <row r="85">
      <c r="A85" s="100" t="n">
        <v>80</v>
      </c>
      <c r="B85" s="46" t="inlineStr">
        <is>
          <t>Бухгалтерия ҳисобининг бузилиши</t>
        </is>
      </c>
      <c r="C85" s="16">
        <f>IFERROR(VLOOKUP(B85,Рўйхат!A:E,5,0),"")</f>
        <v/>
      </c>
      <c r="D85" s="30">
        <f>IFERROR(VLOOKUP(B85,Рўйхат!A:F,6,0),"")</f>
        <v/>
      </c>
      <c r="E85" s="17">
        <f>+SUMIF(Рўйхат!$A:$A,'Риск йўналишлари'!$B85,Рўйхат!G:G)</f>
        <v/>
      </c>
      <c r="F85" s="18">
        <f>+SUMIF(Рўйхат!$A:$A,'Риск йўналишлари'!$B85,Рўйхат!H:H)</f>
        <v/>
      </c>
      <c r="G85" s="18">
        <f>M85</f>
        <v/>
      </c>
      <c r="H85" s="18">
        <f>R85+W85+AB85+AG85</f>
        <v/>
      </c>
      <c r="I85" s="18">
        <f>+SUMIF(Рўйхат!$A:$A,'Риск йўналишлари'!$B85,Рўйхат!J:J)</f>
        <v/>
      </c>
      <c r="J85" s="18">
        <f>+SUMIF(Рўйхат!$A:$A,'Риск йўналишлари'!$B85,Рўйхат!K:K)</f>
        <v/>
      </c>
      <c r="K85" s="17">
        <f>+SUMIF(Рўйхат!$A:$A,'Риск йўналишлари'!$B85,Рўйхат!L:L)</f>
        <v/>
      </c>
      <c r="L85" s="18">
        <f>+SUMIF(Рўйхат!$A:$A,'Риск йўналишлари'!$B85,Рўйхат!M:M)</f>
        <v/>
      </c>
      <c r="M85" s="18">
        <f>+SUMIF(Рўйхат!$A:$A,'Риск йўналишлари'!$B85,Рўйхат!N:N)</f>
        <v/>
      </c>
      <c r="N85" s="18">
        <f>+SUMIF(Рўйхат!$A:$A,'Риск йўналишлари'!$B85,Рўйхат!O:O)</f>
        <v/>
      </c>
      <c r="O85" s="18">
        <f>+SUMIF(Рўйхат!$A:$A,'Риск йўналишлари'!$B85,Рўйхат!P:P)</f>
        <v/>
      </c>
      <c r="P85" s="17">
        <f>+SUMIF(Рўйхат!$A:$A,'Риск йўналишлари'!$B85,Рўйхат!Q:Q)</f>
        <v/>
      </c>
      <c r="Q85" s="18">
        <f>+SUMIF(Рўйхат!$A:$A,'Риск йўналишлари'!$B85,Рўйхат!R:R)</f>
        <v/>
      </c>
      <c r="R85" s="18">
        <f>+SUMIF(Рўйхат!$A:$A,'Риск йўналишлари'!$B85,Рўйхат!S:S)</f>
        <v/>
      </c>
      <c r="S85" s="18">
        <f>+SUMIF(Рўйхат!$A:$A,'Риск йўналишлари'!$B85,Рўйхат!T:T)</f>
        <v/>
      </c>
      <c r="T85" s="18">
        <f>+SUMIF(Рўйхат!$A:$A,'Риск йўналишлари'!$B85,Рўйхат!U:U)</f>
        <v/>
      </c>
      <c r="U85" s="17">
        <f>+SUMIF(Рўйхат!$A:$A,'Риск йўналишлари'!$B85,Рўйхат!V:V)</f>
        <v/>
      </c>
      <c r="V85" s="18">
        <f>+SUMIF(Рўйхат!$A:$A,'Риск йўналишлари'!$B85,Рўйхат!W:W)</f>
        <v/>
      </c>
      <c r="W85" s="18">
        <f>+SUMIF(Рўйхат!$A:$A,'Риск йўналишлари'!$B85,Рўйхат!X:X)</f>
        <v/>
      </c>
      <c r="X85" s="18">
        <f>+SUMIF(Рўйхат!$A:$A,'Риск йўналишлари'!$B85,Рўйхат!Y:Y)</f>
        <v/>
      </c>
      <c r="Y85" s="18">
        <f>+SUMIF(Рўйхат!$A:$A,'Риск йўналишлари'!$B85,Рўйхат!Z:Z)</f>
        <v/>
      </c>
      <c r="Z85" s="17">
        <f>+SUMIF(Рўйхат!$A:$A,'Риск йўналишлари'!$B85,Рўйхат!AA:AA)</f>
        <v/>
      </c>
      <c r="AA85" s="18">
        <f>+SUMIF(Рўйхат!$A:$A,'Риск йўналишлари'!$B85,Рўйхат!AB:AB)</f>
        <v/>
      </c>
      <c r="AB85" s="18">
        <f>+SUMIF(Рўйхат!$A:$A,'Риск йўналишлари'!$B85,Рўйхат!AC:AC)</f>
        <v/>
      </c>
      <c r="AC85" s="18">
        <f>+SUMIF(Рўйхат!$A:$A,'Риск йўналишлари'!$B85,Рўйхат!AD:AD)</f>
        <v/>
      </c>
      <c r="AD85" s="18">
        <f>+SUMIF(Рўйхат!$A:$A,'Риск йўналишлари'!$B85,Рўйхат!AE:AE)</f>
        <v/>
      </c>
      <c r="AE85" s="17">
        <f>+SUMIF(Рўйхат!$A:$A,'Риск йўналишлари'!$B85,Рўйхат!AF:AF)</f>
        <v/>
      </c>
      <c r="AF85" s="18">
        <f>+SUMIF(Рўйхат!$A:$A,'Риск йўналишлари'!$B85,Рўйхат!AG:AG)</f>
        <v/>
      </c>
      <c r="AG85" s="18">
        <f>+SUMIF(Рўйхат!$A:$A,'Риск йўналишлари'!$B85,Рўйхат!AH:AH)</f>
        <v/>
      </c>
      <c r="AH85" s="33">
        <f>+SUMIF(Рўйхат!$A:$A,'Риск йўналишлари'!$B85,Рўйхат!AI:AI)</f>
        <v/>
      </c>
      <c r="AI85" s="19">
        <f>+SUMIF(Рўйхат!$A:$A,'Риск йўналишлари'!$B85,Рўйхат!AJ:AJ)</f>
        <v/>
      </c>
    </row>
    <row r="86">
      <c r="A86" s="100" t="n">
        <v>81</v>
      </c>
      <c r="B86" s="46" t="inlineStr">
        <is>
          <t>Шартномага киритилмаган товар (иш,хизмат) хариди</t>
        </is>
      </c>
      <c r="C86" s="16">
        <f>IFERROR(VLOOKUP(B86,Рўйхат!A:E,5,0),"")</f>
        <v/>
      </c>
      <c r="D86" s="30">
        <f>IFERROR(VLOOKUP(B86,Рўйхат!A:F,6,0),"")</f>
        <v/>
      </c>
      <c r="E86" s="17">
        <f>+SUMIF(Рўйхат!$A:$A,'Риск йўналишлари'!$B86,Рўйхат!G:G)</f>
        <v/>
      </c>
      <c r="F86" s="18">
        <f>+SUMIF(Рўйхат!$A:$A,'Риск йўналишлари'!$B86,Рўйхат!H:H)</f>
        <v/>
      </c>
      <c r="G86" s="18">
        <f>M86</f>
        <v/>
      </c>
      <c r="H86" s="18">
        <f>R86+W86+AB86+AG86</f>
        <v/>
      </c>
      <c r="I86" s="18">
        <f>+SUMIF(Рўйхат!$A:$A,'Риск йўналишлари'!$B86,Рўйхат!J:J)</f>
        <v/>
      </c>
      <c r="J86" s="18">
        <f>+SUMIF(Рўйхат!$A:$A,'Риск йўналишлари'!$B86,Рўйхат!K:K)</f>
        <v/>
      </c>
      <c r="K86" s="17">
        <f>+SUMIF(Рўйхат!$A:$A,'Риск йўналишлари'!$B86,Рўйхат!L:L)</f>
        <v/>
      </c>
      <c r="L86" s="18">
        <f>+SUMIF(Рўйхат!$A:$A,'Риск йўналишлари'!$B86,Рўйхат!M:M)</f>
        <v/>
      </c>
      <c r="M86" s="18">
        <f>+SUMIF(Рўйхат!$A:$A,'Риск йўналишлари'!$B86,Рўйхат!N:N)</f>
        <v/>
      </c>
      <c r="N86" s="18">
        <f>+SUMIF(Рўйхат!$A:$A,'Риск йўналишлари'!$B86,Рўйхат!O:O)</f>
        <v/>
      </c>
      <c r="O86" s="18">
        <f>+SUMIF(Рўйхат!$A:$A,'Риск йўналишлари'!$B86,Рўйхат!P:P)</f>
        <v/>
      </c>
      <c r="P86" s="17">
        <f>+SUMIF(Рўйхат!$A:$A,'Риск йўналишлари'!$B86,Рўйхат!Q:Q)</f>
        <v/>
      </c>
      <c r="Q86" s="18">
        <f>+SUMIF(Рўйхат!$A:$A,'Риск йўналишлари'!$B86,Рўйхат!R:R)</f>
        <v/>
      </c>
      <c r="R86" s="18">
        <f>+SUMIF(Рўйхат!$A:$A,'Риск йўналишлари'!$B86,Рўйхат!S:S)</f>
        <v/>
      </c>
      <c r="S86" s="18">
        <f>+SUMIF(Рўйхат!$A:$A,'Риск йўналишлари'!$B86,Рўйхат!T:T)</f>
        <v/>
      </c>
      <c r="T86" s="18">
        <f>+SUMIF(Рўйхат!$A:$A,'Риск йўналишлари'!$B86,Рўйхат!U:U)</f>
        <v/>
      </c>
      <c r="U86" s="17">
        <f>+SUMIF(Рўйхат!$A:$A,'Риск йўналишлари'!$B86,Рўйхат!V:V)</f>
        <v/>
      </c>
      <c r="V86" s="18">
        <f>+SUMIF(Рўйхат!$A:$A,'Риск йўналишлари'!$B86,Рўйхат!W:W)</f>
        <v/>
      </c>
      <c r="W86" s="18">
        <f>+SUMIF(Рўйхат!$A:$A,'Риск йўналишлари'!$B86,Рўйхат!X:X)</f>
        <v/>
      </c>
      <c r="X86" s="18">
        <f>+SUMIF(Рўйхат!$A:$A,'Риск йўналишлари'!$B86,Рўйхат!Y:Y)</f>
        <v/>
      </c>
      <c r="Y86" s="18">
        <f>+SUMIF(Рўйхат!$A:$A,'Риск йўналишлари'!$B86,Рўйхат!Z:Z)</f>
        <v/>
      </c>
      <c r="Z86" s="17">
        <f>+SUMIF(Рўйхат!$A:$A,'Риск йўналишлари'!$B86,Рўйхат!AA:AA)</f>
        <v/>
      </c>
      <c r="AA86" s="18">
        <f>+SUMIF(Рўйхат!$A:$A,'Риск йўналишлари'!$B86,Рўйхат!AB:AB)</f>
        <v/>
      </c>
      <c r="AB86" s="18">
        <f>+SUMIF(Рўйхат!$A:$A,'Риск йўналишлари'!$B86,Рўйхат!AC:AC)</f>
        <v/>
      </c>
      <c r="AC86" s="18">
        <f>+SUMIF(Рўйхат!$A:$A,'Риск йўналишлари'!$B86,Рўйхат!AD:AD)</f>
        <v/>
      </c>
      <c r="AD86" s="18">
        <f>+SUMIF(Рўйхат!$A:$A,'Риск йўналишлари'!$B86,Рўйхат!AE:AE)</f>
        <v/>
      </c>
      <c r="AE86" s="17">
        <f>+SUMIF(Рўйхат!$A:$A,'Риск йўналишлари'!$B86,Рўйхат!AF:AF)</f>
        <v/>
      </c>
      <c r="AF86" s="18">
        <f>+SUMIF(Рўйхат!$A:$A,'Риск йўналишлари'!$B86,Рўйхат!AG:AG)</f>
        <v/>
      </c>
      <c r="AG86" s="18">
        <f>+SUMIF(Рўйхат!$A:$A,'Риск йўналишлари'!$B86,Рўйхат!AH:AH)</f>
        <v/>
      </c>
      <c r="AH86" s="33">
        <f>+SUMIF(Рўйхат!$A:$A,'Риск йўналишлари'!$B86,Рўйхат!AI:AI)</f>
        <v/>
      </c>
      <c r="AI86" s="19">
        <f>+SUMIF(Рўйхат!$A:$A,'Риск йўналишлари'!$B86,Рўйхат!AJ:AJ)</f>
        <v/>
      </c>
    </row>
    <row r="87">
      <c r="A87" s="100" t="n">
        <v>82</v>
      </c>
      <c r="B87" s="46" t="inlineStr">
        <is>
          <t>Бандлик маълумотларида сохталаштириш ва ноаниқликлар хавфи</t>
        </is>
      </c>
      <c r="C87" s="16">
        <f>IFERROR(VLOOKUP(B87,Рўйхат!A:E,5,0),"")</f>
        <v/>
      </c>
      <c r="D87" s="30">
        <f>IFERROR(VLOOKUP(B87,Рўйхат!A:F,6,0),"")</f>
        <v/>
      </c>
      <c r="E87" s="17">
        <f>+SUMIF(Рўйхат!$A:$A,'Риск йўналишлари'!$B87,Рўйхат!G:G)</f>
        <v/>
      </c>
      <c r="F87" s="18">
        <f>+SUMIF(Рўйхат!$A:$A,'Риск йўналишлари'!$B87,Рўйхат!H:H)</f>
        <v/>
      </c>
      <c r="G87" s="18">
        <f>M87</f>
        <v/>
      </c>
      <c r="H87" s="18">
        <f>R87+W87+AB87+AG87</f>
        <v/>
      </c>
      <c r="I87" s="18">
        <f>+SUMIF(Рўйхат!$A:$A,'Риск йўналишлари'!$B87,Рўйхат!J:J)</f>
        <v/>
      </c>
      <c r="J87" s="18">
        <f>+SUMIF(Рўйхат!$A:$A,'Риск йўналишлари'!$B87,Рўйхат!K:K)</f>
        <v/>
      </c>
      <c r="K87" s="17">
        <f>+SUMIF(Рўйхат!$A:$A,'Риск йўналишлари'!$B87,Рўйхат!L:L)</f>
        <v/>
      </c>
      <c r="L87" s="18">
        <f>+SUMIF(Рўйхат!$A:$A,'Риск йўналишлари'!$B87,Рўйхат!M:M)</f>
        <v/>
      </c>
      <c r="M87" s="18">
        <f>+SUMIF(Рўйхат!$A:$A,'Риск йўналишлари'!$B87,Рўйхат!N:N)</f>
        <v/>
      </c>
      <c r="N87" s="18">
        <f>+SUMIF(Рўйхат!$A:$A,'Риск йўналишлари'!$B87,Рўйхат!O:O)</f>
        <v/>
      </c>
      <c r="O87" s="18">
        <f>+SUMIF(Рўйхат!$A:$A,'Риск йўналишлари'!$B87,Рўйхат!P:P)</f>
        <v/>
      </c>
      <c r="P87" s="17">
        <f>+SUMIF(Рўйхат!$A:$A,'Риск йўналишлари'!$B87,Рўйхат!Q:Q)</f>
        <v/>
      </c>
      <c r="Q87" s="18">
        <f>+SUMIF(Рўйхат!$A:$A,'Риск йўналишлари'!$B87,Рўйхат!R:R)</f>
        <v/>
      </c>
      <c r="R87" s="18">
        <f>+SUMIF(Рўйхат!$A:$A,'Риск йўналишлари'!$B87,Рўйхат!S:S)</f>
        <v/>
      </c>
      <c r="S87" s="18">
        <f>+SUMIF(Рўйхат!$A:$A,'Риск йўналишлари'!$B87,Рўйхат!T:T)</f>
        <v/>
      </c>
      <c r="T87" s="18">
        <f>+SUMIF(Рўйхат!$A:$A,'Риск йўналишлари'!$B87,Рўйхат!U:U)</f>
        <v/>
      </c>
      <c r="U87" s="17">
        <f>+SUMIF(Рўйхат!$A:$A,'Риск йўналишлари'!$B87,Рўйхат!V:V)</f>
        <v/>
      </c>
      <c r="V87" s="18">
        <f>+SUMIF(Рўйхат!$A:$A,'Риск йўналишлари'!$B87,Рўйхат!W:W)</f>
        <v/>
      </c>
      <c r="W87" s="18">
        <f>+SUMIF(Рўйхат!$A:$A,'Риск йўналишлари'!$B87,Рўйхат!X:X)</f>
        <v/>
      </c>
      <c r="X87" s="18">
        <f>+SUMIF(Рўйхат!$A:$A,'Риск йўналишлари'!$B87,Рўйхат!Y:Y)</f>
        <v/>
      </c>
      <c r="Y87" s="18">
        <f>+SUMIF(Рўйхат!$A:$A,'Риск йўналишлари'!$B87,Рўйхат!Z:Z)</f>
        <v/>
      </c>
      <c r="Z87" s="17">
        <f>+SUMIF(Рўйхат!$A:$A,'Риск йўналишлари'!$B87,Рўйхат!AA:AA)</f>
        <v/>
      </c>
      <c r="AA87" s="18">
        <f>+SUMIF(Рўйхат!$A:$A,'Риск йўналишлари'!$B87,Рўйхат!AB:AB)</f>
        <v/>
      </c>
      <c r="AB87" s="18">
        <f>+SUMIF(Рўйхат!$A:$A,'Риск йўналишлари'!$B87,Рўйхат!AC:AC)</f>
        <v/>
      </c>
      <c r="AC87" s="18">
        <f>+SUMIF(Рўйхат!$A:$A,'Риск йўналишлари'!$B87,Рўйхат!AD:AD)</f>
        <v/>
      </c>
      <c r="AD87" s="18">
        <f>+SUMIF(Рўйхат!$A:$A,'Риск йўналишлари'!$B87,Рўйхат!AE:AE)</f>
        <v/>
      </c>
      <c r="AE87" s="17">
        <f>+SUMIF(Рўйхат!$A:$A,'Риск йўналишлари'!$B87,Рўйхат!AF:AF)</f>
        <v/>
      </c>
      <c r="AF87" s="18">
        <f>+SUMIF(Рўйхат!$A:$A,'Риск йўналишлари'!$B87,Рўйхат!AG:AG)</f>
        <v/>
      </c>
      <c r="AG87" s="18">
        <f>+SUMIF(Рўйхат!$A:$A,'Риск йўналишлари'!$B87,Рўйхат!AH:AH)</f>
        <v/>
      </c>
      <c r="AH87" s="33">
        <f>+SUMIF(Рўйхат!$A:$A,'Риск йўналишлари'!$B87,Рўйхат!AI:AI)</f>
        <v/>
      </c>
      <c r="AI87" s="19">
        <f>+SUMIF(Рўйхат!$A:$A,'Риск йўналишлари'!$B87,Рўйхат!AJ:AJ)</f>
        <v/>
      </c>
    </row>
    <row r="88">
      <c r="A88" s="100" t="n">
        <v>83</v>
      </c>
      <c r="B88" s="46" t="inlineStr">
        <is>
          <t>Дебитор қарздорлик (Ғазначилик Солиқ Аи)</t>
        </is>
      </c>
      <c r="C88" s="16">
        <f>IFERROR(VLOOKUP(B88,Рўйхат!A:E,5,0),"")</f>
        <v/>
      </c>
      <c r="D88" s="30">
        <f>IFERROR(VLOOKUP(B88,Рўйхат!A:F,6,0),"")</f>
        <v/>
      </c>
      <c r="E88" s="17">
        <f>+SUMIF(Рўйхат!$A:$A,'Риск йўналишлари'!$B88,Рўйхат!G:G)</f>
        <v/>
      </c>
      <c r="F88" s="18">
        <f>+SUMIF(Рўйхат!$A:$A,'Риск йўналишлари'!$B88,Рўйхат!H:H)</f>
        <v/>
      </c>
      <c r="G88" s="18">
        <f>M88</f>
        <v/>
      </c>
      <c r="H88" s="18">
        <f>R88+W88+AB88+AG88</f>
        <v/>
      </c>
      <c r="I88" s="18">
        <f>+SUMIF(Рўйхат!$A:$A,'Риск йўналишлари'!$B88,Рўйхат!J:J)</f>
        <v/>
      </c>
      <c r="J88" s="18">
        <f>+SUMIF(Рўйхат!$A:$A,'Риск йўналишлари'!$B88,Рўйхат!K:K)</f>
        <v/>
      </c>
      <c r="K88" s="17">
        <f>+SUMIF(Рўйхат!$A:$A,'Риск йўналишлари'!$B88,Рўйхат!L:L)</f>
        <v/>
      </c>
      <c r="L88" s="18">
        <f>+SUMIF(Рўйхат!$A:$A,'Риск йўналишлари'!$B88,Рўйхат!M:M)</f>
        <v/>
      </c>
      <c r="M88" s="18">
        <f>+SUMIF(Рўйхат!$A:$A,'Риск йўналишлари'!$B88,Рўйхат!N:N)</f>
        <v/>
      </c>
      <c r="N88" s="18">
        <f>+SUMIF(Рўйхат!$A:$A,'Риск йўналишлари'!$B88,Рўйхат!O:O)</f>
        <v/>
      </c>
      <c r="O88" s="18">
        <f>+SUMIF(Рўйхат!$A:$A,'Риск йўналишлари'!$B88,Рўйхат!P:P)</f>
        <v/>
      </c>
      <c r="P88" s="17">
        <f>+SUMIF(Рўйхат!$A:$A,'Риск йўналишлари'!$B88,Рўйхат!Q:Q)</f>
        <v/>
      </c>
      <c r="Q88" s="18">
        <f>+SUMIF(Рўйхат!$A:$A,'Риск йўналишлари'!$B88,Рўйхат!R:R)</f>
        <v/>
      </c>
      <c r="R88" s="18">
        <f>+SUMIF(Рўйхат!$A:$A,'Риск йўналишлари'!$B88,Рўйхат!S:S)</f>
        <v/>
      </c>
      <c r="S88" s="18">
        <f>+SUMIF(Рўйхат!$A:$A,'Риск йўналишлари'!$B88,Рўйхат!T:T)</f>
        <v/>
      </c>
      <c r="T88" s="18">
        <f>+SUMIF(Рўйхат!$A:$A,'Риск йўналишлари'!$B88,Рўйхат!U:U)</f>
        <v/>
      </c>
      <c r="U88" s="17">
        <f>+SUMIF(Рўйхат!$A:$A,'Риск йўналишлари'!$B88,Рўйхат!V:V)</f>
        <v/>
      </c>
      <c r="V88" s="18">
        <f>+SUMIF(Рўйхат!$A:$A,'Риск йўналишлари'!$B88,Рўйхат!W:W)</f>
        <v/>
      </c>
      <c r="W88" s="18">
        <f>+SUMIF(Рўйхат!$A:$A,'Риск йўналишлари'!$B88,Рўйхат!X:X)</f>
        <v/>
      </c>
      <c r="X88" s="18">
        <f>+SUMIF(Рўйхат!$A:$A,'Риск йўналишлари'!$B88,Рўйхат!Y:Y)</f>
        <v/>
      </c>
      <c r="Y88" s="18">
        <f>+SUMIF(Рўйхат!$A:$A,'Риск йўналишлари'!$B88,Рўйхат!Z:Z)</f>
        <v/>
      </c>
      <c r="Z88" s="17">
        <f>+SUMIF(Рўйхат!$A:$A,'Риск йўналишлари'!$B88,Рўйхат!AA:AA)</f>
        <v/>
      </c>
      <c r="AA88" s="18">
        <f>+SUMIF(Рўйхат!$A:$A,'Риск йўналишлари'!$B88,Рўйхат!AB:AB)</f>
        <v/>
      </c>
      <c r="AB88" s="18">
        <f>+SUMIF(Рўйхат!$A:$A,'Риск йўналишлари'!$B88,Рўйхат!AC:AC)</f>
        <v/>
      </c>
      <c r="AC88" s="18">
        <f>+SUMIF(Рўйхат!$A:$A,'Риск йўналишлари'!$B88,Рўйхат!AD:AD)</f>
        <v/>
      </c>
      <c r="AD88" s="18">
        <f>+SUMIF(Рўйхат!$A:$A,'Риск йўналишлари'!$B88,Рўйхат!AE:AE)</f>
        <v/>
      </c>
      <c r="AE88" s="17">
        <f>+SUMIF(Рўйхат!$A:$A,'Риск йўналишлари'!$B88,Рўйхат!AF:AF)</f>
        <v/>
      </c>
      <c r="AF88" s="18">
        <f>+SUMIF(Рўйхат!$A:$A,'Риск йўналишлари'!$B88,Рўйхат!AG:AG)</f>
        <v/>
      </c>
      <c r="AG88" s="18">
        <f>+SUMIF(Рўйхат!$A:$A,'Риск йўналишлари'!$B88,Рўйхат!AH:AH)</f>
        <v/>
      </c>
      <c r="AH88" s="33">
        <f>+SUMIF(Рўйхат!$A:$A,'Риск йўналишлари'!$B88,Рўйхат!AI:AI)</f>
        <v/>
      </c>
      <c r="AI88" s="19">
        <f>+SUMIF(Рўйхат!$A:$A,'Риск йўналишлари'!$B88,Рўйхат!AJ:AJ)</f>
        <v/>
      </c>
    </row>
    <row r="89">
      <c r="A89" s="100" t="n">
        <v>84</v>
      </c>
      <c r="B89" s="46" t="inlineStr">
        <is>
          <t>Дебиторлик рисклари (cooperation)</t>
        </is>
      </c>
      <c r="C89" s="16">
        <f>IFERROR(VLOOKUP(B89,Рўйхат!A:E,5,0),"")</f>
        <v/>
      </c>
      <c r="D89" s="30">
        <f>IFERROR(VLOOKUP(B89,Рўйхат!A:F,6,0),"")</f>
        <v/>
      </c>
      <c r="E89" s="17">
        <f>+SUMIF(Рўйхат!$A:$A,'Риск йўналишлари'!$B89,Рўйхат!G:G)</f>
        <v/>
      </c>
      <c r="F89" s="18">
        <f>+SUMIF(Рўйхат!$A:$A,'Риск йўналишлари'!$B89,Рўйхат!H:H)</f>
        <v/>
      </c>
      <c r="G89" s="18">
        <f>M89</f>
        <v/>
      </c>
      <c r="H89" s="18">
        <f>R89+W89+AB89+AG89</f>
        <v/>
      </c>
      <c r="I89" s="18">
        <f>+SUMIF(Рўйхат!$A:$A,'Риск йўналишлари'!$B89,Рўйхат!J:J)</f>
        <v/>
      </c>
      <c r="J89" s="18">
        <f>+SUMIF(Рўйхат!$A:$A,'Риск йўналишлари'!$B89,Рўйхат!K:K)</f>
        <v/>
      </c>
      <c r="K89" s="17">
        <f>+SUMIF(Рўйхат!$A:$A,'Риск йўналишлари'!$B89,Рўйхат!L:L)</f>
        <v/>
      </c>
      <c r="L89" s="18">
        <f>+SUMIF(Рўйхат!$A:$A,'Риск йўналишлари'!$B89,Рўйхат!M:M)</f>
        <v/>
      </c>
      <c r="M89" s="18">
        <f>+SUMIF(Рўйхат!$A:$A,'Риск йўналишлари'!$B89,Рўйхат!N:N)</f>
        <v/>
      </c>
      <c r="N89" s="18">
        <f>+SUMIF(Рўйхат!$A:$A,'Риск йўналишлари'!$B89,Рўйхат!O:O)</f>
        <v/>
      </c>
      <c r="O89" s="18">
        <f>+SUMIF(Рўйхат!$A:$A,'Риск йўналишлари'!$B89,Рўйхат!P:P)</f>
        <v/>
      </c>
      <c r="P89" s="17">
        <f>+SUMIF(Рўйхат!$A:$A,'Риск йўналишлари'!$B89,Рўйхат!Q:Q)</f>
        <v/>
      </c>
      <c r="Q89" s="18">
        <f>+SUMIF(Рўйхат!$A:$A,'Риск йўналишлари'!$B89,Рўйхат!R:R)</f>
        <v/>
      </c>
      <c r="R89" s="18">
        <f>+SUMIF(Рўйхат!$A:$A,'Риск йўналишлари'!$B89,Рўйхат!S:S)</f>
        <v/>
      </c>
      <c r="S89" s="18">
        <f>+SUMIF(Рўйхат!$A:$A,'Риск йўналишлари'!$B89,Рўйхат!T:T)</f>
        <v/>
      </c>
      <c r="T89" s="18">
        <f>+SUMIF(Рўйхат!$A:$A,'Риск йўналишлари'!$B89,Рўйхат!U:U)</f>
        <v/>
      </c>
      <c r="U89" s="17">
        <f>+SUMIF(Рўйхат!$A:$A,'Риск йўналишлари'!$B89,Рўйхат!V:V)</f>
        <v/>
      </c>
      <c r="V89" s="18">
        <f>+SUMIF(Рўйхат!$A:$A,'Риск йўналишлари'!$B89,Рўйхат!W:W)</f>
        <v/>
      </c>
      <c r="W89" s="18">
        <f>+SUMIF(Рўйхат!$A:$A,'Риск йўналишлари'!$B89,Рўйхат!X:X)</f>
        <v/>
      </c>
      <c r="X89" s="18">
        <f>+SUMIF(Рўйхат!$A:$A,'Риск йўналишлари'!$B89,Рўйхат!Y:Y)</f>
        <v/>
      </c>
      <c r="Y89" s="18">
        <f>+SUMIF(Рўйхат!$A:$A,'Риск йўналишлари'!$B89,Рўйхат!Z:Z)</f>
        <v/>
      </c>
      <c r="Z89" s="17">
        <f>+SUMIF(Рўйхат!$A:$A,'Риск йўналишлари'!$B89,Рўйхат!AA:AA)</f>
        <v/>
      </c>
      <c r="AA89" s="18">
        <f>+SUMIF(Рўйхат!$A:$A,'Риск йўналишлари'!$B89,Рўйхат!AB:AB)</f>
        <v/>
      </c>
      <c r="AB89" s="18">
        <f>+SUMIF(Рўйхат!$A:$A,'Риск йўналишлари'!$B89,Рўйхат!AC:AC)</f>
        <v/>
      </c>
      <c r="AC89" s="18">
        <f>+SUMIF(Рўйхат!$A:$A,'Риск йўналишлари'!$B89,Рўйхат!AD:AD)</f>
        <v/>
      </c>
      <c r="AD89" s="18">
        <f>+SUMIF(Рўйхат!$A:$A,'Риск йўналишлари'!$B89,Рўйхат!AE:AE)</f>
        <v/>
      </c>
      <c r="AE89" s="17">
        <f>+SUMIF(Рўйхат!$A:$A,'Риск йўналишлари'!$B89,Рўйхат!AF:AF)</f>
        <v/>
      </c>
      <c r="AF89" s="18">
        <f>+SUMIF(Рўйхат!$A:$A,'Риск йўналишлари'!$B89,Рўйхат!AG:AG)</f>
        <v/>
      </c>
      <c r="AG89" s="18">
        <f>+SUMIF(Рўйхат!$A:$A,'Риск йўналишлари'!$B89,Рўйхат!AH:AH)</f>
        <v/>
      </c>
      <c r="AH89" s="33">
        <f>+SUMIF(Рўйхат!$A:$A,'Риск йўналишлари'!$B89,Рўйхат!AI:AI)</f>
        <v/>
      </c>
      <c r="AI89" s="19">
        <f>+SUMIF(Рўйхат!$A:$A,'Риск йўналишлари'!$B89,Рўйхат!AJ:AJ)</f>
        <v/>
      </c>
    </row>
    <row r="90">
      <c r="A90" s="100" t="n">
        <v>85</v>
      </c>
      <c r="B90" s="46" t="inlineStr">
        <is>
          <t>Марказий банкда манфаатлар тўқнашуви</t>
        </is>
      </c>
      <c r="C90" s="16">
        <f>IFERROR(VLOOKUP(B90,Рўйхат!A:E,5,0),"")</f>
        <v/>
      </c>
      <c r="D90" s="30">
        <f>IFERROR(VLOOKUP(B90,Рўйхат!A:F,6,0),"")</f>
        <v/>
      </c>
      <c r="E90" s="17">
        <f>+SUMIF(Рўйхат!$A:$A,'Риск йўналишлари'!$B90,Рўйхат!G:G)</f>
        <v/>
      </c>
      <c r="F90" s="18">
        <f>+SUMIF(Рўйхат!$A:$A,'Риск йўналишлари'!$B90,Рўйхат!H:H)</f>
        <v/>
      </c>
      <c r="G90" s="18">
        <f>M90</f>
        <v/>
      </c>
      <c r="H90" s="18">
        <f>R90+W90+AB90+AG90</f>
        <v/>
      </c>
      <c r="I90" s="18">
        <f>+SUMIF(Рўйхат!$A:$A,'Риск йўналишлари'!$B90,Рўйхат!J:J)</f>
        <v/>
      </c>
      <c r="J90" s="18">
        <f>+SUMIF(Рўйхат!$A:$A,'Риск йўналишлари'!$B90,Рўйхат!K:K)</f>
        <v/>
      </c>
      <c r="K90" s="17">
        <f>+SUMIF(Рўйхат!$A:$A,'Риск йўналишлари'!$B90,Рўйхат!L:L)</f>
        <v/>
      </c>
      <c r="L90" s="18">
        <f>+SUMIF(Рўйхат!$A:$A,'Риск йўналишлари'!$B90,Рўйхат!M:M)</f>
        <v/>
      </c>
      <c r="M90" s="18">
        <f>+SUMIF(Рўйхат!$A:$A,'Риск йўналишлари'!$B90,Рўйхат!N:N)</f>
        <v/>
      </c>
      <c r="N90" s="18">
        <f>+SUMIF(Рўйхат!$A:$A,'Риск йўналишлари'!$B90,Рўйхат!O:O)</f>
        <v/>
      </c>
      <c r="O90" s="18">
        <f>+SUMIF(Рўйхат!$A:$A,'Риск йўналишлари'!$B90,Рўйхат!P:P)</f>
        <v/>
      </c>
      <c r="P90" s="17">
        <f>+SUMIF(Рўйхат!$A:$A,'Риск йўналишлари'!$B90,Рўйхат!Q:Q)</f>
        <v/>
      </c>
      <c r="Q90" s="18">
        <f>+SUMIF(Рўйхат!$A:$A,'Риск йўналишлари'!$B90,Рўйхат!R:R)</f>
        <v/>
      </c>
      <c r="R90" s="18">
        <f>+SUMIF(Рўйхат!$A:$A,'Риск йўналишлари'!$B90,Рўйхат!S:S)</f>
        <v/>
      </c>
      <c r="S90" s="18">
        <f>+SUMIF(Рўйхат!$A:$A,'Риск йўналишлари'!$B90,Рўйхат!T:T)</f>
        <v/>
      </c>
      <c r="T90" s="18">
        <f>+SUMIF(Рўйхат!$A:$A,'Риск йўналишлари'!$B90,Рўйхат!U:U)</f>
        <v/>
      </c>
      <c r="U90" s="17">
        <f>+SUMIF(Рўйхат!$A:$A,'Риск йўналишлари'!$B90,Рўйхат!V:V)</f>
        <v/>
      </c>
      <c r="V90" s="18">
        <f>+SUMIF(Рўйхат!$A:$A,'Риск йўналишлари'!$B90,Рўйхат!W:W)</f>
        <v/>
      </c>
      <c r="W90" s="18">
        <f>+SUMIF(Рўйхат!$A:$A,'Риск йўналишлари'!$B90,Рўйхат!X:X)</f>
        <v/>
      </c>
      <c r="X90" s="18">
        <f>+SUMIF(Рўйхат!$A:$A,'Риск йўналишлари'!$B90,Рўйхат!Y:Y)</f>
        <v/>
      </c>
      <c r="Y90" s="18">
        <f>+SUMIF(Рўйхат!$A:$A,'Риск йўналишлари'!$B90,Рўйхат!Z:Z)</f>
        <v/>
      </c>
      <c r="Z90" s="17">
        <f>+SUMIF(Рўйхат!$A:$A,'Риск йўналишлари'!$B90,Рўйхат!AA:AA)</f>
        <v/>
      </c>
      <c r="AA90" s="18">
        <f>+SUMIF(Рўйхат!$A:$A,'Риск йўналишлари'!$B90,Рўйхат!AB:AB)</f>
        <v/>
      </c>
      <c r="AB90" s="18">
        <f>+SUMIF(Рўйхат!$A:$A,'Риск йўналишлари'!$B90,Рўйхат!AC:AC)</f>
        <v/>
      </c>
      <c r="AC90" s="18">
        <f>+SUMIF(Рўйхат!$A:$A,'Риск йўналишлари'!$B90,Рўйхат!AD:AD)</f>
        <v/>
      </c>
      <c r="AD90" s="18">
        <f>+SUMIF(Рўйхат!$A:$A,'Риск йўналишлари'!$B90,Рўйхат!AE:AE)</f>
        <v/>
      </c>
      <c r="AE90" s="17">
        <f>+SUMIF(Рўйхат!$A:$A,'Риск йўналишлари'!$B90,Рўйхат!AF:AF)</f>
        <v/>
      </c>
      <c r="AF90" s="18">
        <f>+SUMIF(Рўйхат!$A:$A,'Риск йўналишлари'!$B90,Рўйхат!AG:AG)</f>
        <v/>
      </c>
      <c r="AG90" s="18">
        <f>+SUMIF(Рўйхат!$A:$A,'Риск йўналишлари'!$B90,Рўйхат!AH:AH)</f>
        <v/>
      </c>
      <c r="AH90" s="33">
        <f>+SUMIF(Рўйхат!$A:$A,'Риск йўналишлари'!$B90,Рўйхат!AI:AI)</f>
        <v/>
      </c>
      <c r="AI90" s="19">
        <f>+SUMIF(Рўйхат!$A:$A,'Риск йўналишлари'!$B90,Рўйхат!AJ:AJ)</f>
        <v/>
      </c>
    </row>
    <row r="91">
      <c r="A91" s="100" t="n">
        <v>86</v>
      </c>
      <c r="B91" s="46" t="inlineStr">
        <is>
          <t>Шартномаларда тўланиши назарда тутилмаган талабаларга стипендия тўлаб берилганлиги таҳлили</t>
        </is>
      </c>
      <c r="C91" s="16">
        <f>IFERROR(VLOOKUP(B91,Рўйхат!A:E,5,0),"")</f>
        <v/>
      </c>
      <c r="D91" s="30">
        <f>IFERROR(VLOOKUP(B91,Рўйхат!A:F,6,0),"")</f>
        <v/>
      </c>
      <c r="E91" s="17">
        <f>+SUMIF(Рўйхат!$A:$A,'Риск йўналишлари'!$B91,Рўйхат!G:G)</f>
        <v/>
      </c>
      <c r="F91" s="18">
        <f>+SUMIF(Рўйхат!$A:$A,'Риск йўналишлари'!$B91,Рўйхат!H:H)</f>
        <v/>
      </c>
      <c r="G91" s="18">
        <f>M91</f>
        <v/>
      </c>
      <c r="H91" s="18">
        <f>R91+W91+AB91+AG91</f>
        <v/>
      </c>
      <c r="I91" s="18">
        <f>+SUMIF(Рўйхат!$A:$A,'Риск йўналишлари'!$B91,Рўйхат!J:J)</f>
        <v/>
      </c>
      <c r="J91" s="18">
        <f>+SUMIF(Рўйхат!$A:$A,'Риск йўналишлари'!$B91,Рўйхат!K:K)</f>
        <v/>
      </c>
      <c r="K91" s="17">
        <f>+SUMIF(Рўйхат!$A:$A,'Риск йўналишлари'!$B91,Рўйхат!L:L)</f>
        <v/>
      </c>
      <c r="L91" s="18">
        <f>+SUMIF(Рўйхат!$A:$A,'Риск йўналишлари'!$B91,Рўйхат!M:M)</f>
        <v/>
      </c>
      <c r="M91" s="18">
        <f>+SUMIF(Рўйхат!$A:$A,'Риск йўналишлари'!$B91,Рўйхат!N:N)</f>
        <v/>
      </c>
      <c r="N91" s="18">
        <f>+SUMIF(Рўйхат!$A:$A,'Риск йўналишлари'!$B91,Рўйхат!O:O)</f>
        <v/>
      </c>
      <c r="O91" s="18">
        <f>+SUMIF(Рўйхат!$A:$A,'Риск йўналишлари'!$B91,Рўйхат!P:P)</f>
        <v/>
      </c>
      <c r="P91" s="17">
        <f>+SUMIF(Рўйхат!$A:$A,'Риск йўналишлари'!$B91,Рўйхат!Q:Q)</f>
        <v/>
      </c>
      <c r="Q91" s="18">
        <f>+SUMIF(Рўйхат!$A:$A,'Риск йўналишлари'!$B91,Рўйхат!R:R)</f>
        <v/>
      </c>
      <c r="R91" s="18">
        <f>+SUMIF(Рўйхат!$A:$A,'Риск йўналишлари'!$B91,Рўйхат!S:S)</f>
        <v/>
      </c>
      <c r="S91" s="18">
        <f>+SUMIF(Рўйхат!$A:$A,'Риск йўналишлари'!$B91,Рўйхат!T:T)</f>
        <v/>
      </c>
      <c r="T91" s="18">
        <f>+SUMIF(Рўйхат!$A:$A,'Риск йўналишлари'!$B91,Рўйхат!U:U)</f>
        <v/>
      </c>
      <c r="U91" s="17">
        <f>+SUMIF(Рўйхат!$A:$A,'Риск йўналишлари'!$B91,Рўйхат!V:V)</f>
        <v/>
      </c>
      <c r="V91" s="18">
        <f>+SUMIF(Рўйхат!$A:$A,'Риск йўналишлари'!$B91,Рўйхат!W:W)</f>
        <v/>
      </c>
      <c r="W91" s="18">
        <f>+SUMIF(Рўйхат!$A:$A,'Риск йўналишлари'!$B91,Рўйхат!X:X)</f>
        <v/>
      </c>
      <c r="X91" s="18">
        <f>+SUMIF(Рўйхат!$A:$A,'Риск йўналишлари'!$B91,Рўйхат!Y:Y)</f>
        <v/>
      </c>
      <c r="Y91" s="18">
        <f>+SUMIF(Рўйхат!$A:$A,'Риск йўналишлари'!$B91,Рўйхат!Z:Z)</f>
        <v/>
      </c>
      <c r="Z91" s="17">
        <f>+SUMIF(Рўйхат!$A:$A,'Риск йўналишлари'!$B91,Рўйхат!AA:AA)</f>
        <v/>
      </c>
      <c r="AA91" s="18">
        <f>+SUMIF(Рўйхат!$A:$A,'Риск йўналишлари'!$B91,Рўйхат!AB:AB)</f>
        <v/>
      </c>
      <c r="AB91" s="18">
        <f>+SUMIF(Рўйхат!$A:$A,'Риск йўналишлари'!$B91,Рўйхат!AC:AC)</f>
        <v/>
      </c>
      <c r="AC91" s="18">
        <f>+SUMIF(Рўйхат!$A:$A,'Риск йўналишлари'!$B91,Рўйхат!AD:AD)</f>
        <v/>
      </c>
      <c r="AD91" s="18">
        <f>+SUMIF(Рўйхат!$A:$A,'Риск йўналишлари'!$B91,Рўйхат!AE:AE)</f>
        <v/>
      </c>
      <c r="AE91" s="17">
        <f>+SUMIF(Рўйхат!$A:$A,'Риск йўналишлари'!$B91,Рўйхат!AF:AF)</f>
        <v/>
      </c>
      <c r="AF91" s="18">
        <f>+SUMIF(Рўйхат!$A:$A,'Риск йўналишлари'!$B91,Рўйхат!AG:AG)</f>
        <v/>
      </c>
      <c r="AG91" s="18">
        <f>+SUMIF(Рўйхат!$A:$A,'Риск йўналишлари'!$B91,Рўйхат!AH:AH)</f>
        <v/>
      </c>
      <c r="AH91" s="33">
        <f>+SUMIF(Рўйхат!$A:$A,'Риск йўналишлари'!$B91,Рўйхат!AI:AI)</f>
        <v/>
      </c>
      <c r="AI91" s="19">
        <f>+SUMIF(Рўйхат!$A:$A,'Риск йўналишлари'!$B91,Рўйхат!AJ:AJ)</f>
        <v/>
      </c>
    </row>
    <row r="92">
      <c r="A92" s="100" t="n">
        <v>87</v>
      </c>
      <c r="B92" s="46" t="inlineStr">
        <is>
          <t>Бир йилда икки ва ундан ортиқ моддий ёрдам берилган ҳолатлар</t>
        </is>
      </c>
      <c r="C92" s="16">
        <f>IFERROR(VLOOKUP(B92,Рўйхат!A:E,5,0),"")</f>
        <v/>
      </c>
      <c r="D92" s="30">
        <f>IFERROR(VLOOKUP(B92,Рўйхат!A:F,6,0),"")</f>
        <v/>
      </c>
      <c r="E92" s="17">
        <f>+SUMIF(Рўйхат!$A:$A,'Риск йўналишлари'!$B92,Рўйхат!G:G)</f>
        <v/>
      </c>
      <c r="F92" s="18">
        <f>+SUMIF(Рўйхат!$A:$A,'Риск йўналишлари'!$B92,Рўйхат!H:H)</f>
        <v/>
      </c>
      <c r="G92" s="18">
        <f>M92</f>
        <v/>
      </c>
      <c r="H92" s="18">
        <f>R92+W92+AB92+AG92</f>
        <v/>
      </c>
      <c r="I92" s="18">
        <f>+SUMIF(Рўйхат!$A:$A,'Риск йўналишлари'!$B92,Рўйхат!J:J)</f>
        <v/>
      </c>
      <c r="J92" s="18">
        <f>+SUMIF(Рўйхат!$A:$A,'Риск йўналишлари'!$B92,Рўйхат!K:K)</f>
        <v/>
      </c>
      <c r="K92" s="17">
        <f>+SUMIF(Рўйхат!$A:$A,'Риск йўналишлари'!$B92,Рўйхат!L:L)</f>
        <v/>
      </c>
      <c r="L92" s="18">
        <f>+SUMIF(Рўйхат!$A:$A,'Риск йўналишлари'!$B92,Рўйхат!M:M)</f>
        <v/>
      </c>
      <c r="M92" s="18">
        <f>+SUMIF(Рўйхат!$A:$A,'Риск йўналишлари'!$B92,Рўйхат!N:N)</f>
        <v/>
      </c>
      <c r="N92" s="18">
        <f>+SUMIF(Рўйхат!$A:$A,'Риск йўналишлари'!$B92,Рўйхат!O:O)</f>
        <v/>
      </c>
      <c r="O92" s="18">
        <f>+SUMIF(Рўйхат!$A:$A,'Риск йўналишлари'!$B92,Рўйхат!P:P)</f>
        <v/>
      </c>
      <c r="P92" s="17">
        <f>+SUMIF(Рўйхат!$A:$A,'Риск йўналишлари'!$B92,Рўйхат!Q:Q)</f>
        <v/>
      </c>
      <c r="Q92" s="18">
        <f>+SUMIF(Рўйхат!$A:$A,'Риск йўналишлари'!$B92,Рўйхат!R:R)</f>
        <v/>
      </c>
      <c r="R92" s="18">
        <f>+SUMIF(Рўйхат!$A:$A,'Риск йўналишлари'!$B92,Рўйхат!S:S)</f>
        <v/>
      </c>
      <c r="S92" s="18">
        <f>+SUMIF(Рўйхат!$A:$A,'Риск йўналишлари'!$B92,Рўйхат!T:T)</f>
        <v/>
      </c>
      <c r="T92" s="18">
        <f>+SUMIF(Рўйхат!$A:$A,'Риск йўналишлари'!$B92,Рўйхат!U:U)</f>
        <v/>
      </c>
      <c r="U92" s="17">
        <f>+SUMIF(Рўйхат!$A:$A,'Риск йўналишлари'!$B92,Рўйхат!V:V)</f>
        <v/>
      </c>
      <c r="V92" s="18">
        <f>+SUMIF(Рўйхат!$A:$A,'Риск йўналишлари'!$B92,Рўйхат!W:W)</f>
        <v/>
      </c>
      <c r="W92" s="18">
        <f>+SUMIF(Рўйхат!$A:$A,'Риск йўналишлари'!$B92,Рўйхат!X:X)</f>
        <v/>
      </c>
      <c r="X92" s="18">
        <f>+SUMIF(Рўйхат!$A:$A,'Риск йўналишлари'!$B92,Рўйхат!Y:Y)</f>
        <v/>
      </c>
      <c r="Y92" s="18">
        <f>+SUMIF(Рўйхат!$A:$A,'Риск йўналишлари'!$B92,Рўйхат!Z:Z)</f>
        <v/>
      </c>
      <c r="Z92" s="17">
        <f>+SUMIF(Рўйхат!$A:$A,'Риск йўналишлари'!$B92,Рўйхат!AA:AA)</f>
        <v/>
      </c>
      <c r="AA92" s="18">
        <f>+SUMIF(Рўйхат!$A:$A,'Риск йўналишлари'!$B92,Рўйхат!AB:AB)</f>
        <v/>
      </c>
      <c r="AB92" s="18">
        <f>+SUMIF(Рўйхат!$A:$A,'Риск йўналишлари'!$B92,Рўйхат!AC:AC)</f>
        <v/>
      </c>
      <c r="AC92" s="18">
        <f>+SUMIF(Рўйхат!$A:$A,'Риск йўналишлари'!$B92,Рўйхат!AD:AD)</f>
        <v/>
      </c>
      <c r="AD92" s="18">
        <f>+SUMIF(Рўйхат!$A:$A,'Риск йўналишлари'!$B92,Рўйхат!AE:AE)</f>
        <v/>
      </c>
      <c r="AE92" s="17">
        <f>+SUMIF(Рўйхат!$A:$A,'Риск йўналишлари'!$B92,Рўйхат!AF:AF)</f>
        <v/>
      </c>
      <c r="AF92" s="18">
        <f>+SUMIF(Рўйхат!$A:$A,'Риск йўналишлари'!$B92,Рўйхат!AG:AG)</f>
        <v/>
      </c>
      <c r="AG92" s="18">
        <f>+SUMIF(Рўйхат!$A:$A,'Риск йўналишлари'!$B92,Рўйхат!AH:AH)</f>
        <v/>
      </c>
      <c r="AH92" s="33">
        <f>+SUMIF(Рўйхат!$A:$A,'Риск йўналишлари'!$B92,Рўйхат!AI:AI)</f>
        <v/>
      </c>
      <c r="AI92" s="19">
        <f>+SUMIF(Рўйхат!$A:$A,'Риск йўналишлари'!$B92,Рўйхат!AJ:AJ)</f>
        <v/>
      </c>
    </row>
    <row r="93">
      <c r="A93" s="100" t="n">
        <v>88</v>
      </c>
      <c r="B93" s="46" t="inlineStr">
        <is>
          <t xml:space="preserve">E-auksion орқали нархи ошган харидлар </t>
        </is>
      </c>
      <c r="C93" s="16">
        <f>IFERROR(VLOOKUP(B93,Рўйхат!A:E,5,0),"")</f>
        <v/>
      </c>
      <c r="D93" s="30">
        <f>IFERROR(VLOOKUP(B93,Рўйхат!A:F,6,0),"")</f>
        <v/>
      </c>
      <c r="E93" s="17">
        <f>+SUMIF(Рўйхат!$A:$A,'Риск йўналишлари'!$B93,Рўйхат!G:G)</f>
        <v/>
      </c>
      <c r="F93" s="18">
        <f>+SUMIF(Рўйхат!$A:$A,'Риск йўналишлари'!$B93,Рўйхат!H:H)</f>
        <v/>
      </c>
      <c r="G93" s="18">
        <f>M93</f>
        <v/>
      </c>
      <c r="H93" s="18">
        <f>R93+W93+AB93+AG93</f>
        <v/>
      </c>
      <c r="I93" s="18">
        <f>+SUMIF(Рўйхат!$A:$A,'Риск йўналишлари'!$B93,Рўйхат!J:J)</f>
        <v/>
      </c>
      <c r="J93" s="18">
        <f>+SUMIF(Рўйхат!$A:$A,'Риск йўналишлари'!$B93,Рўйхат!K:K)</f>
        <v/>
      </c>
      <c r="K93" s="17">
        <f>+SUMIF(Рўйхат!$A:$A,'Риск йўналишлари'!$B93,Рўйхат!L:L)</f>
        <v/>
      </c>
      <c r="L93" s="18">
        <f>+SUMIF(Рўйхат!$A:$A,'Риск йўналишлари'!$B93,Рўйхат!M:M)</f>
        <v/>
      </c>
      <c r="M93" s="18">
        <f>+SUMIF(Рўйхат!$A:$A,'Риск йўналишлари'!$B93,Рўйхат!N:N)</f>
        <v/>
      </c>
      <c r="N93" s="18">
        <f>+SUMIF(Рўйхат!$A:$A,'Риск йўналишлари'!$B93,Рўйхат!O:O)</f>
        <v/>
      </c>
      <c r="O93" s="18">
        <f>+SUMIF(Рўйхат!$A:$A,'Риск йўналишлари'!$B93,Рўйхат!P:P)</f>
        <v/>
      </c>
      <c r="P93" s="17">
        <f>+SUMIF(Рўйхат!$A:$A,'Риск йўналишлари'!$B93,Рўйхат!Q:Q)</f>
        <v/>
      </c>
      <c r="Q93" s="18">
        <f>+SUMIF(Рўйхат!$A:$A,'Риск йўналишлари'!$B93,Рўйхат!R:R)</f>
        <v/>
      </c>
      <c r="R93" s="18">
        <f>+SUMIF(Рўйхат!$A:$A,'Риск йўналишлари'!$B93,Рўйхат!S:S)</f>
        <v/>
      </c>
      <c r="S93" s="18">
        <f>+SUMIF(Рўйхат!$A:$A,'Риск йўналишлари'!$B93,Рўйхат!T:T)</f>
        <v/>
      </c>
      <c r="T93" s="18">
        <f>+SUMIF(Рўйхат!$A:$A,'Риск йўналишлари'!$B93,Рўйхат!U:U)</f>
        <v/>
      </c>
      <c r="U93" s="17">
        <f>+SUMIF(Рўйхат!$A:$A,'Риск йўналишлари'!$B93,Рўйхат!V:V)</f>
        <v/>
      </c>
      <c r="V93" s="18">
        <f>+SUMIF(Рўйхат!$A:$A,'Риск йўналишлари'!$B93,Рўйхат!W:W)</f>
        <v/>
      </c>
      <c r="W93" s="18">
        <f>+SUMIF(Рўйхат!$A:$A,'Риск йўналишлари'!$B93,Рўйхат!X:X)</f>
        <v/>
      </c>
      <c r="X93" s="18">
        <f>+SUMIF(Рўйхат!$A:$A,'Риск йўналишлари'!$B93,Рўйхат!Y:Y)</f>
        <v/>
      </c>
      <c r="Y93" s="18">
        <f>+SUMIF(Рўйхат!$A:$A,'Риск йўналишлари'!$B93,Рўйхат!Z:Z)</f>
        <v/>
      </c>
      <c r="Z93" s="17">
        <f>+SUMIF(Рўйхат!$A:$A,'Риск йўналишлари'!$B93,Рўйхат!AA:AA)</f>
        <v/>
      </c>
      <c r="AA93" s="18">
        <f>+SUMIF(Рўйхат!$A:$A,'Риск йўналишлари'!$B93,Рўйхат!AB:AB)</f>
        <v/>
      </c>
      <c r="AB93" s="18">
        <f>+SUMIF(Рўйхат!$A:$A,'Риск йўналишлари'!$B93,Рўйхат!AC:AC)</f>
        <v/>
      </c>
      <c r="AC93" s="18">
        <f>+SUMIF(Рўйхат!$A:$A,'Риск йўналишлари'!$B93,Рўйхат!AD:AD)</f>
        <v/>
      </c>
      <c r="AD93" s="18">
        <f>+SUMIF(Рўйхат!$A:$A,'Риск йўналишлари'!$B93,Рўйхат!AE:AE)</f>
        <v/>
      </c>
      <c r="AE93" s="17">
        <f>+SUMIF(Рўйхат!$A:$A,'Риск йўналишлари'!$B93,Рўйхат!AF:AF)</f>
        <v/>
      </c>
      <c r="AF93" s="18">
        <f>+SUMIF(Рўйхат!$A:$A,'Риск йўналишлари'!$B93,Рўйхат!AG:AG)</f>
        <v/>
      </c>
      <c r="AG93" s="18">
        <f>+SUMIF(Рўйхат!$A:$A,'Риск йўналишлари'!$B93,Рўйхат!AH:AH)</f>
        <v/>
      </c>
      <c r="AH93" s="33">
        <f>+SUMIF(Рўйхат!$A:$A,'Риск йўналишлари'!$B93,Рўйхат!AI:AI)</f>
        <v/>
      </c>
      <c r="AI93" s="19">
        <f>+SUMIF(Рўйхат!$A:$A,'Риск йўналишлари'!$B93,Рўйхат!AJ:AJ)</f>
        <v/>
      </c>
    </row>
    <row r="94">
      <c r="A94" s="100" t="n">
        <v>89</v>
      </c>
      <c r="B94" s="46" t="inlineStr">
        <is>
          <t>Имтиёзли кредитлар ҳисобига товар (иш, хизмат) реализация қилган субъектлар таҳлили</t>
        </is>
      </c>
      <c r="C94" s="16">
        <f>IFERROR(VLOOKUP(B94,Рўйхат!A:E,5,0),"")</f>
        <v/>
      </c>
      <c r="D94" s="30">
        <f>IFERROR(VLOOKUP(B94,Рўйхат!A:F,6,0),"")</f>
        <v/>
      </c>
      <c r="E94" s="17">
        <f>+SUMIF(Рўйхат!$A:$A,'Риск йўналишлари'!$B94,Рўйхат!G:G)</f>
        <v/>
      </c>
      <c r="F94" s="18">
        <f>+SUMIF(Рўйхат!$A:$A,'Риск йўналишлари'!$B94,Рўйхат!H:H)</f>
        <v/>
      </c>
      <c r="G94" s="18">
        <f>M94</f>
        <v/>
      </c>
      <c r="H94" s="18">
        <f>R94+W94+AB94+AG94</f>
        <v/>
      </c>
      <c r="I94" s="18">
        <f>+SUMIF(Рўйхат!$A:$A,'Риск йўналишлари'!$B94,Рўйхат!J:J)</f>
        <v/>
      </c>
      <c r="J94" s="18">
        <f>+SUMIF(Рўйхат!$A:$A,'Риск йўналишлари'!$B94,Рўйхат!K:K)</f>
        <v/>
      </c>
      <c r="K94" s="17">
        <f>+SUMIF(Рўйхат!$A:$A,'Риск йўналишлари'!$B94,Рўйхат!L:L)</f>
        <v/>
      </c>
      <c r="L94" s="18">
        <f>+SUMIF(Рўйхат!$A:$A,'Риск йўналишлари'!$B94,Рўйхат!M:M)</f>
        <v/>
      </c>
      <c r="M94" s="18">
        <f>+SUMIF(Рўйхат!$A:$A,'Риск йўналишлари'!$B94,Рўйхат!N:N)</f>
        <v/>
      </c>
      <c r="N94" s="18">
        <f>+SUMIF(Рўйхат!$A:$A,'Риск йўналишлари'!$B94,Рўйхат!O:O)</f>
        <v/>
      </c>
      <c r="O94" s="18">
        <f>+SUMIF(Рўйхат!$A:$A,'Риск йўналишлари'!$B94,Рўйхат!P:P)</f>
        <v/>
      </c>
      <c r="P94" s="17">
        <f>+SUMIF(Рўйхат!$A:$A,'Риск йўналишлари'!$B94,Рўйхат!Q:Q)</f>
        <v/>
      </c>
      <c r="Q94" s="18">
        <f>+SUMIF(Рўйхат!$A:$A,'Риск йўналишлари'!$B94,Рўйхат!R:R)</f>
        <v/>
      </c>
      <c r="R94" s="18">
        <f>+SUMIF(Рўйхат!$A:$A,'Риск йўналишлари'!$B94,Рўйхат!S:S)</f>
        <v/>
      </c>
      <c r="S94" s="18">
        <f>+SUMIF(Рўйхат!$A:$A,'Риск йўналишлари'!$B94,Рўйхат!T:T)</f>
        <v/>
      </c>
      <c r="T94" s="18">
        <f>+SUMIF(Рўйхат!$A:$A,'Риск йўналишлари'!$B94,Рўйхат!U:U)</f>
        <v/>
      </c>
      <c r="U94" s="17">
        <f>+SUMIF(Рўйхат!$A:$A,'Риск йўналишлари'!$B94,Рўйхат!V:V)</f>
        <v/>
      </c>
      <c r="V94" s="18">
        <f>+SUMIF(Рўйхат!$A:$A,'Риск йўналишлари'!$B94,Рўйхат!W:W)</f>
        <v/>
      </c>
      <c r="W94" s="18">
        <f>+SUMIF(Рўйхат!$A:$A,'Риск йўналишлари'!$B94,Рўйхат!X:X)</f>
        <v/>
      </c>
      <c r="X94" s="18">
        <f>+SUMIF(Рўйхат!$A:$A,'Риск йўналишлари'!$B94,Рўйхат!Y:Y)</f>
        <v/>
      </c>
      <c r="Y94" s="18">
        <f>+SUMIF(Рўйхат!$A:$A,'Риск йўналишлари'!$B94,Рўйхат!Z:Z)</f>
        <v/>
      </c>
      <c r="Z94" s="17">
        <f>+SUMIF(Рўйхат!$A:$A,'Риск йўналишлари'!$B94,Рўйхат!AA:AA)</f>
        <v/>
      </c>
      <c r="AA94" s="18">
        <f>+SUMIF(Рўйхат!$A:$A,'Риск йўналишлари'!$B94,Рўйхат!AB:AB)</f>
        <v/>
      </c>
      <c r="AB94" s="18">
        <f>+SUMIF(Рўйхат!$A:$A,'Риск йўналишлари'!$B94,Рўйхат!AC:AC)</f>
        <v/>
      </c>
      <c r="AC94" s="18">
        <f>+SUMIF(Рўйхат!$A:$A,'Риск йўналишлари'!$B94,Рўйхат!AD:AD)</f>
        <v/>
      </c>
      <c r="AD94" s="18">
        <f>+SUMIF(Рўйхат!$A:$A,'Риск йўналишлари'!$B94,Рўйхат!AE:AE)</f>
        <v/>
      </c>
      <c r="AE94" s="17">
        <f>+SUMIF(Рўйхат!$A:$A,'Риск йўналишлари'!$B94,Рўйхат!AF:AF)</f>
        <v/>
      </c>
      <c r="AF94" s="18">
        <f>+SUMIF(Рўйхат!$A:$A,'Риск йўналишлари'!$B94,Рўйхат!AG:AG)</f>
        <v/>
      </c>
      <c r="AG94" s="18">
        <f>+SUMIF(Рўйхат!$A:$A,'Риск йўналишлари'!$B94,Рўйхат!AH:AH)</f>
        <v/>
      </c>
      <c r="AH94" s="33">
        <f>+SUMIF(Рўйхат!$A:$A,'Риск йўналишлари'!$B94,Рўйхат!AI:AI)</f>
        <v/>
      </c>
      <c r="AI94" s="19">
        <f>+SUMIF(Рўйхат!$A:$A,'Риск йўналишлари'!$B94,Рўйхат!AJ:AJ)</f>
        <v/>
      </c>
    </row>
    <row r="95">
      <c r="A95" s="100" t="n">
        <v>90</v>
      </c>
      <c r="B95" s="46" t="inlineStr">
        <is>
          <t>Ишлаб чиқариш фаолиятини амалга ошириш учун етарли ресурсларга эга бўлмаган корхоналар томонидан маҳаллий ишлаб чиқарувчи сифатида фаолият юритиш хавфи</t>
        </is>
      </c>
      <c r="C95" s="16">
        <f>IFERROR(VLOOKUP(B95,Рўйхат!A:E,5,0),"")</f>
        <v/>
      </c>
      <c r="D95" s="30">
        <f>IFERROR(VLOOKUP(B95,Рўйхат!A:F,6,0),"")</f>
        <v/>
      </c>
      <c r="E95" s="17">
        <f>+SUMIF(Рўйхат!$A:$A,'Риск йўналишлари'!$B95,Рўйхат!G:G)</f>
        <v/>
      </c>
      <c r="F95" s="18">
        <f>+SUMIF(Рўйхат!$A:$A,'Риск йўналишлари'!$B95,Рўйхат!H:H)</f>
        <v/>
      </c>
      <c r="G95" s="18">
        <f>M95</f>
        <v/>
      </c>
      <c r="H95" s="18">
        <f>R95+W95+AB95+AG95</f>
        <v/>
      </c>
      <c r="I95" s="18">
        <f>+SUMIF(Рўйхат!$A:$A,'Риск йўналишлари'!$B95,Рўйхат!J:J)</f>
        <v/>
      </c>
      <c r="J95" s="18">
        <f>+SUMIF(Рўйхат!$A:$A,'Риск йўналишлари'!$B95,Рўйхат!K:K)</f>
        <v/>
      </c>
      <c r="K95" s="17">
        <f>+SUMIF(Рўйхат!$A:$A,'Риск йўналишлари'!$B95,Рўйхат!L:L)</f>
        <v/>
      </c>
      <c r="L95" s="18">
        <f>+SUMIF(Рўйхат!$A:$A,'Риск йўналишлари'!$B95,Рўйхат!M:M)</f>
        <v/>
      </c>
      <c r="M95" s="18">
        <f>+SUMIF(Рўйхат!$A:$A,'Риск йўналишлари'!$B95,Рўйхат!N:N)</f>
        <v/>
      </c>
      <c r="N95" s="18">
        <f>+SUMIF(Рўйхат!$A:$A,'Риск йўналишлари'!$B95,Рўйхат!O:O)</f>
        <v/>
      </c>
      <c r="O95" s="18">
        <f>+SUMIF(Рўйхат!$A:$A,'Риск йўналишлари'!$B95,Рўйхат!P:P)</f>
        <v/>
      </c>
      <c r="P95" s="17">
        <f>+SUMIF(Рўйхат!$A:$A,'Риск йўналишлари'!$B95,Рўйхат!Q:Q)</f>
        <v/>
      </c>
      <c r="Q95" s="18">
        <f>+SUMIF(Рўйхат!$A:$A,'Риск йўналишлари'!$B95,Рўйхат!R:R)</f>
        <v/>
      </c>
      <c r="R95" s="18">
        <f>+SUMIF(Рўйхат!$A:$A,'Риск йўналишлари'!$B95,Рўйхат!S:S)</f>
        <v/>
      </c>
      <c r="S95" s="18">
        <f>+SUMIF(Рўйхат!$A:$A,'Риск йўналишлари'!$B95,Рўйхат!T:T)</f>
        <v/>
      </c>
      <c r="T95" s="18">
        <f>+SUMIF(Рўйхат!$A:$A,'Риск йўналишлари'!$B95,Рўйхат!U:U)</f>
        <v/>
      </c>
      <c r="U95" s="17">
        <f>+SUMIF(Рўйхат!$A:$A,'Риск йўналишлари'!$B95,Рўйхат!V:V)</f>
        <v/>
      </c>
      <c r="V95" s="18">
        <f>+SUMIF(Рўйхат!$A:$A,'Риск йўналишлари'!$B95,Рўйхат!W:W)</f>
        <v/>
      </c>
      <c r="W95" s="18">
        <f>+SUMIF(Рўйхат!$A:$A,'Риск йўналишлари'!$B95,Рўйхат!X:X)</f>
        <v/>
      </c>
      <c r="X95" s="18">
        <f>+SUMIF(Рўйхат!$A:$A,'Риск йўналишлари'!$B95,Рўйхат!Y:Y)</f>
        <v/>
      </c>
      <c r="Y95" s="18">
        <f>+SUMIF(Рўйхат!$A:$A,'Риск йўналишлари'!$B95,Рўйхат!Z:Z)</f>
        <v/>
      </c>
      <c r="Z95" s="17">
        <f>+SUMIF(Рўйхат!$A:$A,'Риск йўналишлари'!$B95,Рўйхат!AA:AA)</f>
        <v/>
      </c>
      <c r="AA95" s="18">
        <f>+SUMIF(Рўйхат!$A:$A,'Риск йўналишлари'!$B95,Рўйхат!AB:AB)</f>
        <v/>
      </c>
      <c r="AB95" s="18">
        <f>+SUMIF(Рўйхат!$A:$A,'Риск йўналишлари'!$B95,Рўйхат!AC:AC)</f>
        <v/>
      </c>
      <c r="AC95" s="18">
        <f>+SUMIF(Рўйхат!$A:$A,'Риск йўналишлари'!$B95,Рўйхат!AD:AD)</f>
        <v/>
      </c>
      <c r="AD95" s="18">
        <f>+SUMIF(Рўйхат!$A:$A,'Риск йўналишлари'!$B95,Рўйхат!AE:AE)</f>
        <v/>
      </c>
      <c r="AE95" s="17">
        <f>+SUMIF(Рўйхат!$A:$A,'Риск йўналишлари'!$B95,Рўйхат!AF:AF)</f>
        <v/>
      </c>
      <c r="AF95" s="18">
        <f>+SUMIF(Рўйхат!$A:$A,'Риск йўналишлари'!$B95,Рўйхат!AG:AG)</f>
        <v/>
      </c>
      <c r="AG95" s="18">
        <f>+SUMIF(Рўйхат!$A:$A,'Риск йўналишлари'!$B95,Рўйхат!AH:AH)</f>
        <v/>
      </c>
      <c r="AH95" s="33">
        <f>+SUMIF(Рўйхат!$A:$A,'Риск йўналишлари'!$B95,Рўйхат!AI:AI)</f>
        <v/>
      </c>
      <c r="AI95" s="19">
        <f>+SUMIF(Рўйхат!$A:$A,'Риск йўналишлари'!$B95,Рўйхат!AJ:AJ)</f>
        <v/>
      </c>
    </row>
    <row r="96">
      <c r="A96" s="100" t="n">
        <v>91</v>
      </c>
      <c r="B96" s="46" t="inlineStr">
        <is>
          <t>Комунал ресурслар истеъмоли мавжуд бўлган ҳолда товар (иш, хизмат) айланмасини нол кўрсатган субъектлар таҳлили</t>
        </is>
      </c>
      <c r="C96" s="16">
        <f>IFERROR(VLOOKUP(B96,Рўйхат!A:E,5,0),"")</f>
        <v/>
      </c>
      <c r="D96" s="30">
        <f>IFERROR(VLOOKUP(B96,Рўйхат!A:F,6,0),"")</f>
        <v/>
      </c>
      <c r="E96" s="17">
        <f>+SUMIF(Рўйхат!$A:$A,'Риск йўналишлари'!$B96,Рўйхат!G:G)</f>
        <v/>
      </c>
      <c r="F96" s="18">
        <f>+SUMIF(Рўйхат!$A:$A,'Риск йўналишлари'!$B96,Рўйхат!H:H)</f>
        <v/>
      </c>
      <c r="G96" s="18">
        <f>M96</f>
        <v/>
      </c>
      <c r="H96" s="18">
        <f>R96+W96+AB96+AG96</f>
        <v/>
      </c>
      <c r="I96" s="18">
        <f>+SUMIF(Рўйхат!$A:$A,'Риск йўналишлари'!$B96,Рўйхат!J:J)</f>
        <v/>
      </c>
      <c r="J96" s="18">
        <f>+SUMIF(Рўйхат!$A:$A,'Риск йўналишлари'!$B96,Рўйхат!K:K)</f>
        <v/>
      </c>
      <c r="K96" s="17">
        <f>+SUMIF(Рўйхат!$A:$A,'Риск йўналишлари'!$B96,Рўйхат!L:L)</f>
        <v/>
      </c>
      <c r="L96" s="18">
        <f>+SUMIF(Рўйхат!$A:$A,'Риск йўналишлари'!$B96,Рўйхат!M:M)</f>
        <v/>
      </c>
      <c r="M96" s="18">
        <f>+SUMIF(Рўйхат!$A:$A,'Риск йўналишлари'!$B96,Рўйхат!N:N)</f>
        <v/>
      </c>
      <c r="N96" s="18">
        <f>+SUMIF(Рўйхат!$A:$A,'Риск йўналишлари'!$B96,Рўйхат!O:O)</f>
        <v/>
      </c>
      <c r="O96" s="18">
        <f>+SUMIF(Рўйхат!$A:$A,'Риск йўналишлари'!$B96,Рўйхат!P:P)</f>
        <v/>
      </c>
      <c r="P96" s="17">
        <f>+SUMIF(Рўйхат!$A:$A,'Риск йўналишлари'!$B96,Рўйхат!Q:Q)</f>
        <v/>
      </c>
      <c r="Q96" s="18">
        <f>+SUMIF(Рўйхат!$A:$A,'Риск йўналишлари'!$B96,Рўйхат!R:R)</f>
        <v/>
      </c>
      <c r="R96" s="18">
        <f>+SUMIF(Рўйхат!$A:$A,'Риск йўналишлари'!$B96,Рўйхат!S:S)</f>
        <v/>
      </c>
      <c r="S96" s="18">
        <f>+SUMIF(Рўйхат!$A:$A,'Риск йўналишлари'!$B96,Рўйхат!T:T)</f>
        <v/>
      </c>
      <c r="T96" s="18">
        <f>+SUMIF(Рўйхат!$A:$A,'Риск йўналишлари'!$B96,Рўйхат!U:U)</f>
        <v/>
      </c>
      <c r="U96" s="17">
        <f>+SUMIF(Рўйхат!$A:$A,'Риск йўналишлари'!$B96,Рўйхат!V:V)</f>
        <v/>
      </c>
      <c r="V96" s="18">
        <f>+SUMIF(Рўйхат!$A:$A,'Риск йўналишлари'!$B96,Рўйхат!W:W)</f>
        <v/>
      </c>
      <c r="W96" s="18">
        <f>+SUMIF(Рўйхат!$A:$A,'Риск йўналишлари'!$B96,Рўйхат!X:X)</f>
        <v/>
      </c>
      <c r="X96" s="18">
        <f>+SUMIF(Рўйхат!$A:$A,'Риск йўналишлари'!$B96,Рўйхат!Y:Y)</f>
        <v/>
      </c>
      <c r="Y96" s="18">
        <f>+SUMIF(Рўйхат!$A:$A,'Риск йўналишлари'!$B96,Рўйхат!Z:Z)</f>
        <v/>
      </c>
      <c r="Z96" s="17">
        <f>+SUMIF(Рўйхат!$A:$A,'Риск йўналишлари'!$B96,Рўйхат!AA:AA)</f>
        <v/>
      </c>
      <c r="AA96" s="18">
        <f>+SUMIF(Рўйхат!$A:$A,'Риск йўналишлари'!$B96,Рўйхат!AB:AB)</f>
        <v/>
      </c>
      <c r="AB96" s="18">
        <f>+SUMIF(Рўйхат!$A:$A,'Риск йўналишлари'!$B96,Рўйхат!AC:AC)</f>
        <v/>
      </c>
      <c r="AC96" s="18">
        <f>+SUMIF(Рўйхат!$A:$A,'Риск йўналишлари'!$B96,Рўйхат!AD:AD)</f>
        <v/>
      </c>
      <c r="AD96" s="18">
        <f>+SUMIF(Рўйхат!$A:$A,'Риск йўналишлари'!$B96,Рўйхат!AE:AE)</f>
        <v/>
      </c>
      <c r="AE96" s="17">
        <f>+SUMIF(Рўйхат!$A:$A,'Риск йўналишлари'!$B96,Рўйхат!AF:AF)</f>
        <v/>
      </c>
      <c r="AF96" s="18">
        <f>+SUMIF(Рўйхат!$A:$A,'Риск йўналишлари'!$B96,Рўйхат!AG:AG)</f>
        <v/>
      </c>
      <c r="AG96" s="18">
        <f>+SUMIF(Рўйхат!$A:$A,'Риск йўналишлари'!$B96,Рўйхат!AH:AH)</f>
        <v/>
      </c>
      <c r="AH96" s="33">
        <f>+SUMIF(Рўйхат!$A:$A,'Риск йўналишлари'!$B96,Рўйхат!AI:AI)</f>
        <v/>
      </c>
      <c r="AI96" s="19">
        <f>+SUMIF(Рўйхат!$A:$A,'Риск йўналишлари'!$B96,Рўйхат!AJ:AJ)</f>
        <v/>
      </c>
    </row>
    <row r="97">
      <c r="A97" s="100" t="n">
        <v>92</v>
      </c>
      <c r="B97" s="46" t="inlineStr">
        <is>
          <t>Қишлоқ хўжалиги корхоналарининг (истеъмолчилар) насос агрегатлари ва суғориш қудуқлари истеъмол қиладиган электр энергияси қийматини қоплаш учун субсидиялар таҳлили</t>
        </is>
      </c>
      <c r="C97" s="16">
        <f>IFERROR(VLOOKUP(B97,Рўйхат!A:E,5,0),"")</f>
        <v/>
      </c>
      <c r="D97" s="30">
        <f>IFERROR(VLOOKUP(B97,Рўйхат!A:F,6,0),"")</f>
        <v/>
      </c>
      <c r="E97" s="17">
        <f>+SUMIF(Рўйхат!$A:$A,'Риск йўналишлари'!$B97,Рўйхат!G:G)</f>
        <v/>
      </c>
      <c r="F97" s="18">
        <f>+SUMIF(Рўйхат!$A:$A,'Риск йўналишлари'!$B97,Рўйхат!H:H)</f>
        <v/>
      </c>
      <c r="G97" s="18">
        <f>M97</f>
        <v/>
      </c>
      <c r="H97" s="18">
        <f>R97+W97+AB97+AG97</f>
        <v/>
      </c>
      <c r="I97" s="18">
        <f>+SUMIF(Рўйхат!$A:$A,'Риск йўналишлари'!$B97,Рўйхат!J:J)</f>
        <v/>
      </c>
      <c r="J97" s="18">
        <f>+SUMIF(Рўйхат!$A:$A,'Риск йўналишлари'!$B97,Рўйхат!K:K)</f>
        <v/>
      </c>
      <c r="K97" s="17">
        <f>+SUMIF(Рўйхат!$A:$A,'Риск йўналишлари'!$B97,Рўйхат!L:L)</f>
        <v/>
      </c>
      <c r="L97" s="18">
        <f>+SUMIF(Рўйхат!$A:$A,'Риск йўналишлари'!$B97,Рўйхат!M:M)</f>
        <v/>
      </c>
      <c r="M97" s="18">
        <f>+SUMIF(Рўйхат!$A:$A,'Риск йўналишлари'!$B97,Рўйхат!N:N)</f>
        <v/>
      </c>
      <c r="N97" s="18">
        <f>+SUMIF(Рўйхат!$A:$A,'Риск йўналишлари'!$B97,Рўйхат!O:O)</f>
        <v/>
      </c>
      <c r="O97" s="18">
        <f>+SUMIF(Рўйхат!$A:$A,'Риск йўналишлари'!$B97,Рўйхат!P:P)</f>
        <v/>
      </c>
      <c r="P97" s="17">
        <f>+SUMIF(Рўйхат!$A:$A,'Риск йўналишлари'!$B97,Рўйхат!Q:Q)</f>
        <v/>
      </c>
      <c r="Q97" s="18">
        <f>+SUMIF(Рўйхат!$A:$A,'Риск йўналишлари'!$B97,Рўйхат!R:R)</f>
        <v/>
      </c>
      <c r="R97" s="18">
        <f>+SUMIF(Рўйхат!$A:$A,'Риск йўналишлари'!$B97,Рўйхат!S:S)</f>
        <v/>
      </c>
      <c r="S97" s="18">
        <f>+SUMIF(Рўйхат!$A:$A,'Риск йўналишлари'!$B97,Рўйхат!T:T)</f>
        <v/>
      </c>
      <c r="T97" s="18">
        <f>+SUMIF(Рўйхат!$A:$A,'Риск йўналишлари'!$B97,Рўйхат!U:U)</f>
        <v/>
      </c>
      <c r="U97" s="17">
        <f>+SUMIF(Рўйхат!$A:$A,'Риск йўналишлари'!$B97,Рўйхат!V:V)</f>
        <v/>
      </c>
      <c r="V97" s="18">
        <f>+SUMIF(Рўйхат!$A:$A,'Риск йўналишлари'!$B97,Рўйхат!W:W)</f>
        <v/>
      </c>
      <c r="W97" s="18">
        <f>+SUMIF(Рўйхат!$A:$A,'Риск йўналишлари'!$B97,Рўйхат!X:X)</f>
        <v/>
      </c>
      <c r="X97" s="18">
        <f>+SUMIF(Рўйхат!$A:$A,'Риск йўналишлари'!$B97,Рўйхат!Y:Y)</f>
        <v/>
      </c>
      <c r="Y97" s="18">
        <f>+SUMIF(Рўйхат!$A:$A,'Риск йўналишлари'!$B97,Рўйхат!Z:Z)</f>
        <v/>
      </c>
      <c r="Z97" s="17">
        <f>+SUMIF(Рўйхат!$A:$A,'Риск йўналишлари'!$B97,Рўйхат!AA:AA)</f>
        <v/>
      </c>
      <c r="AA97" s="18">
        <f>+SUMIF(Рўйхат!$A:$A,'Риск йўналишлари'!$B97,Рўйхат!AB:AB)</f>
        <v/>
      </c>
      <c r="AB97" s="18">
        <f>+SUMIF(Рўйхат!$A:$A,'Риск йўналишлари'!$B97,Рўйхат!AC:AC)</f>
        <v/>
      </c>
      <c r="AC97" s="18">
        <f>+SUMIF(Рўйхат!$A:$A,'Риск йўналишлари'!$B97,Рўйхат!AD:AD)</f>
        <v/>
      </c>
      <c r="AD97" s="18">
        <f>+SUMIF(Рўйхат!$A:$A,'Риск йўналишлари'!$B97,Рўйхат!AE:AE)</f>
        <v/>
      </c>
      <c r="AE97" s="17">
        <f>+SUMIF(Рўйхат!$A:$A,'Риск йўналишлари'!$B97,Рўйхат!AF:AF)</f>
        <v/>
      </c>
      <c r="AF97" s="18">
        <f>+SUMIF(Рўйхат!$A:$A,'Риск йўналишлари'!$B97,Рўйхат!AG:AG)</f>
        <v/>
      </c>
      <c r="AG97" s="18">
        <f>+SUMIF(Рўйхат!$A:$A,'Риск йўналишлари'!$B97,Рўйхат!AH:AH)</f>
        <v/>
      </c>
      <c r="AH97" s="33">
        <f>+SUMIF(Рўйхат!$A:$A,'Риск йўналишлари'!$B97,Рўйхат!AI:AI)</f>
        <v/>
      </c>
      <c r="AI97" s="19">
        <f>+SUMIF(Рўйхат!$A:$A,'Риск йўналишлари'!$B97,Рўйхат!AJ:AJ)</f>
        <v/>
      </c>
    </row>
    <row r="98" ht="17" customHeight="1" thickBot="1">
      <c r="A98" s="48" t="n">
        <v>93</v>
      </c>
      <c r="B98" s="21" t="inlineStr">
        <is>
          <t>Лицензияга эга бўлмаган етказиб берувчилардан дори воситаларининг хариди</t>
        </is>
      </c>
      <c r="C98" s="21">
        <f>IFERROR(VLOOKUP(B98,Рўйхат!A:E,5,0),"")</f>
        <v/>
      </c>
      <c r="D98" s="31">
        <f>IFERROR(VLOOKUP(B98,Рўйхат!A:F,6,0),"")</f>
        <v/>
      </c>
      <c r="E98" s="22">
        <f>+SUMIF(Рўйхат!$A:$A,'Риск йўналишлари'!$B98,Рўйхат!G:G)</f>
        <v/>
      </c>
      <c r="F98" s="23">
        <f>+SUMIF(Рўйхат!$A:$A,'Риск йўналишлари'!$B98,Рўйхат!H:H)</f>
        <v/>
      </c>
      <c r="G98" s="23">
        <f>M98</f>
        <v/>
      </c>
      <c r="H98" s="23">
        <f>R98+W98+AB98+AG98</f>
        <v/>
      </c>
      <c r="I98" s="23">
        <f>+SUMIF(Рўйхат!$A:$A,'Риск йўналишлари'!$B98,Рўйхат!J:J)</f>
        <v/>
      </c>
      <c r="J98" s="23">
        <f>+SUMIF(Рўйхат!$A:$A,'Риск йўналишлари'!$B98,Рўйхат!K:K)</f>
        <v/>
      </c>
      <c r="K98" s="22">
        <f>+SUMIF(Рўйхат!$A:$A,'Риск йўналишлари'!$B98,Рўйхат!L:L)</f>
        <v/>
      </c>
      <c r="L98" s="23">
        <f>+SUMIF(Рўйхат!$A:$A,'Риск йўналишлари'!$B98,Рўйхат!M:M)</f>
        <v/>
      </c>
      <c r="M98" s="23">
        <f>+SUMIF(Рўйхат!$A:$A,'Риск йўналишлари'!$B98,Рўйхат!N:N)</f>
        <v/>
      </c>
      <c r="N98" s="23">
        <f>+SUMIF(Рўйхат!$A:$A,'Риск йўналишлари'!$B98,Рўйхат!O:O)</f>
        <v/>
      </c>
      <c r="O98" s="23">
        <f>+SUMIF(Рўйхат!$A:$A,'Риск йўналишлари'!$B98,Рўйхат!P:P)</f>
        <v/>
      </c>
      <c r="P98" s="22">
        <f>+SUMIF(Рўйхат!$A:$A,'Риск йўналишлари'!$B98,Рўйхат!Q:Q)</f>
        <v/>
      </c>
      <c r="Q98" s="23">
        <f>+SUMIF(Рўйхат!$A:$A,'Риск йўналишлари'!$B98,Рўйхат!R:R)</f>
        <v/>
      </c>
      <c r="R98" s="23">
        <f>+SUMIF(Рўйхат!$A:$A,'Риск йўналишлари'!$B98,Рўйхат!S:S)</f>
        <v/>
      </c>
      <c r="S98" s="23">
        <f>+SUMIF(Рўйхат!$A:$A,'Риск йўналишлари'!$B98,Рўйхат!T:T)</f>
        <v/>
      </c>
      <c r="T98" s="23">
        <f>+SUMIF(Рўйхат!$A:$A,'Риск йўналишлари'!$B98,Рўйхат!U:U)</f>
        <v/>
      </c>
      <c r="U98" s="22">
        <f>+SUMIF(Рўйхат!$A:$A,'Риск йўналишлари'!$B98,Рўйхат!V:V)</f>
        <v/>
      </c>
      <c r="V98" s="23">
        <f>+SUMIF(Рўйхат!$A:$A,'Риск йўналишлари'!$B98,Рўйхат!W:W)</f>
        <v/>
      </c>
      <c r="W98" s="23">
        <f>+SUMIF(Рўйхат!$A:$A,'Риск йўналишлари'!$B98,Рўйхат!X:X)</f>
        <v/>
      </c>
      <c r="X98" s="23">
        <f>+SUMIF(Рўйхат!$A:$A,'Риск йўналишлари'!$B98,Рўйхат!Y:Y)</f>
        <v/>
      </c>
      <c r="Y98" s="23">
        <f>+SUMIF(Рўйхат!$A:$A,'Риск йўналишлари'!$B98,Рўйхат!Z:Z)</f>
        <v/>
      </c>
      <c r="Z98" s="22">
        <f>+SUMIF(Рўйхат!$A:$A,'Риск йўналишлари'!$B98,Рўйхат!AA:AA)</f>
        <v/>
      </c>
      <c r="AA98" s="23">
        <f>+SUMIF(Рўйхат!$A:$A,'Риск йўналишлари'!$B98,Рўйхат!AB:AB)</f>
        <v/>
      </c>
      <c r="AB98" s="23">
        <f>+SUMIF(Рўйхат!$A:$A,'Риск йўналишлари'!$B98,Рўйхат!AC:AC)</f>
        <v/>
      </c>
      <c r="AC98" s="23">
        <f>+SUMIF(Рўйхат!$A:$A,'Риск йўналишлари'!$B98,Рўйхат!AD:AD)</f>
        <v/>
      </c>
      <c r="AD98" s="23">
        <f>+SUMIF(Рўйхат!$A:$A,'Риск йўналишлари'!$B98,Рўйхат!AE:AE)</f>
        <v/>
      </c>
      <c r="AE98" s="22">
        <f>+SUMIF(Рўйхат!$A:$A,'Риск йўналишлари'!$B98,Рўйхат!AF:AF)</f>
        <v/>
      </c>
      <c r="AF98" s="23">
        <f>+SUMIF(Рўйхат!$A:$A,'Риск йўналишлари'!$B98,Рўйхат!AG:AG)</f>
        <v/>
      </c>
      <c r="AG98" s="23">
        <f>+SUMIF(Рўйхат!$A:$A,'Риск йўналишлари'!$B98,Рўйхат!AH:AH)</f>
        <v/>
      </c>
      <c r="AH98" s="34">
        <f>+SUMIF(Рўйхат!$A:$A,'Риск йўналишлари'!$B98,Рўйхат!AI:AI)</f>
        <v/>
      </c>
      <c r="AI98" s="24">
        <f>+SUMIF(Рўйхат!$A:$A,'Риск йўналишлари'!$B98,Рўйхат!AJ:AJ)</f>
        <v/>
      </c>
    </row>
  </sheetData>
  <autoFilter ref="A5:AI98">
    <sortState ref="A6:AI98">
      <sortCondition ref="A5:A98"/>
    </sortState>
  </autoFilter>
  <mergeCells count="11">
    <mergeCell ref="K3:O3"/>
    <mergeCell ref="Z3:AD3"/>
    <mergeCell ref="P3:T3"/>
    <mergeCell ref="AE3:AI3"/>
    <mergeCell ref="C3:C4"/>
    <mergeCell ref="B3:B4"/>
    <mergeCell ref="A1:AI1"/>
    <mergeCell ref="A3:A4"/>
    <mergeCell ref="U3:Y3"/>
    <mergeCell ref="D3:D4"/>
    <mergeCell ref="E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2"/>
  <sheetViews>
    <sheetView topLeftCell="A2" zoomScaleNormal="100" workbookViewId="0">
      <selection activeCell="E5" sqref="E5"/>
    </sheetView>
  </sheetViews>
  <sheetFormatPr baseColWidth="10" defaultColWidth="11.5" defaultRowHeight="16"/>
  <cols>
    <col width="4.1640625" bestFit="1" customWidth="1" min="1" max="1"/>
    <col width="55" customWidth="1" min="2" max="2"/>
    <col width="18.6640625" customWidth="1" min="3" max="3"/>
    <col hidden="1" width="35.6640625" customWidth="1" min="4" max="4"/>
    <col width="13.6640625" customWidth="1" min="5" max="7"/>
    <col width="23" customWidth="1" min="8" max="8"/>
    <col width="13.6640625" customWidth="1" min="9" max="11"/>
    <col width="12.6640625" customWidth="1" min="12" max="12"/>
    <col width="13.6640625" customWidth="1" min="13" max="15"/>
    <col width="23" customWidth="1" min="16" max="16"/>
    <col width="13.6640625" customWidth="1" min="17" max="19"/>
    <col width="23" customWidth="1" min="20" max="20"/>
    <col width="13.6640625" customWidth="1" min="21" max="23"/>
    <col width="23" customWidth="1" min="24" max="24"/>
    <col width="13.6640625" customWidth="1" min="25" max="27"/>
    <col width="23" customWidth="1" min="28" max="28"/>
    <col width="13.6640625" customWidth="1" min="29" max="29"/>
  </cols>
  <sheetData>
    <row r="1" ht="19" customHeight="1">
      <c r="A1" s="123" t="inlineStr">
        <is>
          <t>"Масофавий аудит" ААТ томонидан аниқланган риск ҳолатларини назоратга олиш ҳамда уларни бартараф этилиши тўғрисида вазирлик ва идоралар кесимида маълумот</t>
        </is>
      </c>
    </row>
    <row r="2" ht="17" customHeight="1" thickBot="1"/>
    <row r="3">
      <c r="A3" s="132" t="inlineStr">
        <is>
          <t>№</t>
        </is>
      </c>
      <c r="B3" s="130" t="inlineStr">
        <is>
          <t>Масъул ходим</t>
        </is>
      </c>
      <c r="C3" s="130" t="inlineStr">
        <is>
          <t>Тизим фойдаланувчилари сони</t>
        </is>
      </c>
      <c r="D3" s="130" t="inlineStr">
        <is>
          <t>Масъул ходим</t>
        </is>
      </c>
      <c r="E3" s="124" t="inlineStr">
        <is>
          <t>Жами</t>
        </is>
      </c>
      <c r="F3" s="136" t="n"/>
      <c r="G3" s="136" t="n"/>
      <c r="H3" s="136" t="n"/>
      <c r="I3" s="136" t="n"/>
      <c r="J3" s="137" t="n"/>
      <c r="K3" s="124" t="inlineStr">
        <is>
          <t>Охирги 16 кунликда</t>
        </is>
      </c>
      <c r="L3" s="136" t="n"/>
      <c r="M3" s="136" t="n"/>
      <c r="N3" s="136" t="n"/>
      <c r="O3" s="137" t="n"/>
      <c r="P3" s="124" t="inlineStr">
        <is>
          <t>Охирги 16 - 30 кунликда</t>
        </is>
      </c>
      <c r="Q3" s="136" t="n"/>
      <c r="R3" s="136" t="n"/>
      <c r="S3" s="136" t="n"/>
      <c r="T3" s="137" t="n"/>
      <c r="U3" s="124" t="inlineStr">
        <is>
          <t>Охирги 1 - 6 ойгача</t>
        </is>
      </c>
      <c r="V3" s="136" t="n"/>
      <c r="W3" s="136" t="n"/>
      <c r="X3" s="136" t="n"/>
      <c r="Y3" s="137" t="n"/>
      <c r="Z3" s="124" t="inlineStr">
        <is>
          <t>Охирги 6 - 12 ойгача</t>
        </is>
      </c>
      <c r="AA3" s="136" t="n"/>
      <c r="AB3" s="136" t="n"/>
      <c r="AC3" s="136" t="n"/>
      <c r="AD3" s="137" t="n"/>
      <c r="AE3" s="124" t="inlineStr">
        <is>
          <t>1 йилдан ортиқ</t>
        </is>
      </c>
      <c r="AF3" s="136" t="n"/>
      <c r="AG3" s="136" t="n"/>
      <c r="AH3" s="136" t="n"/>
      <c r="AI3" s="137" t="n"/>
    </row>
    <row r="4" ht="102" customFormat="1" customHeight="1" s="1">
      <c r="A4" s="138" t="n"/>
      <c r="B4" s="139" t="n"/>
      <c r="C4" s="139" t="n"/>
      <c r="D4" s="139" t="n"/>
      <c r="E4" s="5" t="inlineStr">
        <is>
          <t>Аниқланган</t>
        </is>
      </c>
      <c r="F4" s="4" t="inlineStr">
        <is>
          <t>Назоратга олинмаган</t>
        </is>
      </c>
      <c r="G4" s="6" t="inlineStr">
        <is>
          <t>Назоратга олинган</t>
        </is>
      </c>
      <c r="H4" s="3" t="inlineStr">
        <is>
          <t>Назоратга олинган лекин ижроси таъминланмаган</t>
        </is>
      </c>
      <c r="I4" s="35" t="inlineStr">
        <is>
          <t>Шундан назоратдан ечиш учун юборилган</t>
        </is>
      </c>
      <c r="J4" s="6" t="inlineStr">
        <is>
          <t>Назоратдан ечилган</t>
        </is>
      </c>
      <c r="K4" s="5" t="inlineStr">
        <is>
          <t>Аниқланган</t>
        </is>
      </c>
      <c r="L4" s="4" t="inlineStr">
        <is>
          <t>Назоратга олинмаган</t>
        </is>
      </c>
      <c r="M4" s="6" t="inlineStr">
        <is>
          <t>Назоратга олинган</t>
        </is>
      </c>
      <c r="N4" s="35" t="inlineStr">
        <is>
          <t>Шундан назоратдан ечиш учун юборилган</t>
        </is>
      </c>
      <c r="O4" s="6" t="inlineStr">
        <is>
          <t>Назоратдан ечилган</t>
        </is>
      </c>
      <c r="P4" s="5" t="inlineStr">
        <is>
          <t>Аниқланган</t>
        </is>
      </c>
      <c r="Q4" s="4" t="inlineStr">
        <is>
          <t>Назоратга олинмаган</t>
        </is>
      </c>
      <c r="R4" s="3" t="inlineStr">
        <is>
          <t>Назоратга олинган лекин ижроси таъминланмаган</t>
        </is>
      </c>
      <c r="S4" s="35" t="inlineStr">
        <is>
          <t>Шундан назоратдан ечиш учун юборилган</t>
        </is>
      </c>
      <c r="T4" s="6" t="inlineStr">
        <is>
          <t>Назоратдан ечилган</t>
        </is>
      </c>
      <c r="U4" s="5" t="inlineStr">
        <is>
          <t>Аниқланган</t>
        </is>
      </c>
      <c r="V4" s="4" t="inlineStr">
        <is>
          <t>Назоратга олинмаган</t>
        </is>
      </c>
      <c r="W4" s="3" t="inlineStr">
        <is>
          <t>Назоратга олинган лекин ижроси таъминланмаган</t>
        </is>
      </c>
      <c r="X4" s="35" t="inlineStr">
        <is>
          <t>Шундан назоратдан ечиш учун юборилган</t>
        </is>
      </c>
      <c r="Y4" s="6" t="inlineStr">
        <is>
          <t>Назоратдан ечилган</t>
        </is>
      </c>
      <c r="Z4" s="5" t="inlineStr">
        <is>
          <t>Аниқланган</t>
        </is>
      </c>
      <c r="AA4" s="4" t="inlineStr">
        <is>
          <t>Назоратга олинмаган</t>
        </is>
      </c>
      <c r="AB4" s="3" t="inlineStr">
        <is>
          <t>Назоратга олинган лекин ижроси таъминланмаган</t>
        </is>
      </c>
      <c r="AC4" s="35" t="inlineStr">
        <is>
          <t>Шундан назоратдан ечиш учун юборилган</t>
        </is>
      </c>
      <c r="AD4" s="6" t="inlineStr">
        <is>
          <t>Назоратдан ечилган</t>
        </is>
      </c>
      <c r="AE4" s="5" t="inlineStr">
        <is>
          <t>Аниқланган</t>
        </is>
      </c>
      <c r="AF4" s="4" t="inlineStr">
        <is>
          <t>Назоратга олинмаган</t>
        </is>
      </c>
      <c r="AG4" s="3" t="inlineStr">
        <is>
          <t>Назоратга олинган лекин ижроси таъминланмаган</t>
        </is>
      </c>
      <c r="AH4" s="35" t="inlineStr">
        <is>
          <t>Шундан назоратдан ечиш учун юборилган</t>
        </is>
      </c>
      <c r="AI4" s="8" t="inlineStr">
        <is>
          <t>Назоратдан ечилган</t>
        </is>
      </c>
    </row>
    <row r="5" ht="16" customFormat="1" customHeight="1" s="1">
      <c r="A5" s="20" t="n"/>
      <c r="B5" s="134" t="inlineStr">
        <is>
          <t>Жами:</t>
        </is>
      </c>
      <c r="C5" s="9">
        <f>SUM(C6:C10013)</f>
        <v/>
      </c>
      <c r="D5" s="9" t="n"/>
      <c r="E5" s="10">
        <f>SUM(E6:E10026)</f>
        <v/>
      </c>
      <c r="F5" s="110">
        <f>SUM(F6:F10026)</f>
        <v/>
      </c>
      <c r="G5" s="12">
        <f>SUM(G6:G10026)</f>
        <v/>
      </c>
      <c r="H5" s="13">
        <f>SUM(H6:H10026)</f>
        <v/>
      </c>
      <c r="I5" s="36">
        <f>SUM(I6:I10026)</f>
        <v/>
      </c>
      <c r="J5" s="12">
        <f>SUM(J6:J10026)</f>
        <v/>
      </c>
      <c r="K5" s="10">
        <f>SUM(K6:K10026)</f>
        <v/>
      </c>
      <c r="L5" s="110">
        <f>SUM(L6:L10026)</f>
        <v/>
      </c>
      <c r="M5" s="12">
        <f>SUM(M6:M10026)</f>
        <v/>
      </c>
      <c r="N5" s="36">
        <f>SUM(N6:N10026)</f>
        <v/>
      </c>
      <c r="O5" s="12">
        <f>SUM(O6:O10026)</f>
        <v/>
      </c>
      <c r="P5" s="10">
        <f>SUM(P6:P10026)</f>
        <v/>
      </c>
      <c r="Q5" s="110">
        <f>SUM(Q6:Q10026)</f>
        <v/>
      </c>
      <c r="R5" s="13">
        <f>SUM(R6:R10026)</f>
        <v/>
      </c>
      <c r="S5" s="36">
        <f>SUM(S6:S10026)</f>
        <v/>
      </c>
      <c r="T5" s="12">
        <f>SUM(T6:T10026)</f>
        <v/>
      </c>
      <c r="U5" s="10">
        <f>SUM(U6:U10026)</f>
        <v/>
      </c>
      <c r="V5" s="110">
        <f>SUM(V6:V10026)</f>
        <v/>
      </c>
      <c r="W5" s="13">
        <f>SUM(W6:W10026)</f>
        <v/>
      </c>
      <c r="X5" s="36">
        <f>SUM(X6:X10026)</f>
        <v/>
      </c>
      <c r="Y5" s="12">
        <f>SUM(Y6:Y10026)</f>
        <v/>
      </c>
      <c r="Z5" s="10">
        <f>SUM(Z6:Z10026)</f>
        <v/>
      </c>
      <c r="AA5" s="110">
        <f>SUM(AA6:AA10026)</f>
        <v/>
      </c>
      <c r="AB5" s="13">
        <f>SUM(AB6:AB10026)</f>
        <v/>
      </c>
      <c r="AC5" s="36">
        <f>SUM(AC6:AC10026)</f>
        <v/>
      </c>
      <c r="AD5" s="12">
        <f>SUM(AD6:AD10026)</f>
        <v/>
      </c>
      <c r="AE5" s="10">
        <f>SUM(AE6:AE10026)</f>
        <v/>
      </c>
      <c r="AF5" s="110">
        <f>SUM(AF6:AF10026)</f>
        <v/>
      </c>
      <c r="AG5" s="13">
        <f>SUM(AG6:AG10026)</f>
        <v/>
      </c>
      <c r="AH5" s="36">
        <f>SUM(AH6:AH10026)</f>
        <v/>
      </c>
      <c r="AI5" s="14">
        <f>SUM(AI6:AI10026)</f>
        <v/>
      </c>
    </row>
    <row r="6" ht="17" customHeight="1">
      <c r="A6" s="25" t="n">
        <v>1</v>
      </c>
      <c r="B6" s="26" t="inlineStr">
        <is>
          <t>Солиқ қўмитаси</t>
        </is>
      </c>
      <c r="C6" s="28">
        <f>IF(IFERROR(VLOOKUP(B6,Рўйхат!C:E,2,0),"")="[NULL]","",IFERROR(VLOOKUP(B6,Рўйхат!C:E,2,0),""))</f>
        <v/>
      </c>
      <c r="D6" s="28">
        <f>IFERROR(VLOOKUP(B6,Рўйхат!C:E,3,0),"")</f>
        <v/>
      </c>
      <c r="E6" s="17">
        <f>+SUMIF(Рўйхат!$C:$C,$B6,Рўйхат!G:G)</f>
        <v/>
      </c>
      <c r="F6" s="18">
        <f>+SUMIF(Рўйхат!$C:$C,$B6,Рўйхат!H:H)</f>
        <v/>
      </c>
      <c r="G6" s="18">
        <f>M6</f>
        <v/>
      </c>
      <c r="H6" s="18">
        <f>R6+W6+AB6+AG6</f>
        <v/>
      </c>
      <c r="I6" s="18">
        <f>+SUMIF(Рўйхат!$C:$C,$B6,Рўйхат!J:J)</f>
        <v/>
      </c>
      <c r="J6" s="18">
        <f>+SUMIF(Рўйхат!$C:$C,$B6,Рўйхат!K:K)</f>
        <v/>
      </c>
      <c r="K6" s="17">
        <f>+SUMIF(Рўйхат!$C:$C,$B6,Рўйхат!L:L)</f>
        <v/>
      </c>
      <c r="L6" s="18">
        <f>+SUMIF(Рўйхат!$C:$C,$B6,Рўйхат!M:M)</f>
        <v/>
      </c>
      <c r="M6" s="18">
        <f>+SUMIF(Рўйхат!$C:$C,$B6,Рўйхат!N:N)</f>
        <v/>
      </c>
      <c r="N6" s="18">
        <f>+SUMIF(Рўйхат!$C:$C,$B6,Рўйхат!O:O)</f>
        <v/>
      </c>
      <c r="O6" s="18">
        <f>+SUMIF(Рўйхат!$C:$C,$B6,Рўйхат!P:P)</f>
        <v/>
      </c>
      <c r="P6" s="17">
        <f>+SUMIF(Рўйхат!$C:$C,$B6,Рўйхат!Q:Q)</f>
        <v/>
      </c>
      <c r="Q6" s="18">
        <f>+SUMIF(Рўйхат!$C:$C,$B6,Рўйхат!R:R)</f>
        <v/>
      </c>
      <c r="R6" s="18">
        <f>+SUMIF(Рўйхат!$C:$C,$B6,Рўйхат!S:S)</f>
        <v/>
      </c>
      <c r="S6" s="18">
        <f>+SUMIF(Рўйхат!$C:$C,$B6,Рўйхат!T:T)</f>
        <v/>
      </c>
      <c r="T6" s="18">
        <f>+SUMIF(Рўйхат!$C:$C,$B6,Рўйхат!U:U)</f>
        <v/>
      </c>
      <c r="U6" s="17">
        <f>+SUMIF(Рўйхат!$C:$C,$B6,Рўйхат!V:V)</f>
        <v/>
      </c>
      <c r="V6" s="18">
        <f>+SUMIF(Рўйхат!$C:$C,$B6,Рўйхат!W:W)</f>
        <v/>
      </c>
      <c r="W6" s="18">
        <f>+SUMIF(Рўйхат!$C:$C,$B6,Рўйхат!X:X)</f>
        <v/>
      </c>
      <c r="X6" s="18">
        <f>+SUMIF(Рўйхат!$C:$C,$B6,Рўйхат!Y:Y)</f>
        <v/>
      </c>
      <c r="Y6" s="18">
        <f>+SUMIF(Рўйхат!$C:$C,$B6,Рўйхат!Z:Z)</f>
        <v/>
      </c>
      <c r="Z6" s="17">
        <f>+SUMIF(Рўйхат!$C:$C,$B6,Рўйхат!AA:AA)</f>
        <v/>
      </c>
      <c r="AA6" s="18">
        <f>+SUMIF(Рўйхат!$C:$C,$B6,Рўйхат!AB:AB)</f>
        <v/>
      </c>
      <c r="AB6" s="18">
        <f>+SUMIF(Рўйхат!$C:$C,$B6,Рўйхат!AC:AC)</f>
        <v/>
      </c>
      <c r="AC6" s="18">
        <f>+SUMIF(Рўйхат!$C:$C,$B6,Рўйхат!AD:AD)</f>
        <v/>
      </c>
      <c r="AD6" s="18">
        <f>+SUMIF(Рўйхат!$C:$C,$B6,Рўйхат!AE:AE)</f>
        <v/>
      </c>
      <c r="AE6" s="17">
        <f>+SUMIF(Рўйхат!$C:$C,$B6,Рўйхат!AF:AF)</f>
        <v/>
      </c>
      <c r="AF6" s="18">
        <f>+SUMIF(Рўйхат!$C:$C,$B6,Рўйхат!AG:AG)</f>
        <v/>
      </c>
      <c r="AG6" s="18">
        <f>+SUMIF(Рўйхат!$C:$C,$B6,Рўйхат!AH:AH)</f>
        <v/>
      </c>
      <c r="AH6" s="33">
        <f>+SUMIF(Рўйхат!$C:$C,$B6,Рўйхат!AI:AI)</f>
        <v/>
      </c>
      <c r="AI6" s="19">
        <f>+SUMIF(Рўйхат!$C:$C,$B6,Рўйхат!AJ:AJ)</f>
        <v/>
      </c>
    </row>
    <row r="7" ht="17" customHeight="1">
      <c r="A7" s="25">
        <f>+A6+1</f>
        <v/>
      </c>
      <c r="B7" s="26" t="inlineStr">
        <is>
          <t>Мактабгача ва мактаб таълими вазирлиги</t>
        </is>
      </c>
      <c r="C7" s="28">
        <f>IF(IFERROR(VLOOKUP(B7,Рўйхат!C:E,2,0),"")="[NULL]","",IFERROR(VLOOKUP(B7,Рўйхат!C:E,2,0),""))</f>
        <v/>
      </c>
      <c r="D7" s="28">
        <f>IFERROR(VLOOKUP(B7,Рўйхат!C:E,3,0),"")</f>
        <v/>
      </c>
      <c r="E7" s="17">
        <f>+SUMIF(Рўйхат!$C:$C,$B7,Рўйхат!G:G)</f>
        <v/>
      </c>
      <c r="F7" s="18">
        <f>+SUMIF(Рўйхат!$C:$C,$B7,Рўйхат!H:H)</f>
        <v/>
      </c>
      <c r="G7" s="18">
        <f>M7</f>
        <v/>
      </c>
      <c r="H7" s="18">
        <f>R7+W7+AB7+AG7</f>
        <v/>
      </c>
      <c r="I7" s="18">
        <f>+SUMIF(Рўйхат!$C:$C,$B7,Рўйхат!J:J)</f>
        <v/>
      </c>
      <c r="J7" s="18">
        <f>+SUMIF(Рўйхат!$C:$C,$B7,Рўйхат!K:K)</f>
        <v/>
      </c>
      <c r="K7" s="17">
        <f>+SUMIF(Рўйхат!$C:$C,$B7,Рўйхат!L:L)</f>
        <v/>
      </c>
      <c r="L7" s="18">
        <f>+SUMIF(Рўйхат!$C:$C,$B7,Рўйхат!M:M)</f>
        <v/>
      </c>
      <c r="M7" s="18">
        <f>+SUMIF(Рўйхат!$C:$C,$B7,Рўйхат!N:N)</f>
        <v/>
      </c>
      <c r="N7" s="18">
        <f>+SUMIF(Рўйхат!$C:$C,$B7,Рўйхат!O:O)</f>
        <v/>
      </c>
      <c r="O7" s="18">
        <f>+SUMIF(Рўйхат!$C:$C,$B7,Рўйхат!P:P)</f>
        <v/>
      </c>
      <c r="P7" s="17">
        <f>+SUMIF(Рўйхат!$C:$C,$B7,Рўйхат!Q:Q)</f>
        <v/>
      </c>
      <c r="Q7" s="18">
        <f>+SUMIF(Рўйхат!$C:$C,$B7,Рўйхат!R:R)</f>
        <v/>
      </c>
      <c r="R7" s="18">
        <f>+SUMIF(Рўйхат!$C:$C,$B7,Рўйхат!S:S)</f>
        <v/>
      </c>
      <c r="S7" s="18">
        <f>+SUMIF(Рўйхат!$C:$C,$B7,Рўйхат!T:T)</f>
        <v/>
      </c>
      <c r="T7" s="18">
        <f>+SUMIF(Рўйхат!$C:$C,$B7,Рўйхат!U:U)</f>
        <v/>
      </c>
      <c r="U7" s="17">
        <f>+SUMIF(Рўйхат!$C:$C,$B7,Рўйхат!V:V)</f>
        <v/>
      </c>
      <c r="V7" s="18">
        <f>+SUMIF(Рўйхат!$C:$C,$B7,Рўйхат!W:W)</f>
        <v/>
      </c>
      <c r="W7" s="18">
        <f>+SUMIF(Рўйхат!$C:$C,$B7,Рўйхат!X:X)</f>
        <v/>
      </c>
      <c r="X7" s="18">
        <f>+SUMIF(Рўйхат!$C:$C,$B7,Рўйхат!Y:Y)</f>
        <v/>
      </c>
      <c r="Y7" s="18">
        <f>+SUMIF(Рўйхат!$C:$C,$B7,Рўйхат!Z:Z)</f>
        <v/>
      </c>
      <c r="Z7" s="17">
        <f>+SUMIF(Рўйхат!$C:$C,$B7,Рўйхат!AA:AA)</f>
        <v/>
      </c>
      <c r="AA7" s="18">
        <f>+SUMIF(Рўйхат!$C:$C,$B7,Рўйхат!AB:AB)</f>
        <v/>
      </c>
      <c r="AB7" s="18">
        <f>+SUMIF(Рўйхат!$C:$C,$B7,Рўйхат!AC:AC)</f>
        <v/>
      </c>
      <c r="AC7" s="18">
        <f>+SUMIF(Рўйхат!$C:$C,$B7,Рўйхат!AD:AD)</f>
        <v/>
      </c>
      <c r="AD7" s="18">
        <f>+SUMIF(Рўйхат!$C:$C,$B7,Рўйхат!AE:AE)</f>
        <v/>
      </c>
      <c r="AE7" s="17">
        <f>+SUMIF(Рўйхат!$C:$C,$B7,Рўйхат!AF:AF)</f>
        <v/>
      </c>
      <c r="AF7" s="18">
        <f>+SUMIF(Рўйхат!$C:$C,$B7,Рўйхат!AG:AG)</f>
        <v/>
      </c>
      <c r="AG7" s="18">
        <f>+SUMIF(Рўйхат!$C:$C,$B7,Рўйхат!AH:AH)</f>
        <v/>
      </c>
      <c r="AH7" s="33">
        <f>+SUMIF(Рўйхат!$C:$C,$B7,Рўйхат!AI:AI)</f>
        <v/>
      </c>
      <c r="AI7" s="19">
        <f>+SUMIF(Рўйхат!$C:$C,$B7,Рўйхат!AJ:AJ)</f>
        <v/>
      </c>
    </row>
    <row r="8" ht="17" customHeight="1">
      <c r="A8" s="25">
        <f>+A7+1</f>
        <v/>
      </c>
      <c r="B8" s="26" t="inlineStr">
        <is>
          <t>Соғлиқни сақлаш вазирлиги</t>
        </is>
      </c>
      <c r="C8" s="28">
        <f>IF(IFERROR(VLOOKUP(B8,Рўйхат!C:E,2,0),"")="[NULL]","",IFERROR(VLOOKUP(B8,Рўйхат!C:E,2,0),""))</f>
        <v/>
      </c>
      <c r="D8" s="28">
        <f>IFERROR(VLOOKUP(B8,Рўйхат!C:E,3,0),"")</f>
        <v/>
      </c>
      <c r="E8" s="17">
        <f>+SUMIF(Рўйхат!$C:$C,$B8,Рўйхат!G:G)</f>
        <v/>
      </c>
      <c r="F8" s="18">
        <f>+SUMIF(Рўйхат!$C:$C,$B8,Рўйхат!H:H)</f>
        <v/>
      </c>
      <c r="G8" s="18">
        <f>M8</f>
        <v/>
      </c>
      <c r="H8" s="18">
        <f>R8+W8+AB8+AG8</f>
        <v/>
      </c>
      <c r="I8" s="18">
        <f>+SUMIF(Рўйхат!$C:$C,$B8,Рўйхат!J:J)</f>
        <v/>
      </c>
      <c r="J8" s="18">
        <f>+SUMIF(Рўйхат!$C:$C,$B8,Рўйхат!K:K)</f>
        <v/>
      </c>
      <c r="K8" s="17">
        <f>+SUMIF(Рўйхат!$C:$C,$B8,Рўйхат!L:L)</f>
        <v/>
      </c>
      <c r="L8" s="18">
        <f>+SUMIF(Рўйхат!$C:$C,$B8,Рўйхат!M:M)</f>
        <v/>
      </c>
      <c r="M8" s="18">
        <f>+SUMIF(Рўйхат!$C:$C,$B8,Рўйхат!N:N)</f>
        <v/>
      </c>
      <c r="N8" s="18">
        <f>+SUMIF(Рўйхат!$C:$C,$B8,Рўйхат!O:O)</f>
        <v/>
      </c>
      <c r="O8" s="18">
        <f>+SUMIF(Рўйхат!$C:$C,$B8,Рўйхат!P:P)</f>
        <v/>
      </c>
      <c r="P8" s="17">
        <f>+SUMIF(Рўйхат!$C:$C,$B8,Рўйхат!Q:Q)</f>
        <v/>
      </c>
      <c r="Q8" s="18">
        <f>+SUMIF(Рўйхат!$C:$C,$B8,Рўйхат!R:R)</f>
        <v/>
      </c>
      <c r="R8" s="18">
        <f>+SUMIF(Рўйхат!$C:$C,$B8,Рўйхат!S:S)</f>
        <v/>
      </c>
      <c r="S8" s="18">
        <f>+SUMIF(Рўйхат!$C:$C,$B8,Рўйхат!T:T)</f>
        <v/>
      </c>
      <c r="T8" s="18">
        <f>+SUMIF(Рўйхат!$C:$C,$B8,Рўйхат!U:U)</f>
        <v/>
      </c>
      <c r="U8" s="17">
        <f>+SUMIF(Рўйхат!$C:$C,$B8,Рўйхат!V:V)</f>
        <v/>
      </c>
      <c r="V8" s="18">
        <f>+SUMIF(Рўйхат!$C:$C,$B8,Рўйхат!W:W)</f>
        <v/>
      </c>
      <c r="W8" s="18">
        <f>+SUMIF(Рўйхат!$C:$C,$B8,Рўйхат!X:X)</f>
        <v/>
      </c>
      <c r="X8" s="18">
        <f>+SUMIF(Рўйхат!$C:$C,$B8,Рўйхат!Y:Y)</f>
        <v/>
      </c>
      <c r="Y8" s="18">
        <f>+SUMIF(Рўйхат!$C:$C,$B8,Рўйхат!Z:Z)</f>
        <v/>
      </c>
      <c r="Z8" s="17">
        <f>+SUMIF(Рўйхат!$C:$C,$B8,Рўйхат!AA:AA)</f>
        <v/>
      </c>
      <c r="AA8" s="18">
        <f>+SUMIF(Рўйхат!$C:$C,$B8,Рўйхат!AB:AB)</f>
        <v/>
      </c>
      <c r="AB8" s="18">
        <f>+SUMIF(Рўйхат!$C:$C,$B8,Рўйхат!AC:AC)</f>
        <v/>
      </c>
      <c r="AC8" s="18">
        <f>+SUMIF(Рўйхат!$C:$C,$B8,Рўйхат!AD:AD)</f>
        <v/>
      </c>
      <c r="AD8" s="18">
        <f>+SUMIF(Рўйхат!$C:$C,$B8,Рўйхат!AE:AE)</f>
        <v/>
      </c>
      <c r="AE8" s="17">
        <f>+SUMIF(Рўйхат!$C:$C,$B8,Рўйхат!AF:AF)</f>
        <v/>
      </c>
      <c r="AF8" s="18">
        <f>+SUMIF(Рўйхат!$C:$C,$B8,Рўйхат!AG:AG)</f>
        <v/>
      </c>
      <c r="AG8" s="18">
        <f>+SUMIF(Рўйхат!$C:$C,$B8,Рўйхат!AH:AH)</f>
        <v/>
      </c>
      <c r="AH8" s="33">
        <f>+SUMIF(Рўйхат!$C:$C,$B8,Рўйхат!AI:AI)</f>
        <v/>
      </c>
      <c r="AI8" s="19">
        <f>+SUMIF(Рўйхат!$C:$C,$B8,Рўйхат!AJ:AJ)</f>
        <v/>
      </c>
    </row>
    <row r="9" ht="17" customHeight="1">
      <c r="A9" s="25">
        <f>+A8+1</f>
        <v/>
      </c>
      <c r="B9" s="26" t="inlineStr">
        <is>
          <t>Ғазначилик хизмати қўмитаси</t>
        </is>
      </c>
      <c r="C9" s="28">
        <f>IF(IFERROR(VLOOKUP(B9,Рўйхат!C:E,2,0),"")="[NULL]","",IFERROR(VLOOKUP(B9,Рўйхат!C:E,2,0),""))</f>
        <v/>
      </c>
      <c r="D9" s="28">
        <f>IFERROR(VLOOKUP(B9,Рўйхат!C:E,3,0),"")</f>
        <v/>
      </c>
      <c r="E9" s="17">
        <f>+SUMIF(Рўйхат!$C:$C,$B9,Рўйхат!G:G)</f>
        <v/>
      </c>
      <c r="F9" s="18">
        <f>+SUMIF(Рўйхат!$C:$C,$B9,Рўйхат!H:H)</f>
        <v/>
      </c>
      <c r="G9" s="18">
        <f>M9</f>
        <v/>
      </c>
      <c r="H9" s="18">
        <f>R9+W9+AB9+AG9</f>
        <v/>
      </c>
      <c r="I9" s="18">
        <f>+SUMIF(Рўйхат!$C:$C,$B9,Рўйхат!J:J)</f>
        <v/>
      </c>
      <c r="J9" s="18">
        <f>+SUMIF(Рўйхат!$C:$C,$B9,Рўйхат!K:K)</f>
        <v/>
      </c>
      <c r="K9" s="17">
        <f>+SUMIF(Рўйхат!$C:$C,$B9,Рўйхат!L:L)</f>
        <v/>
      </c>
      <c r="L9" s="18">
        <f>+SUMIF(Рўйхат!$C:$C,$B9,Рўйхат!M:M)</f>
        <v/>
      </c>
      <c r="M9" s="18">
        <f>+SUMIF(Рўйхат!$C:$C,$B9,Рўйхат!N:N)</f>
        <v/>
      </c>
      <c r="N9" s="18">
        <f>+SUMIF(Рўйхат!$C:$C,$B9,Рўйхат!O:O)</f>
        <v/>
      </c>
      <c r="O9" s="18">
        <f>+SUMIF(Рўйхат!$C:$C,$B9,Рўйхат!P:P)</f>
        <v/>
      </c>
      <c r="P9" s="17">
        <f>+SUMIF(Рўйхат!$C:$C,$B9,Рўйхат!Q:Q)</f>
        <v/>
      </c>
      <c r="Q9" s="18">
        <f>+SUMIF(Рўйхат!$C:$C,$B9,Рўйхат!R:R)</f>
        <v/>
      </c>
      <c r="R9" s="18">
        <f>+SUMIF(Рўйхат!$C:$C,$B9,Рўйхат!S:S)</f>
        <v/>
      </c>
      <c r="S9" s="18">
        <f>+SUMIF(Рўйхат!$C:$C,$B9,Рўйхат!T:T)</f>
        <v/>
      </c>
      <c r="T9" s="18">
        <f>+SUMIF(Рўйхат!$C:$C,$B9,Рўйхат!U:U)</f>
        <v/>
      </c>
      <c r="U9" s="17">
        <f>+SUMIF(Рўйхат!$C:$C,$B9,Рўйхат!V:V)</f>
        <v/>
      </c>
      <c r="V9" s="18">
        <f>+SUMIF(Рўйхат!$C:$C,$B9,Рўйхат!W:W)</f>
        <v/>
      </c>
      <c r="W9" s="18">
        <f>+SUMIF(Рўйхат!$C:$C,$B9,Рўйхат!X:X)</f>
        <v/>
      </c>
      <c r="X9" s="18">
        <f>+SUMIF(Рўйхат!$C:$C,$B9,Рўйхат!Y:Y)</f>
        <v/>
      </c>
      <c r="Y9" s="18">
        <f>+SUMIF(Рўйхат!$C:$C,$B9,Рўйхат!Z:Z)</f>
        <v/>
      </c>
      <c r="Z9" s="17">
        <f>+SUMIF(Рўйхат!$C:$C,$B9,Рўйхат!AA:AA)</f>
        <v/>
      </c>
      <c r="AA9" s="18">
        <f>+SUMIF(Рўйхат!$C:$C,$B9,Рўйхат!AB:AB)</f>
        <v/>
      </c>
      <c r="AB9" s="18">
        <f>+SUMIF(Рўйхат!$C:$C,$B9,Рўйхат!AC:AC)</f>
        <v/>
      </c>
      <c r="AC9" s="18">
        <f>+SUMIF(Рўйхат!$C:$C,$B9,Рўйхат!AD:AD)</f>
        <v/>
      </c>
      <c r="AD9" s="18">
        <f>+SUMIF(Рўйхат!$C:$C,$B9,Рўйхат!AE:AE)</f>
        <v/>
      </c>
      <c r="AE9" s="17">
        <f>+SUMIF(Рўйхат!$C:$C,$B9,Рўйхат!AF:AF)</f>
        <v/>
      </c>
      <c r="AF9" s="18">
        <f>+SUMIF(Рўйхат!$C:$C,$B9,Рўйхат!AG:AG)</f>
        <v/>
      </c>
      <c r="AG9" s="18">
        <f>+SUMIF(Рўйхат!$C:$C,$B9,Рўйхат!AH:AH)</f>
        <v/>
      </c>
      <c r="AH9" s="33">
        <f>+SUMIF(Рўйхат!$C:$C,$B9,Рўйхат!AI:AI)</f>
        <v/>
      </c>
      <c r="AI9" s="19">
        <f>+SUMIF(Рўйхат!$C:$C,$B9,Рўйхат!AJ:AJ)</f>
        <v/>
      </c>
    </row>
    <row r="10" ht="34" customHeight="1">
      <c r="A10" s="25">
        <f>+A9+1</f>
        <v/>
      </c>
      <c r="B10" s="26" t="inlineStr">
        <is>
          <t>Қурилиш ва уй-жой коммунал хўжалиги вазирлиги</t>
        </is>
      </c>
      <c r="C10" s="28">
        <f>IF(IFERROR(VLOOKUP(B10,Рўйхат!C:E,2,0),"")="[NULL]","",IFERROR(VLOOKUP(B10,Рўйхат!C:E,2,0),""))</f>
        <v/>
      </c>
      <c r="D10" s="28">
        <f>IFERROR(VLOOKUP(B10,Рўйхат!C:E,3,0),"")</f>
        <v/>
      </c>
      <c r="E10" s="17">
        <f>+SUMIF(Рўйхат!$C:$C,$B10,Рўйхат!G:G)</f>
        <v/>
      </c>
      <c r="F10" s="18">
        <f>+SUMIF(Рўйхат!$C:$C,$B10,Рўйхат!H:H)</f>
        <v/>
      </c>
      <c r="G10" s="18">
        <f>M10</f>
        <v/>
      </c>
      <c r="H10" s="18">
        <f>R10+W10+AB10+AG10</f>
        <v/>
      </c>
      <c r="I10" s="18">
        <f>+SUMIF(Рўйхат!$C:$C,$B10,Рўйхат!J:J)</f>
        <v/>
      </c>
      <c r="J10" s="18">
        <f>+SUMIF(Рўйхат!$C:$C,$B10,Рўйхат!K:K)</f>
        <v/>
      </c>
      <c r="K10" s="17">
        <f>+SUMIF(Рўйхат!$C:$C,$B10,Рўйхат!L:L)</f>
        <v/>
      </c>
      <c r="L10" s="18">
        <f>+SUMIF(Рўйхат!$C:$C,$B10,Рўйхат!M:M)</f>
        <v/>
      </c>
      <c r="M10" s="18">
        <f>+SUMIF(Рўйхат!$C:$C,$B10,Рўйхат!N:N)</f>
        <v/>
      </c>
      <c r="N10" s="18">
        <f>+SUMIF(Рўйхат!$C:$C,$B10,Рўйхат!O:O)</f>
        <v/>
      </c>
      <c r="O10" s="18">
        <f>+SUMIF(Рўйхат!$C:$C,$B10,Рўйхат!P:P)</f>
        <v/>
      </c>
      <c r="P10" s="17">
        <f>+SUMIF(Рўйхат!$C:$C,$B10,Рўйхат!Q:Q)</f>
        <v/>
      </c>
      <c r="Q10" s="18">
        <f>+SUMIF(Рўйхат!$C:$C,$B10,Рўйхат!R:R)</f>
        <v/>
      </c>
      <c r="R10" s="18">
        <f>+SUMIF(Рўйхат!$C:$C,$B10,Рўйхат!S:S)</f>
        <v/>
      </c>
      <c r="S10" s="18">
        <f>+SUMIF(Рўйхат!$C:$C,$B10,Рўйхат!T:T)</f>
        <v/>
      </c>
      <c r="T10" s="18">
        <f>+SUMIF(Рўйхат!$C:$C,$B10,Рўйхат!U:U)</f>
        <v/>
      </c>
      <c r="U10" s="17">
        <f>+SUMIF(Рўйхат!$C:$C,$B10,Рўйхат!V:V)</f>
        <v/>
      </c>
      <c r="V10" s="18">
        <f>+SUMIF(Рўйхат!$C:$C,$B10,Рўйхат!W:W)</f>
        <v/>
      </c>
      <c r="W10" s="18">
        <f>+SUMIF(Рўйхат!$C:$C,$B10,Рўйхат!X:X)</f>
        <v/>
      </c>
      <c r="X10" s="18">
        <f>+SUMIF(Рўйхат!$C:$C,$B10,Рўйхат!Y:Y)</f>
        <v/>
      </c>
      <c r="Y10" s="18">
        <f>+SUMIF(Рўйхат!$C:$C,$B10,Рўйхат!Z:Z)</f>
        <v/>
      </c>
      <c r="Z10" s="17">
        <f>+SUMIF(Рўйхат!$C:$C,$B10,Рўйхат!AA:AA)</f>
        <v/>
      </c>
      <c r="AA10" s="18">
        <f>+SUMIF(Рўйхат!$C:$C,$B10,Рўйхат!AB:AB)</f>
        <v/>
      </c>
      <c r="AB10" s="18">
        <f>+SUMIF(Рўйхат!$C:$C,$B10,Рўйхат!AC:AC)</f>
        <v/>
      </c>
      <c r="AC10" s="18">
        <f>+SUMIF(Рўйхат!$C:$C,$B10,Рўйхат!AD:AD)</f>
        <v/>
      </c>
      <c r="AD10" s="18">
        <f>+SUMIF(Рўйхат!$C:$C,$B10,Рўйхат!AE:AE)</f>
        <v/>
      </c>
      <c r="AE10" s="17">
        <f>+SUMIF(Рўйхат!$C:$C,$B10,Рўйхат!AF:AF)</f>
        <v/>
      </c>
      <c r="AF10" s="18">
        <f>+SUMIF(Рўйхат!$C:$C,$B10,Рўйхат!AG:AG)</f>
        <v/>
      </c>
      <c r="AG10" s="18">
        <f>+SUMIF(Рўйхат!$C:$C,$B10,Рўйхат!AH:AH)</f>
        <v/>
      </c>
      <c r="AH10" s="33">
        <f>+SUMIF(Рўйхат!$C:$C,$B10,Рўйхат!AI:AI)</f>
        <v/>
      </c>
      <c r="AI10" s="19">
        <f>+SUMIF(Рўйхат!$C:$C,$B10,Рўйхат!AJ:AJ)</f>
        <v/>
      </c>
    </row>
    <row r="11" ht="17" customHeight="1">
      <c r="A11" s="25">
        <f>+A10+1</f>
        <v/>
      </c>
      <c r="B11" s="26" t="inlineStr">
        <is>
          <t>Олий таълим, фан ва инновациялар вазирлиги</t>
        </is>
      </c>
      <c r="C11" s="28">
        <f>IF(IFERROR(VLOOKUP(B11,Рўйхат!C:E,2,0),"")="[NULL]","",IFERROR(VLOOKUP(B11,Рўйхат!C:E,2,0),""))</f>
        <v/>
      </c>
      <c r="D11" s="28">
        <f>IFERROR(VLOOKUP(B11,Рўйхат!C:E,3,0),"")</f>
        <v/>
      </c>
      <c r="E11" s="17">
        <f>+SUMIF(Рўйхат!$C:$C,$B11,Рўйхат!G:G)</f>
        <v/>
      </c>
      <c r="F11" s="18">
        <f>+SUMIF(Рўйхат!$C:$C,$B11,Рўйхат!H:H)</f>
        <v/>
      </c>
      <c r="G11" s="18">
        <f>M11</f>
        <v/>
      </c>
      <c r="H11" s="18">
        <f>R11+W11+AB11+AG11</f>
        <v/>
      </c>
      <c r="I11" s="18">
        <f>+SUMIF(Рўйхат!$C:$C,$B11,Рўйхат!J:J)</f>
        <v/>
      </c>
      <c r="J11" s="18">
        <f>+SUMIF(Рўйхат!$C:$C,$B11,Рўйхат!K:K)</f>
        <v/>
      </c>
      <c r="K11" s="17">
        <f>+SUMIF(Рўйхат!$C:$C,$B11,Рўйхат!L:L)</f>
        <v/>
      </c>
      <c r="L11" s="18">
        <f>+SUMIF(Рўйхат!$C:$C,$B11,Рўйхат!M:M)</f>
        <v/>
      </c>
      <c r="M11" s="18">
        <f>+SUMIF(Рўйхат!$C:$C,$B11,Рўйхат!N:N)</f>
        <v/>
      </c>
      <c r="N11" s="18">
        <f>+SUMIF(Рўйхат!$C:$C,$B11,Рўйхат!O:O)</f>
        <v/>
      </c>
      <c r="O11" s="18">
        <f>+SUMIF(Рўйхат!$C:$C,$B11,Рўйхат!P:P)</f>
        <v/>
      </c>
      <c r="P11" s="17">
        <f>+SUMIF(Рўйхат!$C:$C,$B11,Рўйхат!Q:Q)</f>
        <v/>
      </c>
      <c r="Q11" s="18">
        <f>+SUMIF(Рўйхат!$C:$C,$B11,Рўйхат!R:R)</f>
        <v/>
      </c>
      <c r="R11" s="18">
        <f>+SUMIF(Рўйхат!$C:$C,$B11,Рўйхат!S:S)</f>
        <v/>
      </c>
      <c r="S11" s="18">
        <f>+SUMIF(Рўйхат!$C:$C,$B11,Рўйхат!T:T)</f>
        <v/>
      </c>
      <c r="T11" s="18">
        <f>+SUMIF(Рўйхат!$C:$C,$B11,Рўйхат!U:U)</f>
        <v/>
      </c>
      <c r="U11" s="17">
        <f>+SUMIF(Рўйхат!$C:$C,$B11,Рўйхат!V:V)</f>
        <v/>
      </c>
      <c r="V11" s="18">
        <f>+SUMIF(Рўйхат!$C:$C,$B11,Рўйхат!W:W)</f>
        <v/>
      </c>
      <c r="W11" s="18">
        <f>+SUMIF(Рўйхат!$C:$C,$B11,Рўйхат!X:X)</f>
        <v/>
      </c>
      <c r="X11" s="18">
        <f>+SUMIF(Рўйхат!$C:$C,$B11,Рўйхат!Y:Y)</f>
        <v/>
      </c>
      <c r="Y11" s="18">
        <f>+SUMIF(Рўйхат!$C:$C,$B11,Рўйхат!Z:Z)</f>
        <v/>
      </c>
      <c r="Z11" s="17">
        <f>+SUMIF(Рўйхат!$C:$C,$B11,Рўйхат!AA:AA)</f>
        <v/>
      </c>
      <c r="AA11" s="18">
        <f>+SUMIF(Рўйхат!$C:$C,$B11,Рўйхат!AB:AB)</f>
        <v/>
      </c>
      <c r="AB11" s="18">
        <f>+SUMIF(Рўйхат!$C:$C,$B11,Рўйхат!AC:AC)</f>
        <v/>
      </c>
      <c r="AC11" s="18">
        <f>+SUMIF(Рўйхат!$C:$C,$B11,Рўйхат!AD:AD)</f>
        <v/>
      </c>
      <c r="AD11" s="18">
        <f>+SUMIF(Рўйхат!$C:$C,$B11,Рўйхат!AE:AE)</f>
        <v/>
      </c>
      <c r="AE11" s="17">
        <f>+SUMIF(Рўйхат!$C:$C,$B11,Рўйхат!AF:AF)</f>
        <v/>
      </c>
      <c r="AF11" s="18">
        <f>+SUMIF(Рўйхат!$C:$C,$B11,Рўйхат!AG:AG)</f>
        <v/>
      </c>
      <c r="AG11" s="18">
        <f>+SUMIF(Рўйхат!$C:$C,$B11,Рўйхат!AH:AH)</f>
        <v/>
      </c>
      <c r="AH11" s="33">
        <f>+SUMIF(Рўйхат!$C:$C,$B11,Рўйхат!AI:AI)</f>
        <v/>
      </c>
      <c r="AI11" s="19">
        <f>+SUMIF(Рўйхат!$C:$C,$B11,Рўйхат!AJ:AJ)</f>
        <v/>
      </c>
    </row>
    <row r="12" ht="34" customHeight="1">
      <c r="A12" s="25">
        <f>+A11+1</f>
        <v/>
      </c>
      <c r="B12" s="26" t="inlineStr">
        <is>
          <t>“Ўзбекнефтгаз” АЖ</t>
        </is>
      </c>
      <c r="C12" s="28">
        <f>IF(IFERROR(VLOOKUP(B12,Рўйхат!C:E,2,0),"")="[NULL]","",IFERROR(VLOOKUP(B12,Рўйхат!C:E,2,0),""))</f>
        <v/>
      </c>
      <c r="D12" s="28">
        <f>IFERROR(VLOOKUP(B12,Рўйхат!C:E,3,0),"")</f>
        <v/>
      </c>
      <c r="E12" s="17">
        <f>+SUMIF(Рўйхат!$C:$C,$B12,Рўйхат!G:G)</f>
        <v/>
      </c>
      <c r="F12" s="18">
        <f>+SUMIF(Рўйхат!$C:$C,$B12,Рўйхат!H:H)</f>
        <v/>
      </c>
      <c r="G12" s="18">
        <f>M12</f>
        <v/>
      </c>
      <c r="H12" s="18">
        <f>R12+W12+AB12+AG12</f>
        <v/>
      </c>
      <c r="I12" s="18">
        <f>+SUMIF(Рўйхат!$C:$C,$B12,Рўйхат!J:J)</f>
        <v/>
      </c>
      <c r="J12" s="18">
        <f>+SUMIF(Рўйхат!$C:$C,$B12,Рўйхат!K:K)</f>
        <v/>
      </c>
      <c r="K12" s="17">
        <f>+SUMIF(Рўйхат!$C:$C,$B12,Рўйхат!L:L)</f>
        <v/>
      </c>
      <c r="L12" s="18">
        <f>+SUMIF(Рўйхат!$C:$C,$B12,Рўйхат!M:M)</f>
        <v/>
      </c>
      <c r="M12" s="18">
        <f>+SUMIF(Рўйхат!$C:$C,$B12,Рўйхат!N:N)</f>
        <v/>
      </c>
      <c r="N12" s="18">
        <f>+SUMIF(Рўйхат!$C:$C,$B12,Рўйхат!O:O)</f>
        <v/>
      </c>
      <c r="O12" s="18">
        <f>+SUMIF(Рўйхат!$C:$C,$B12,Рўйхат!P:P)</f>
        <v/>
      </c>
      <c r="P12" s="17">
        <f>+SUMIF(Рўйхат!$C:$C,$B12,Рўйхат!Q:Q)</f>
        <v/>
      </c>
      <c r="Q12" s="18">
        <f>+SUMIF(Рўйхат!$C:$C,$B12,Рўйхат!R:R)</f>
        <v/>
      </c>
      <c r="R12" s="18">
        <f>+SUMIF(Рўйхат!$C:$C,$B12,Рўйхат!S:S)</f>
        <v/>
      </c>
      <c r="S12" s="18">
        <f>+SUMIF(Рўйхат!$C:$C,$B12,Рўйхат!T:T)</f>
        <v/>
      </c>
      <c r="T12" s="18">
        <f>+SUMIF(Рўйхат!$C:$C,$B12,Рўйхат!U:U)</f>
        <v/>
      </c>
      <c r="U12" s="17">
        <f>+SUMIF(Рўйхат!$C:$C,$B12,Рўйхат!V:V)</f>
        <v/>
      </c>
      <c r="V12" s="18">
        <f>+SUMIF(Рўйхат!$C:$C,$B12,Рўйхат!W:W)</f>
        <v/>
      </c>
      <c r="W12" s="18">
        <f>+SUMIF(Рўйхат!$C:$C,$B12,Рўйхат!X:X)</f>
        <v/>
      </c>
      <c r="X12" s="18">
        <f>+SUMIF(Рўйхат!$C:$C,$B12,Рўйхат!Y:Y)</f>
        <v/>
      </c>
      <c r="Y12" s="18">
        <f>+SUMIF(Рўйхат!$C:$C,$B12,Рўйхат!Z:Z)</f>
        <v/>
      </c>
      <c r="Z12" s="17">
        <f>+SUMIF(Рўйхат!$C:$C,$B12,Рўйхат!AA:AA)</f>
        <v/>
      </c>
      <c r="AA12" s="18">
        <f>+SUMIF(Рўйхат!$C:$C,$B12,Рўйхат!AB:AB)</f>
        <v/>
      </c>
      <c r="AB12" s="18">
        <f>+SUMIF(Рўйхат!$C:$C,$B12,Рўйхат!AC:AC)</f>
        <v/>
      </c>
      <c r="AC12" s="18">
        <f>+SUMIF(Рўйхат!$C:$C,$B12,Рўйхат!AD:AD)</f>
        <v/>
      </c>
      <c r="AD12" s="18">
        <f>+SUMIF(Рўйхат!$C:$C,$B12,Рўйхат!AE:AE)</f>
        <v/>
      </c>
      <c r="AE12" s="17">
        <f>+SUMIF(Рўйхат!$C:$C,$B12,Рўйхат!AF:AF)</f>
        <v/>
      </c>
      <c r="AF12" s="18">
        <f>+SUMIF(Рўйхат!$C:$C,$B12,Рўйхат!AG:AG)</f>
        <v/>
      </c>
      <c r="AG12" s="18">
        <f>+SUMIF(Рўйхат!$C:$C,$B12,Рўйхат!AH:AH)</f>
        <v/>
      </c>
      <c r="AH12" s="33">
        <f>+SUMIF(Рўйхат!$C:$C,$B12,Рўйхат!AI:AI)</f>
        <v/>
      </c>
      <c r="AI12" s="19">
        <f>+SUMIF(Рўйхат!$C:$C,$B12,Рўйхат!AJ:AJ)</f>
        <v/>
      </c>
    </row>
    <row r="13" ht="34" customHeight="1">
      <c r="A13" s="25">
        <f>+A12+1</f>
        <v/>
      </c>
      <c r="B13" s="26" t="inlineStr">
        <is>
          <t>АТ Халқ банк</t>
        </is>
      </c>
      <c r="C13" s="28">
        <f>IF(IFERROR(VLOOKUP(B13,Рўйхат!C:E,2,0),"")="[NULL]","",IFERROR(VLOOKUP(B13,Рўйхат!C:E,2,0),""))</f>
        <v/>
      </c>
      <c r="D13" s="28">
        <f>IFERROR(VLOOKUP(B13,Рўйхат!C:E,3,0),"")</f>
        <v/>
      </c>
      <c r="E13" s="17">
        <f>+SUMIF(Рўйхат!$C:$C,$B13,Рўйхат!G:G)</f>
        <v/>
      </c>
      <c r="F13" s="18">
        <f>+SUMIF(Рўйхат!$C:$C,$B13,Рўйхат!H:H)</f>
        <v/>
      </c>
      <c r="G13" s="18">
        <f>M13</f>
        <v/>
      </c>
      <c r="H13" s="18">
        <f>R13+W13+AB13+AG13</f>
        <v/>
      </c>
      <c r="I13" s="18">
        <f>+SUMIF(Рўйхат!$C:$C,$B13,Рўйхат!J:J)</f>
        <v/>
      </c>
      <c r="J13" s="18">
        <f>+SUMIF(Рўйхат!$C:$C,$B13,Рўйхат!K:K)</f>
        <v/>
      </c>
      <c r="K13" s="17">
        <f>+SUMIF(Рўйхат!$C:$C,$B13,Рўйхат!L:L)</f>
        <v/>
      </c>
      <c r="L13" s="18">
        <f>+SUMIF(Рўйхат!$C:$C,$B13,Рўйхат!M:M)</f>
        <v/>
      </c>
      <c r="M13" s="18">
        <f>+SUMIF(Рўйхат!$C:$C,$B13,Рўйхат!N:N)</f>
        <v/>
      </c>
      <c r="N13" s="18">
        <f>+SUMIF(Рўйхат!$C:$C,$B13,Рўйхат!O:O)</f>
        <v/>
      </c>
      <c r="O13" s="18">
        <f>+SUMIF(Рўйхат!$C:$C,$B13,Рўйхат!P:P)</f>
        <v/>
      </c>
      <c r="P13" s="17">
        <f>+SUMIF(Рўйхат!$C:$C,$B13,Рўйхат!Q:Q)</f>
        <v/>
      </c>
      <c r="Q13" s="18">
        <f>+SUMIF(Рўйхат!$C:$C,$B13,Рўйхат!R:R)</f>
        <v/>
      </c>
      <c r="R13" s="18">
        <f>+SUMIF(Рўйхат!$C:$C,$B13,Рўйхат!S:S)</f>
        <v/>
      </c>
      <c r="S13" s="18">
        <f>+SUMIF(Рўйхат!$C:$C,$B13,Рўйхат!T:T)</f>
        <v/>
      </c>
      <c r="T13" s="18">
        <f>+SUMIF(Рўйхат!$C:$C,$B13,Рўйхат!U:U)</f>
        <v/>
      </c>
      <c r="U13" s="17">
        <f>+SUMIF(Рўйхат!$C:$C,$B13,Рўйхат!V:V)</f>
        <v/>
      </c>
      <c r="V13" s="18">
        <f>+SUMIF(Рўйхат!$C:$C,$B13,Рўйхат!W:W)</f>
        <v/>
      </c>
      <c r="W13" s="18">
        <f>+SUMIF(Рўйхат!$C:$C,$B13,Рўйхат!X:X)</f>
        <v/>
      </c>
      <c r="X13" s="18">
        <f>+SUMIF(Рўйхат!$C:$C,$B13,Рўйхат!Y:Y)</f>
        <v/>
      </c>
      <c r="Y13" s="18">
        <f>+SUMIF(Рўйхат!$C:$C,$B13,Рўйхат!Z:Z)</f>
        <v/>
      </c>
      <c r="Z13" s="17">
        <f>+SUMIF(Рўйхат!$C:$C,$B13,Рўйхат!AA:AA)</f>
        <v/>
      </c>
      <c r="AA13" s="18">
        <f>+SUMIF(Рўйхат!$C:$C,$B13,Рўйхат!AB:AB)</f>
        <v/>
      </c>
      <c r="AB13" s="18">
        <f>+SUMIF(Рўйхат!$C:$C,$B13,Рўйхат!AC:AC)</f>
        <v/>
      </c>
      <c r="AC13" s="18">
        <f>+SUMIF(Рўйхат!$C:$C,$B13,Рўйхат!AD:AD)</f>
        <v/>
      </c>
      <c r="AD13" s="18">
        <f>+SUMIF(Рўйхат!$C:$C,$B13,Рўйхат!AE:AE)</f>
        <v/>
      </c>
      <c r="AE13" s="17">
        <f>+SUMIF(Рўйхат!$C:$C,$B13,Рўйхат!AF:AF)</f>
        <v/>
      </c>
      <c r="AF13" s="18">
        <f>+SUMIF(Рўйхат!$C:$C,$B13,Рўйхат!AG:AG)</f>
        <v/>
      </c>
      <c r="AG13" s="18">
        <f>+SUMIF(Рўйхат!$C:$C,$B13,Рўйхат!AH:AH)</f>
        <v/>
      </c>
      <c r="AH13" s="33">
        <f>+SUMIF(Рўйхат!$C:$C,$B13,Рўйхат!AI:AI)</f>
        <v/>
      </c>
      <c r="AI13" s="19">
        <f>+SUMIF(Рўйхат!$C:$C,$B13,Рўйхат!AJ:AJ)</f>
        <v/>
      </c>
    </row>
    <row r="14" ht="34" customHeight="1">
      <c r="A14" s="25">
        <f>+A13+1</f>
        <v/>
      </c>
      <c r="B14" s="26" t="inlineStr">
        <is>
          <t>Маданият вазирлиги</t>
        </is>
      </c>
      <c r="C14" s="28">
        <f>IF(IFERROR(VLOOKUP(B14,Рўйхат!C:E,2,0),"")="[NULL]","",IFERROR(VLOOKUP(B14,Рўйхат!C:E,2,0),""))</f>
        <v/>
      </c>
      <c r="D14" s="28">
        <f>IFERROR(VLOOKUP(B14,Рўйхат!C:E,3,0),"")</f>
        <v/>
      </c>
      <c r="E14" s="17">
        <f>+SUMIF(Рўйхат!$C:$C,$B14,Рўйхат!G:G)</f>
        <v/>
      </c>
      <c r="F14" s="18">
        <f>+SUMIF(Рўйхат!$C:$C,$B14,Рўйхат!H:H)</f>
        <v/>
      </c>
      <c r="G14" s="18">
        <f>M14</f>
        <v/>
      </c>
      <c r="H14" s="18">
        <f>R14+W14+AB14+AG14</f>
        <v/>
      </c>
      <c r="I14" s="18">
        <f>+SUMIF(Рўйхат!$C:$C,$B14,Рўйхат!J:J)</f>
        <v/>
      </c>
      <c r="J14" s="18">
        <f>+SUMIF(Рўйхат!$C:$C,$B14,Рўйхат!K:K)</f>
        <v/>
      </c>
      <c r="K14" s="17">
        <f>+SUMIF(Рўйхат!$C:$C,$B14,Рўйхат!L:L)</f>
        <v/>
      </c>
      <c r="L14" s="18">
        <f>+SUMIF(Рўйхат!$C:$C,$B14,Рўйхат!M:M)</f>
        <v/>
      </c>
      <c r="M14" s="18">
        <f>+SUMIF(Рўйхат!$C:$C,$B14,Рўйхат!N:N)</f>
        <v/>
      </c>
      <c r="N14" s="18">
        <f>+SUMIF(Рўйхат!$C:$C,$B14,Рўйхат!O:O)</f>
        <v/>
      </c>
      <c r="O14" s="18">
        <f>+SUMIF(Рўйхат!$C:$C,$B14,Рўйхат!P:P)</f>
        <v/>
      </c>
      <c r="P14" s="17">
        <f>+SUMIF(Рўйхат!$C:$C,$B14,Рўйхат!Q:Q)</f>
        <v/>
      </c>
      <c r="Q14" s="18">
        <f>+SUMIF(Рўйхат!$C:$C,$B14,Рўйхат!R:R)</f>
        <v/>
      </c>
      <c r="R14" s="18">
        <f>+SUMIF(Рўйхат!$C:$C,$B14,Рўйхат!S:S)</f>
        <v/>
      </c>
      <c r="S14" s="18">
        <f>+SUMIF(Рўйхат!$C:$C,$B14,Рўйхат!T:T)</f>
        <v/>
      </c>
      <c r="T14" s="18">
        <f>+SUMIF(Рўйхат!$C:$C,$B14,Рўйхат!U:U)</f>
        <v/>
      </c>
      <c r="U14" s="17">
        <f>+SUMIF(Рўйхат!$C:$C,$B14,Рўйхат!V:V)</f>
        <v/>
      </c>
      <c r="V14" s="18">
        <f>+SUMIF(Рўйхат!$C:$C,$B14,Рўйхат!W:W)</f>
        <v/>
      </c>
      <c r="W14" s="18">
        <f>+SUMIF(Рўйхат!$C:$C,$B14,Рўйхат!X:X)</f>
        <v/>
      </c>
      <c r="X14" s="18">
        <f>+SUMIF(Рўйхат!$C:$C,$B14,Рўйхат!Y:Y)</f>
        <v/>
      </c>
      <c r="Y14" s="18">
        <f>+SUMIF(Рўйхат!$C:$C,$B14,Рўйхат!Z:Z)</f>
        <v/>
      </c>
      <c r="Z14" s="17">
        <f>+SUMIF(Рўйхат!$C:$C,$B14,Рўйхат!AA:AA)</f>
        <v/>
      </c>
      <c r="AA14" s="18">
        <f>+SUMIF(Рўйхат!$C:$C,$B14,Рўйхат!AB:AB)</f>
        <v/>
      </c>
      <c r="AB14" s="18">
        <f>+SUMIF(Рўйхат!$C:$C,$B14,Рўйхат!AC:AC)</f>
        <v/>
      </c>
      <c r="AC14" s="18">
        <f>+SUMIF(Рўйхат!$C:$C,$B14,Рўйхат!AD:AD)</f>
        <v/>
      </c>
      <c r="AD14" s="18">
        <f>+SUMIF(Рўйхат!$C:$C,$B14,Рўйхат!AE:AE)</f>
        <v/>
      </c>
      <c r="AE14" s="17">
        <f>+SUMIF(Рўйхат!$C:$C,$B14,Рўйхат!AF:AF)</f>
        <v/>
      </c>
      <c r="AF14" s="18">
        <f>+SUMIF(Рўйхат!$C:$C,$B14,Рўйхат!AG:AG)</f>
        <v/>
      </c>
      <c r="AG14" s="18">
        <f>+SUMIF(Рўйхат!$C:$C,$B14,Рўйхат!AH:AH)</f>
        <v/>
      </c>
      <c r="AH14" s="33">
        <f>+SUMIF(Рўйхат!$C:$C,$B14,Рўйхат!AI:AI)</f>
        <v/>
      </c>
      <c r="AI14" s="19">
        <f>+SUMIF(Рўйхат!$C:$C,$B14,Рўйхат!AJ:AJ)</f>
        <v/>
      </c>
    </row>
    <row r="15" ht="17" customHeight="1">
      <c r="A15" s="25">
        <f>+A14+1</f>
        <v/>
      </c>
      <c r="B15" s="26" t="inlineStr">
        <is>
          <t>Ижтимоий ҳимоя миллий агентлиги</t>
        </is>
      </c>
      <c r="C15" s="28">
        <f>IF(IFERROR(VLOOKUP(B15,Рўйхат!C:E,2,0),"")="[NULL]","",IFERROR(VLOOKUP(B15,Рўйхат!C:E,2,0),""))</f>
        <v/>
      </c>
      <c r="D15" s="28">
        <f>IFERROR(VLOOKUP(B15,Рўйхат!C:E,3,0),"")</f>
        <v/>
      </c>
      <c r="E15" s="17">
        <f>+SUMIF(Рўйхат!$C:$C,$B15,Рўйхат!G:G)</f>
        <v/>
      </c>
      <c r="F15" s="18">
        <f>+SUMIF(Рўйхат!$C:$C,$B15,Рўйхат!H:H)</f>
        <v/>
      </c>
      <c r="G15" s="18">
        <f>M15</f>
        <v/>
      </c>
      <c r="H15" s="18">
        <f>R15+W15+AB15+AG15</f>
        <v/>
      </c>
      <c r="I15" s="18">
        <f>+SUMIF(Рўйхат!$C:$C,$B15,Рўйхат!J:J)</f>
        <v/>
      </c>
      <c r="J15" s="18">
        <f>+SUMIF(Рўйхат!$C:$C,$B15,Рўйхат!K:K)</f>
        <v/>
      </c>
      <c r="K15" s="17">
        <f>+SUMIF(Рўйхат!$C:$C,$B15,Рўйхат!L:L)</f>
        <v/>
      </c>
      <c r="L15" s="18">
        <f>+SUMIF(Рўйхат!$C:$C,$B15,Рўйхат!M:M)</f>
        <v/>
      </c>
      <c r="M15" s="18">
        <f>+SUMIF(Рўйхат!$C:$C,$B15,Рўйхат!N:N)</f>
        <v/>
      </c>
      <c r="N15" s="18">
        <f>+SUMIF(Рўйхат!$C:$C,$B15,Рўйхат!O:O)</f>
        <v/>
      </c>
      <c r="O15" s="18">
        <f>+SUMIF(Рўйхат!$C:$C,$B15,Рўйхат!P:P)</f>
        <v/>
      </c>
      <c r="P15" s="17">
        <f>+SUMIF(Рўйхат!$C:$C,$B15,Рўйхат!Q:Q)</f>
        <v/>
      </c>
      <c r="Q15" s="18">
        <f>+SUMIF(Рўйхат!$C:$C,$B15,Рўйхат!R:R)</f>
        <v/>
      </c>
      <c r="R15" s="18">
        <f>+SUMIF(Рўйхат!$C:$C,$B15,Рўйхат!S:S)</f>
        <v/>
      </c>
      <c r="S15" s="18">
        <f>+SUMIF(Рўйхат!$C:$C,$B15,Рўйхат!T:T)</f>
        <v/>
      </c>
      <c r="T15" s="18">
        <f>+SUMIF(Рўйхат!$C:$C,$B15,Рўйхат!U:U)</f>
        <v/>
      </c>
      <c r="U15" s="17">
        <f>+SUMIF(Рўйхат!$C:$C,$B15,Рўйхат!V:V)</f>
        <v/>
      </c>
      <c r="V15" s="18">
        <f>+SUMIF(Рўйхат!$C:$C,$B15,Рўйхат!W:W)</f>
        <v/>
      </c>
      <c r="W15" s="18">
        <f>+SUMIF(Рўйхат!$C:$C,$B15,Рўйхат!X:X)</f>
        <v/>
      </c>
      <c r="X15" s="18">
        <f>+SUMIF(Рўйхат!$C:$C,$B15,Рўйхат!Y:Y)</f>
        <v/>
      </c>
      <c r="Y15" s="18">
        <f>+SUMIF(Рўйхат!$C:$C,$B15,Рўйхат!Z:Z)</f>
        <v/>
      </c>
      <c r="Z15" s="17">
        <f>+SUMIF(Рўйхат!$C:$C,$B15,Рўйхат!AA:AA)</f>
        <v/>
      </c>
      <c r="AA15" s="18">
        <f>+SUMIF(Рўйхат!$C:$C,$B15,Рўйхат!AB:AB)</f>
        <v/>
      </c>
      <c r="AB15" s="18">
        <f>+SUMIF(Рўйхат!$C:$C,$B15,Рўйхат!AC:AC)</f>
        <v/>
      </c>
      <c r="AC15" s="18">
        <f>+SUMIF(Рўйхат!$C:$C,$B15,Рўйхат!AD:AD)</f>
        <v/>
      </c>
      <c r="AD15" s="18">
        <f>+SUMIF(Рўйхат!$C:$C,$B15,Рўйхат!AE:AE)</f>
        <v/>
      </c>
      <c r="AE15" s="17">
        <f>+SUMIF(Рўйхат!$C:$C,$B15,Рўйхат!AF:AF)</f>
        <v/>
      </c>
      <c r="AF15" s="18">
        <f>+SUMIF(Рўйхат!$C:$C,$B15,Рўйхат!AG:AG)</f>
        <v/>
      </c>
      <c r="AG15" s="18">
        <f>+SUMIF(Рўйхат!$C:$C,$B15,Рўйхат!AH:AH)</f>
        <v/>
      </c>
      <c r="AH15" s="33">
        <f>+SUMIF(Рўйхат!$C:$C,$B15,Рўйхат!AI:AI)</f>
        <v/>
      </c>
      <c r="AI15" s="19">
        <f>+SUMIF(Рўйхат!$C:$C,$B15,Рўйхат!AJ:AJ)</f>
        <v/>
      </c>
    </row>
    <row r="16" ht="17" customHeight="1">
      <c r="A16" s="25">
        <f>+A15+1</f>
        <v/>
      </c>
      <c r="B16" s="26" t="inlineStr">
        <is>
          <t>Қишлоқ хўжалиги вазирлиги</t>
        </is>
      </c>
      <c r="C16" s="28">
        <f>IF(IFERROR(VLOOKUP(B16,Рўйхат!C:E,2,0),"")="[NULL]","",IFERROR(VLOOKUP(B16,Рўйхат!C:E,2,0),""))</f>
        <v/>
      </c>
      <c r="D16" s="28">
        <f>IFERROR(VLOOKUP(B16,Рўйхат!C:E,3,0),"")</f>
        <v/>
      </c>
      <c r="E16" s="17">
        <f>+SUMIF(Рўйхат!$C:$C,$B16,Рўйхат!G:G)</f>
        <v/>
      </c>
      <c r="F16" s="18">
        <f>+SUMIF(Рўйхат!$C:$C,$B16,Рўйхат!H:H)</f>
        <v/>
      </c>
      <c r="G16" s="18">
        <f>M16</f>
        <v/>
      </c>
      <c r="H16" s="18">
        <f>R16+W16+AB16+AG16</f>
        <v/>
      </c>
      <c r="I16" s="18">
        <f>+SUMIF(Рўйхат!$C:$C,$B16,Рўйхат!J:J)</f>
        <v/>
      </c>
      <c r="J16" s="18">
        <f>+SUMIF(Рўйхат!$C:$C,$B16,Рўйхат!K:K)</f>
        <v/>
      </c>
      <c r="K16" s="17">
        <f>+SUMIF(Рўйхат!$C:$C,$B16,Рўйхат!L:L)</f>
        <v/>
      </c>
      <c r="L16" s="18">
        <f>+SUMIF(Рўйхат!$C:$C,$B16,Рўйхат!M:M)</f>
        <v/>
      </c>
      <c r="M16" s="18">
        <f>+SUMIF(Рўйхат!$C:$C,$B16,Рўйхат!N:N)</f>
        <v/>
      </c>
      <c r="N16" s="18">
        <f>+SUMIF(Рўйхат!$C:$C,$B16,Рўйхат!O:O)</f>
        <v/>
      </c>
      <c r="O16" s="18">
        <f>+SUMIF(Рўйхат!$C:$C,$B16,Рўйхат!P:P)</f>
        <v/>
      </c>
      <c r="P16" s="17">
        <f>+SUMIF(Рўйхат!$C:$C,$B16,Рўйхат!Q:Q)</f>
        <v/>
      </c>
      <c r="Q16" s="18">
        <f>+SUMIF(Рўйхат!$C:$C,$B16,Рўйхат!R:R)</f>
        <v/>
      </c>
      <c r="R16" s="18">
        <f>+SUMIF(Рўйхат!$C:$C,$B16,Рўйхат!S:S)</f>
        <v/>
      </c>
      <c r="S16" s="18">
        <f>+SUMIF(Рўйхат!$C:$C,$B16,Рўйхат!T:T)</f>
        <v/>
      </c>
      <c r="T16" s="18">
        <f>+SUMIF(Рўйхат!$C:$C,$B16,Рўйхат!U:U)</f>
        <v/>
      </c>
      <c r="U16" s="17">
        <f>+SUMIF(Рўйхат!$C:$C,$B16,Рўйхат!V:V)</f>
        <v/>
      </c>
      <c r="V16" s="18">
        <f>+SUMIF(Рўйхат!$C:$C,$B16,Рўйхат!W:W)</f>
        <v/>
      </c>
      <c r="W16" s="18">
        <f>+SUMIF(Рўйхат!$C:$C,$B16,Рўйхат!X:X)</f>
        <v/>
      </c>
      <c r="X16" s="18">
        <f>+SUMIF(Рўйхат!$C:$C,$B16,Рўйхат!Y:Y)</f>
        <v/>
      </c>
      <c r="Y16" s="18">
        <f>+SUMIF(Рўйхат!$C:$C,$B16,Рўйхат!Z:Z)</f>
        <v/>
      </c>
      <c r="Z16" s="17">
        <f>+SUMIF(Рўйхат!$C:$C,$B16,Рўйхат!AA:AA)</f>
        <v/>
      </c>
      <c r="AA16" s="18">
        <f>+SUMIF(Рўйхат!$C:$C,$B16,Рўйхат!AB:AB)</f>
        <v/>
      </c>
      <c r="AB16" s="18">
        <f>+SUMIF(Рўйхат!$C:$C,$B16,Рўйхат!AC:AC)</f>
        <v/>
      </c>
      <c r="AC16" s="18">
        <f>+SUMIF(Рўйхат!$C:$C,$B16,Рўйхат!AD:AD)</f>
        <v/>
      </c>
      <c r="AD16" s="18">
        <f>+SUMIF(Рўйхат!$C:$C,$B16,Рўйхат!AE:AE)</f>
        <v/>
      </c>
      <c r="AE16" s="17">
        <f>+SUMIF(Рўйхат!$C:$C,$B16,Рўйхат!AF:AF)</f>
        <v/>
      </c>
      <c r="AF16" s="18">
        <f>+SUMIF(Рўйхат!$C:$C,$B16,Рўйхат!AG:AG)</f>
        <v/>
      </c>
      <c r="AG16" s="18">
        <f>+SUMIF(Рўйхат!$C:$C,$B16,Рўйхат!AH:AH)</f>
        <v/>
      </c>
      <c r="AH16" s="33">
        <f>+SUMIF(Рўйхат!$C:$C,$B16,Рўйхат!AI:AI)</f>
        <v/>
      </c>
      <c r="AI16" s="19">
        <f>+SUMIF(Рўйхат!$C:$C,$B16,Рўйхат!AJ:AJ)</f>
        <v/>
      </c>
    </row>
    <row r="17" ht="17" customHeight="1">
      <c r="A17" s="25">
        <f>+A16+1</f>
        <v/>
      </c>
      <c r="B17" s="26" t="inlineStr">
        <is>
          <t>Сув хўжалиги вазирлиги</t>
        </is>
      </c>
      <c r="C17" s="28">
        <f>IF(IFERROR(VLOOKUP(B17,Рўйхат!C:E,2,0),"")="[NULL]","",IFERROR(VLOOKUP(B17,Рўйхат!C:E,2,0),""))</f>
        <v/>
      </c>
      <c r="D17" s="28">
        <f>IFERROR(VLOOKUP(B17,Рўйхат!C:E,3,0),"")</f>
        <v/>
      </c>
      <c r="E17" s="17">
        <f>+SUMIF(Рўйхат!$C:$C,$B17,Рўйхат!G:G)</f>
        <v/>
      </c>
      <c r="F17" s="18">
        <f>+SUMIF(Рўйхат!$C:$C,$B17,Рўйхат!H:H)</f>
        <v/>
      </c>
      <c r="G17" s="18">
        <f>M17</f>
        <v/>
      </c>
      <c r="H17" s="18">
        <f>R17+W17+AB17+AG17</f>
        <v/>
      </c>
      <c r="I17" s="18">
        <f>+SUMIF(Рўйхат!$C:$C,$B17,Рўйхат!J:J)</f>
        <v/>
      </c>
      <c r="J17" s="18">
        <f>+SUMIF(Рўйхат!$C:$C,$B17,Рўйхат!K:K)</f>
        <v/>
      </c>
      <c r="K17" s="17">
        <f>+SUMIF(Рўйхат!$C:$C,$B17,Рўйхат!L:L)</f>
        <v/>
      </c>
      <c r="L17" s="18">
        <f>+SUMIF(Рўйхат!$C:$C,$B17,Рўйхат!M:M)</f>
        <v/>
      </c>
      <c r="M17" s="18">
        <f>+SUMIF(Рўйхат!$C:$C,$B17,Рўйхат!N:N)</f>
        <v/>
      </c>
      <c r="N17" s="18">
        <f>+SUMIF(Рўйхат!$C:$C,$B17,Рўйхат!O:O)</f>
        <v/>
      </c>
      <c r="O17" s="18">
        <f>+SUMIF(Рўйхат!$C:$C,$B17,Рўйхат!P:P)</f>
        <v/>
      </c>
      <c r="P17" s="17">
        <f>+SUMIF(Рўйхат!$C:$C,$B17,Рўйхат!Q:Q)</f>
        <v/>
      </c>
      <c r="Q17" s="18">
        <f>+SUMIF(Рўйхат!$C:$C,$B17,Рўйхат!R:R)</f>
        <v/>
      </c>
      <c r="R17" s="18">
        <f>+SUMIF(Рўйхат!$C:$C,$B17,Рўйхат!S:S)</f>
        <v/>
      </c>
      <c r="S17" s="18">
        <f>+SUMIF(Рўйхат!$C:$C,$B17,Рўйхат!T:T)</f>
        <v/>
      </c>
      <c r="T17" s="18">
        <f>+SUMIF(Рўйхат!$C:$C,$B17,Рўйхат!U:U)</f>
        <v/>
      </c>
      <c r="U17" s="17">
        <f>+SUMIF(Рўйхат!$C:$C,$B17,Рўйхат!V:V)</f>
        <v/>
      </c>
      <c r="V17" s="18">
        <f>+SUMIF(Рўйхат!$C:$C,$B17,Рўйхат!W:W)</f>
        <v/>
      </c>
      <c r="W17" s="18">
        <f>+SUMIF(Рўйхат!$C:$C,$B17,Рўйхат!X:X)</f>
        <v/>
      </c>
      <c r="X17" s="18">
        <f>+SUMIF(Рўйхат!$C:$C,$B17,Рўйхат!Y:Y)</f>
        <v/>
      </c>
      <c r="Y17" s="18">
        <f>+SUMIF(Рўйхат!$C:$C,$B17,Рўйхат!Z:Z)</f>
        <v/>
      </c>
      <c r="Z17" s="17">
        <f>+SUMIF(Рўйхат!$C:$C,$B17,Рўйхат!AA:AA)</f>
        <v/>
      </c>
      <c r="AA17" s="18">
        <f>+SUMIF(Рўйхат!$C:$C,$B17,Рўйхат!AB:AB)</f>
        <v/>
      </c>
      <c r="AB17" s="18">
        <f>+SUMIF(Рўйхат!$C:$C,$B17,Рўйхат!AC:AC)</f>
        <v/>
      </c>
      <c r="AC17" s="18">
        <f>+SUMIF(Рўйхат!$C:$C,$B17,Рўйхат!AD:AD)</f>
        <v/>
      </c>
      <c r="AD17" s="18">
        <f>+SUMIF(Рўйхат!$C:$C,$B17,Рўйхат!AE:AE)</f>
        <v/>
      </c>
      <c r="AE17" s="17">
        <f>+SUMIF(Рўйхат!$C:$C,$B17,Рўйхат!AF:AF)</f>
        <v/>
      </c>
      <c r="AF17" s="18">
        <f>+SUMIF(Рўйхат!$C:$C,$B17,Рўйхат!AG:AG)</f>
        <v/>
      </c>
      <c r="AG17" s="18">
        <f>+SUMIF(Рўйхат!$C:$C,$B17,Рўйхат!AH:AH)</f>
        <v/>
      </c>
      <c r="AH17" s="33">
        <f>+SUMIF(Рўйхат!$C:$C,$B17,Рўйхат!AI:AI)</f>
        <v/>
      </c>
      <c r="AI17" s="19">
        <f>+SUMIF(Рўйхат!$C:$C,$B17,Рўйхат!AJ:AJ)</f>
        <v/>
      </c>
    </row>
    <row r="18" ht="17" customHeight="1">
      <c r="A18" s="25">
        <f>+A17+1</f>
        <v/>
      </c>
      <c r="B18" s="26" t="inlineStr">
        <is>
          <t>Камбағалликни қисқартириш ва бандлик вазирлиги</t>
        </is>
      </c>
      <c r="C18" s="28">
        <f>IF(IFERROR(VLOOKUP(B18,Рўйхат!C:E,2,0),"")="[NULL]","",IFERROR(VLOOKUP(B18,Рўйхат!C:E,2,0),""))</f>
        <v/>
      </c>
      <c r="D18" s="28">
        <f>IFERROR(VLOOKUP(B18,Рўйхат!C:E,3,0),"")</f>
        <v/>
      </c>
      <c r="E18" s="17">
        <f>+SUMIF(Рўйхат!$C:$C,$B18,Рўйхат!G:G)</f>
        <v/>
      </c>
      <c r="F18" s="18">
        <f>+SUMIF(Рўйхат!$C:$C,$B18,Рўйхат!H:H)</f>
        <v/>
      </c>
      <c r="G18" s="18">
        <f>M18</f>
        <v/>
      </c>
      <c r="H18" s="18">
        <f>R18+W18+AB18+AG18</f>
        <v/>
      </c>
      <c r="I18" s="18">
        <f>+SUMIF(Рўйхат!$C:$C,$B18,Рўйхат!J:J)</f>
        <v/>
      </c>
      <c r="J18" s="18">
        <f>+SUMIF(Рўйхат!$C:$C,$B18,Рўйхат!K:K)</f>
        <v/>
      </c>
      <c r="K18" s="17">
        <f>+SUMIF(Рўйхат!$C:$C,$B18,Рўйхат!L:L)</f>
        <v/>
      </c>
      <c r="L18" s="18">
        <f>+SUMIF(Рўйхат!$C:$C,$B18,Рўйхат!M:M)</f>
        <v/>
      </c>
      <c r="M18" s="18">
        <f>+SUMIF(Рўйхат!$C:$C,$B18,Рўйхат!N:N)</f>
        <v/>
      </c>
      <c r="N18" s="18">
        <f>+SUMIF(Рўйхат!$C:$C,$B18,Рўйхат!O:O)</f>
        <v/>
      </c>
      <c r="O18" s="18">
        <f>+SUMIF(Рўйхат!$C:$C,$B18,Рўйхат!P:P)</f>
        <v/>
      </c>
      <c r="P18" s="17">
        <f>+SUMIF(Рўйхат!$C:$C,$B18,Рўйхат!Q:Q)</f>
        <v/>
      </c>
      <c r="Q18" s="18">
        <f>+SUMIF(Рўйхат!$C:$C,$B18,Рўйхат!R:R)</f>
        <v/>
      </c>
      <c r="R18" s="18">
        <f>+SUMIF(Рўйхат!$C:$C,$B18,Рўйхат!S:S)</f>
        <v/>
      </c>
      <c r="S18" s="18">
        <f>+SUMIF(Рўйхат!$C:$C,$B18,Рўйхат!T:T)</f>
        <v/>
      </c>
      <c r="T18" s="18">
        <f>+SUMIF(Рўйхат!$C:$C,$B18,Рўйхат!U:U)</f>
        <v/>
      </c>
      <c r="U18" s="17">
        <f>+SUMIF(Рўйхат!$C:$C,$B18,Рўйхат!V:V)</f>
        <v/>
      </c>
      <c r="V18" s="18">
        <f>+SUMIF(Рўйхат!$C:$C,$B18,Рўйхат!W:W)</f>
        <v/>
      </c>
      <c r="W18" s="18">
        <f>+SUMIF(Рўйхат!$C:$C,$B18,Рўйхат!X:X)</f>
        <v/>
      </c>
      <c r="X18" s="18">
        <f>+SUMIF(Рўйхат!$C:$C,$B18,Рўйхат!Y:Y)</f>
        <v/>
      </c>
      <c r="Y18" s="18">
        <f>+SUMIF(Рўйхат!$C:$C,$B18,Рўйхат!Z:Z)</f>
        <v/>
      </c>
      <c r="Z18" s="17">
        <f>+SUMIF(Рўйхат!$C:$C,$B18,Рўйхат!AA:AA)</f>
        <v/>
      </c>
      <c r="AA18" s="18">
        <f>+SUMIF(Рўйхат!$C:$C,$B18,Рўйхат!AB:AB)</f>
        <v/>
      </c>
      <c r="AB18" s="18">
        <f>+SUMIF(Рўйхат!$C:$C,$B18,Рўйхат!AC:AC)</f>
        <v/>
      </c>
      <c r="AC18" s="18">
        <f>+SUMIF(Рўйхат!$C:$C,$B18,Рўйхат!AD:AD)</f>
        <v/>
      </c>
      <c r="AD18" s="18">
        <f>+SUMIF(Рўйхат!$C:$C,$B18,Рўйхат!AE:AE)</f>
        <v/>
      </c>
      <c r="AE18" s="17">
        <f>+SUMIF(Рўйхат!$C:$C,$B18,Рўйхат!AF:AF)</f>
        <v/>
      </c>
      <c r="AF18" s="18">
        <f>+SUMIF(Рўйхат!$C:$C,$B18,Рўйхат!AG:AG)</f>
        <v/>
      </c>
      <c r="AG18" s="18">
        <f>+SUMIF(Рўйхат!$C:$C,$B18,Рўйхат!AH:AH)</f>
        <v/>
      </c>
      <c r="AH18" s="33">
        <f>+SUMIF(Рўйхат!$C:$C,$B18,Рўйхат!AI:AI)</f>
        <v/>
      </c>
      <c r="AI18" s="19">
        <f>+SUMIF(Рўйхат!$C:$C,$B18,Рўйхат!AJ:AJ)</f>
        <v/>
      </c>
    </row>
    <row r="19" ht="17" customHeight="1">
      <c r="A19" s="25">
        <f>+A18+1</f>
        <v/>
      </c>
      <c r="B19" s="26" t="inlineStr">
        <is>
          <t>Автомобил йўллар қўмитаси</t>
        </is>
      </c>
      <c r="C19" s="28">
        <f>IF(IFERROR(VLOOKUP(B19,Рўйхат!C:E,2,0),"")="[NULL]","",IFERROR(VLOOKUP(B19,Рўйхат!C:E,2,0),""))</f>
        <v/>
      </c>
      <c r="D19" s="28">
        <f>IFERROR(VLOOKUP(B19,Рўйхат!C:E,3,0),"")</f>
        <v/>
      </c>
      <c r="E19" s="17">
        <f>+SUMIF(Рўйхат!$C:$C,$B19,Рўйхат!G:G)</f>
        <v/>
      </c>
      <c r="F19" s="18">
        <f>+SUMIF(Рўйхат!$C:$C,$B19,Рўйхат!H:H)</f>
        <v/>
      </c>
      <c r="G19" s="18">
        <f>M19</f>
        <v/>
      </c>
      <c r="H19" s="18">
        <f>R19+W19+AB19+AG19</f>
        <v/>
      </c>
      <c r="I19" s="18">
        <f>+SUMIF(Рўйхат!$C:$C,$B19,Рўйхат!J:J)</f>
        <v/>
      </c>
      <c r="J19" s="18">
        <f>+SUMIF(Рўйхат!$C:$C,$B19,Рўйхат!K:K)</f>
        <v/>
      </c>
      <c r="K19" s="17">
        <f>+SUMIF(Рўйхат!$C:$C,$B19,Рўйхат!L:L)</f>
        <v/>
      </c>
      <c r="L19" s="18">
        <f>+SUMIF(Рўйхат!$C:$C,$B19,Рўйхат!M:M)</f>
        <v/>
      </c>
      <c r="M19" s="18">
        <f>+SUMIF(Рўйхат!$C:$C,$B19,Рўйхат!N:N)</f>
        <v/>
      </c>
      <c r="N19" s="18">
        <f>+SUMIF(Рўйхат!$C:$C,$B19,Рўйхат!O:O)</f>
        <v/>
      </c>
      <c r="O19" s="18">
        <f>+SUMIF(Рўйхат!$C:$C,$B19,Рўйхат!P:P)</f>
        <v/>
      </c>
      <c r="P19" s="17">
        <f>+SUMIF(Рўйхат!$C:$C,$B19,Рўйхат!Q:Q)</f>
        <v/>
      </c>
      <c r="Q19" s="18">
        <f>+SUMIF(Рўйхат!$C:$C,$B19,Рўйхат!R:R)</f>
        <v/>
      </c>
      <c r="R19" s="18">
        <f>+SUMIF(Рўйхат!$C:$C,$B19,Рўйхат!S:S)</f>
        <v/>
      </c>
      <c r="S19" s="18">
        <f>+SUMIF(Рўйхат!$C:$C,$B19,Рўйхат!T:T)</f>
        <v/>
      </c>
      <c r="T19" s="18">
        <f>+SUMIF(Рўйхат!$C:$C,$B19,Рўйхат!U:U)</f>
        <v/>
      </c>
      <c r="U19" s="17">
        <f>+SUMIF(Рўйхат!$C:$C,$B19,Рўйхат!V:V)</f>
        <v/>
      </c>
      <c r="V19" s="18">
        <f>+SUMIF(Рўйхат!$C:$C,$B19,Рўйхат!W:W)</f>
        <v/>
      </c>
      <c r="W19" s="18">
        <f>+SUMIF(Рўйхат!$C:$C,$B19,Рўйхат!X:X)</f>
        <v/>
      </c>
      <c r="X19" s="18">
        <f>+SUMIF(Рўйхат!$C:$C,$B19,Рўйхат!Y:Y)</f>
        <v/>
      </c>
      <c r="Y19" s="18">
        <f>+SUMIF(Рўйхат!$C:$C,$B19,Рўйхат!Z:Z)</f>
        <v/>
      </c>
      <c r="Z19" s="17">
        <f>+SUMIF(Рўйхат!$C:$C,$B19,Рўйхат!AA:AA)</f>
        <v/>
      </c>
      <c r="AA19" s="18">
        <f>+SUMIF(Рўйхат!$C:$C,$B19,Рўйхат!AB:AB)</f>
        <v/>
      </c>
      <c r="AB19" s="18">
        <f>+SUMIF(Рўйхат!$C:$C,$B19,Рўйхат!AC:AC)</f>
        <v/>
      </c>
      <c r="AC19" s="18">
        <f>+SUMIF(Рўйхат!$C:$C,$B19,Рўйхат!AD:AD)</f>
        <v/>
      </c>
      <c r="AD19" s="18">
        <f>+SUMIF(Рўйхат!$C:$C,$B19,Рўйхат!AE:AE)</f>
        <v/>
      </c>
      <c r="AE19" s="17">
        <f>+SUMIF(Рўйхат!$C:$C,$B19,Рўйхат!AF:AF)</f>
        <v/>
      </c>
      <c r="AF19" s="18">
        <f>+SUMIF(Рўйхат!$C:$C,$B19,Рўйхат!AG:AG)</f>
        <v/>
      </c>
      <c r="AG19" s="18">
        <f>+SUMIF(Рўйхат!$C:$C,$B19,Рўйхат!AH:AH)</f>
        <v/>
      </c>
      <c r="AH19" s="33">
        <f>+SUMIF(Рўйхат!$C:$C,$B19,Рўйхат!AI:AI)</f>
        <v/>
      </c>
      <c r="AI19" s="19">
        <f>+SUMIF(Рўйхат!$C:$C,$B19,Рўйхат!AJ:AJ)</f>
        <v/>
      </c>
    </row>
    <row r="20" ht="17" customHeight="1">
      <c r="A20" s="25">
        <f>+A19+1</f>
        <v/>
      </c>
      <c r="B20" s="26" t="inlineStr">
        <is>
          <t>Транспорт вазирлиги</t>
        </is>
      </c>
      <c r="C20" s="28">
        <f>IF(IFERROR(VLOOKUP(B20,Рўйхат!C:E,2,0),"")="[NULL]","",IFERROR(VLOOKUP(B20,Рўйхат!C:E,2,0),""))</f>
        <v/>
      </c>
      <c r="D20" s="28">
        <f>IFERROR(VLOOKUP(B20,Рўйхат!C:E,3,0),"")</f>
        <v/>
      </c>
      <c r="E20" s="17">
        <f>+SUMIF(Рўйхат!$C:$C,$B20,Рўйхат!G:G)</f>
        <v/>
      </c>
      <c r="F20" s="18">
        <f>+SUMIF(Рўйхат!$C:$C,$B20,Рўйхат!H:H)</f>
        <v/>
      </c>
      <c r="G20" s="18">
        <f>M20</f>
        <v/>
      </c>
      <c r="H20" s="18">
        <f>R20+W20+AB20+AG20</f>
        <v/>
      </c>
      <c r="I20" s="18">
        <f>+SUMIF(Рўйхат!$C:$C,$B20,Рўйхат!J:J)</f>
        <v/>
      </c>
      <c r="J20" s="18">
        <f>+SUMIF(Рўйхат!$C:$C,$B20,Рўйхат!K:K)</f>
        <v/>
      </c>
      <c r="K20" s="17">
        <f>+SUMIF(Рўйхат!$C:$C,$B20,Рўйхат!L:L)</f>
        <v/>
      </c>
      <c r="L20" s="18">
        <f>+SUMIF(Рўйхат!$C:$C,$B20,Рўйхат!M:M)</f>
        <v/>
      </c>
      <c r="M20" s="18">
        <f>+SUMIF(Рўйхат!$C:$C,$B20,Рўйхат!N:N)</f>
        <v/>
      </c>
      <c r="N20" s="18">
        <f>+SUMIF(Рўйхат!$C:$C,$B20,Рўйхат!O:O)</f>
        <v/>
      </c>
      <c r="O20" s="18">
        <f>+SUMIF(Рўйхат!$C:$C,$B20,Рўйхат!P:P)</f>
        <v/>
      </c>
      <c r="P20" s="17">
        <f>+SUMIF(Рўйхат!$C:$C,$B20,Рўйхат!Q:Q)</f>
        <v/>
      </c>
      <c r="Q20" s="18">
        <f>+SUMIF(Рўйхат!$C:$C,$B20,Рўйхат!R:R)</f>
        <v/>
      </c>
      <c r="R20" s="18">
        <f>+SUMIF(Рўйхат!$C:$C,$B20,Рўйхат!S:S)</f>
        <v/>
      </c>
      <c r="S20" s="18">
        <f>+SUMIF(Рўйхат!$C:$C,$B20,Рўйхат!T:T)</f>
        <v/>
      </c>
      <c r="T20" s="18">
        <f>+SUMIF(Рўйхат!$C:$C,$B20,Рўйхат!U:U)</f>
        <v/>
      </c>
      <c r="U20" s="17">
        <f>+SUMIF(Рўйхат!$C:$C,$B20,Рўйхат!V:V)</f>
        <v/>
      </c>
      <c r="V20" s="18">
        <f>+SUMIF(Рўйхат!$C:$C,$B20,Рўйхат!W:W)</f>
        <v/>
      </c>
      <c r="W20" s="18">
        <f>+SUMIF(Рўйхат!$C:$C,$B20,Рўйхат!X:X)</f>
        <v/>
      </c>
      <c r="X20" s="18">
        <f>+SUMIF(Рўйхат!$C:$C,$B20,Рўйхат!Y:Y)</f>
        <v/>
      </c>
      <c r="Y20" s="18">
        <f>+SUMIF(Рўйхат!$C:$C,$B20,Рўйхат!Z:Z)</f>
        <v/>
      </c>
      <c r="Z20" s="17">
        <f>+SUMIF(Рўйхат!$C:$C,$B20,Рўйхат!AA:AA)</f>
        <v/>
      </c>
      <c r="AA20" s="18">
        <f>+SUMIF(Рўйхат!$C:$C,$B20,Рўйхат!AB:AB)</f>
        <v/>
      </c>
      <c r="AB20" s="18">
        <f>+SUMIF(Рўйхат!$C:$C,$B20,Рўйхат!AC:AC)</f>
        <v/>
      </c>
      <c r="AC20" s="18">
        <f>+SUMIF(Рўйхат!$C:$C,$B20,Рўйхат!AD:AD)</f>
        <v/>
      </c>
      <c r="AD20" s="18">
        <f>+SUMIF(Рўйхат!$C:$C,$B20,Рўйхат!AE:AE)</f>
        <v/>
      </c>
      <c r="AE20" s="17">
        <f>+SUMIF(Рўйхат!$C:$C,$B20,Рўйхат!AF:AF)</f>
        <v/>
      </c>
      <c r="AF20" s="18">
        <f>+SUMIF(Рўйхат!$C:$C,$B20,Рўйхат!AG:AG)</f>
        <v/>
      </c>
      <c r="AG20" s="18">
        <f>+SUMIF(Рўйхат!$C:$C,$B20,Рўйхат!AH:AH)</f>
        <v/>
      </c>
      <c r="AH20" s="33">
        <f>+SUMIF(Рўйхат!$C:$C,$B20,Рўйхат!AI:AI)</f>
        <v/>
      </c>
      <c r="AI20" s="19">
        <f>+SUMIF(Рўйхат!$C:$C,$B20,Рўйхат!AJ:AJ)</f>
        <v/>
      </c>
    </row>
    <row r="21" ht="34" customHeight="1">
      <c r="A21" s="25">
        <f>+A20+1</f>
        <v/>
      </c>
      <c r="B21" s="26" t="inlineStr">
        <is>
          <t>Экология вазирлиги</t>
        </is>
      </c>
      <c r="C21" s="28">
        <f>IF(IFERROR(VLOOKUP(B21,Рўйхат!C:E,2,0),"")="[NULL]","",IFERROR(VLOOKUP(B21,Рўйхат!C:E,2,0),""))</f>
        <v/>
      </c>
      <c r="D21" s="28">
        <f>IFERROR(VLOOKUP(B21,Рўйхат!C:E,3,0),"")</f>
        <v/>
      </c>
      <c r="E21" s="17">
        <f>+SUMIF(Рўйхат!$C:$C,$B21,Рўйхат!G:G)</f>
        <v/>
      </c>
      <c r="F21" s="18">
        <f>+SUMIF(Рўйхат!$C:$C,$B21,Рўйхат!H:H)</f>
        <v/>
      </c>
      <c r="G21" s="18">
        <f>M21</f>
        <v/>
      </c>
      <c r="H21" s="18">
        <f>R21+W21+AB21+AG21</f>
        <v/>
      </c>
      <c r="I21" s="18">
        <f>+SUMIF(Рўйхат!$C:$C,$B21,Рўйхат!J:J)</f>
        <v/>
      </c>
      <c r="J21" s="18">
        <f>+SUMIF(Рўйхат!$C:$C,$B21,Рўйхат!K:K)</f>
        <v/>
      </c>
      <c r="K21" s="17">
        <f>+SUMIF(Рўйхат!$C:$C,$B21,Рўйхат!L:L)</f>
        <v/>
      </c>
      <c r="L21" s="18">
        <f>+SUMIF(Рўйхат!$C:$C,$B21,Рўйхат!M:M)</f>
        <v/>
      </c>
      <c r="M21" s="18">
        <f>+SUMIF(Рўйхат!$C:$C,$B21,Рўйхат!N:N)</f>
        <v/>
      </c>
      <c r="N21" s="18">
        <f>+SUMIF(Рўйхат!$C:$C,$B21,Рўйхат!O:O)</f>
        <v/>
      </c>
      <c r="O21" s="18">
        <f>+SUMIF(Рўйхат!$C:$C,$B21,Рўйхат!P:P)</f>
        <v/>
      </c>
      <c r="P21" s="17">
        <f>+SUMIF(Рўйхат!$C:$C,$B21,Рўйхат!Q:Q)</f>
        <v/>
      </c>
      <c r="Q21" s="18">
        <f>+SUMIF(Рўйхат!$C:$C,$B21,Рўйхат!R:R)</f>
        <v/>
      </c>
      <c r="R21" s="18">
        <f>+SUMIF(Рўйхат!$C:$C,$B21,Рўйхат!S:S)</f>
        <v/>
      </c>
      <c r="S21" s="18">
        <f>+SUMIF(Рўйхат!$C:$C,$B21,Рўйхат!T:T)</f>
        <v/>
      </c>
      <c r="T21" s="18">
        <f>+SUMIF(Рўйхат!$C:$C,$B21,Рўйхат!U:U)</f>
        <v/>
      </c>
      <c r="U21" s="17">
        <f>+SUMIF(Рўйхат!$C:$C,$B21,Рўйхат!V:V)</f>
        <v/>
      </c>
      <c r="V21" s="18">
        <f>+SUMIF(Рўйхат!$C:$C,$B21,Рўйхат!W:W)</f>
        <v/>
      </c>
      <c r="W21" s="18">
        <f>+SUMIF(Рўйхат!$C:$C,$B21,Рўйхат!X:X)</f>
        <v/>
      </c>
      <c r="X21" s="18">
        <f>+SUMIF(Рўйхат!$C:$C,$B21,Рўйхат!Y:Y)</f>
        <v/>
      </c>
      <c r="Y21" s="18">
        <f>+SUMIF(Рўйхат!$C:$C,$B21,Рўйхат!Z:Z)</f>
        <v/>
      </c>
      <c r="Z21" s="17">
        <f>+SUMIF(Рўйхат!$C:$C,$B21,Рўйхат!AA:AA)</f>
        <v/>
      </c>
      <c r="AA21" s="18">
        <f>+SUMIF(Рўйхат!$C:$C,$B21,Рўйхат!AB:AB)</f>
        <v/>
      </c>
      <c r="AB21" s="18">
        <f>+SUMIF(Рўйхат!$C:$C,$B21,Рўйхат!AC:AC)</f>
        <v/>
      </c>
      <c r="AC21" s="18">
        <f>+SUMIF(Рўйхат!$C:$C,$B21,Рўйхат!AD:AD)</f>
        <v/>
      </c>
      <c r="AD21" s="18">
        <f>+SUMIF(Рўйхат!$C:$C,$B21,Рўйхат!AE:AE)</f>
        <v/>
      </c>
      <c r="AE21" s="17">
        <f>+SUMIF(Рўйхат!$C:$C,$B21,Рўйхат!AF:AF)</f>
        <v/>
      </c>
      <c r="AF21" s="18">
        <f>+SUMIF(Рўйхат!$C:$C,$B21,Рўйхат!AG:AG)</f>
        <v/>
      </c>
      <c r="AG21" s="18">
        <f>+SUMIF(Рўйхат!$C:$C,$B21,Рўйхат!AH:AH)</f>
        <v/>
      </c>
      <c r="AH21" s="33">
        <f>+SUMIF(Рўйхат!$C:$C,$B21,Рўйхат!AI:AI)</f>
        <v/>
      </c>
      <c r="AI21" s="19">
        <f>+SUMIF(Рўйхат!$C:$C,$B21,Рўйхат!AJ:AJ)</f>
        <v/>
      </c>
    </row>
    <row r="22" ht="34" customHeight="1">
      <c r="A22" s="25">
        <f>+A21+1</f>
        <v/>
      </c>
      <c r="B22" s="26" t="inlineStr">
        <is>
          <t>Энергетика вазирлиги</t>
        </is>
      </c>
      <c r="C22" s="28">
        <f>IF(IFERROR(VLOOKUP(B22,Рўйхат!C:E,2,0),"")="[NULL]","",IFERROR(VLOOKUP(B22,Рўйхат!C:E,2,0),""))</f>
        <v/>
      </c>
      <c r="D22" s="28">
        <f>IFERROR(VLOOKUP(B22,Рўйхат!C:E,3,0),"")</f>
        <v/>
      </c>
      <c r="E22" s="17">
        <f>+SUMIF(Рўйхат!$C:$C,$B22,Рўйхат!G:G)</f>
        <v/>
      </c>
      <c r="F22" s="18">
        <f>+SUMIF(Рўйхат!$C:$C,$B22,Рўйхат!H:H)</f>
        <v/>
      </c>
      <c r="G22" s="18">
        <f>M22</f>
        <v/>
      </c>
      <c r="H22" s="18">
        <f>R22+W22+AB22+AG22</f>
        <v/>
      </c>
      <c r="I22" s="18">
        <f>+SUMIF(Рўйхат!$C:$C,$B22,Рўйхат!J:J)</f>
        <v/>
      </c>
      <c r="J22" s="18">
        <f>+SUMIF(Рўйхат!$C:$C,$B22,Рўйхат!K:K)</f>
        <v/>
      </c>
      <c r="K22" s="17">
        <f>+SUMIF(Рўйхат!$C:$C,$B22,Рўйхат!L:L)</f>
        <v/>
      </c>
      <c r="L22" s="18">
        <f>+SUMIF(Рўйхат!$C:$C,$B22,Рўйхат!M:M)</f>
        <v/>
      </c>
      <c r="M22" s="18">
        <f>+SUMIF(Рўйхат!$C:$C,$B22,Рўйхат!N:N)</f>
        <v/>
      </c>
      <c r="N22" s="18">
        <f>+SUMIF(Рўйхат!$C:$C,$B22,Рўйхат!O:O)</f>
        <v/>
      </c>
      <c r="O22" s="18">
        <f>+SUMIF(Рўйхат!$C:$C,$B22,Рўйхат!P:P)</f>
        <v/>
      </c>
      <c r="P22" s="17">
        <f>+SUMIF(Рўйхат!$C:$C,$B22,Рўйхат!Q:Q)</f>
        <v/>
      </c>
      <c r="Q22" s="18">
        <f>+SUMIF(Рўйхат!$C:$C,$B22,Рўйхат!R:R)</f>
        <v/>
      </c>
      <c r="R22" s="18">
        <f>+SUMIF(Рўйхат!$C:$C,$B22,Рўйхат!S:S)</f>
        <v/>
      </c>
      <c r="S22" s="18">
        <f>+SUMIF(Рўйхат!$C:$C,$B22,Рўйхат!T:T)</f>
        <v/>
      </c>
      <c r="T22" s="18">
        <f>+SUMIF(Рўйхат!$C:$C,$B22,Рўйхат!U:U)</f>
        <v/>
      </c>
      <c r="U22" s="17">
        <f>+SUMIF(Рўйхат!$C:$C,$B22,Рўйхат!V:V)</f>
        <v/>
      </c>
      <c r="V22" s="18">
        <f>+SUMIF(Рўйхат!$C:$C,$B22,Рўйхат!W:W)</f>
        <v/>
      </c>
      <c r="W22" s="18">
        <f>+SUMIF(Рўйхат!$C:$C,$B22,Рўйхат!X:X)</f>
        <v/>
      </c>
      <c r="X22" s="18">
        <f>+SUMIF(Рўйхат!$C:$C,$B22,Рўйхат!Y:Y)</f>
        <v/>
      </c>
      <c r="Y22" s="18">
        <f>+SUMIF(Рўйхат!$C:$C,$B22,Рўйхат!Z:Z)</f>
        <v/>
      </c>
      <c r="Z22" s="17">
        <f>+SUMIF(Рўйхат!$C:$C,$B22,Рўйхат!AA:AA)</f>
        <v/>
      </c>
      <c r="AA22" s="18">
        <f>+SUMIF(Рўйхат!$C:$C,$B22,Рўйхат!AB:AB)</f>
        <v/>
      </c>
      <c r="AB22" s="18">
        <f>+SUMIF(Рўйхат!$C:$C,$B22,Рўйхат!AC:AC)</f>
        <v/>
      </c>
      <c r="AC22" s="18">
        <f>+SUMIF(Рўйхат!$C:$C,$B22,Рўйхат!AD:AD)</f>
        <v/>
      </c>
      <c r="AD22" s="18">
        <f>+SUMIF(Рўйхат!$C:$C,$B22,Рўйхат!AE:AE)</f>
        <v/>
      </c>
      <c r="AE22" s="17">
        <f>+SUMIF(Рўйхат!$C:$C,$B22,Рўйхат!AF:AF)</f>
        <v/>
      </c>
      <c r="AF22" s="18">
        <f>+SUMIF(Рўйхат!$C:$C,$B22,Рўйхат!AG:AG)</f>
        <v/>
      </c>
      <c r="AG22" s="18">
        <f>+SUMIF(Рўйхат!$C:$C,$B22,Рўйхат!AH:AH)</f>
        <v/>
      </c>
      <c r="AH22" s="33">
        <f>+SUMIF(Рўйхат!$C:$C,$B22,Рўйхат!AI:AI)</f>
        <v/>
      </c>
      <c r="AI22" s="19">
        <f>+SUMIF(Рўйхат!$C:$C,$B22,Рўйхат!AJ:AJ)</f>
        <v/>
      </c>
    </row>
    <row r="23" ht="34" customHeight="1">
      <c r="A23" s="25">
        <f>+A22+1</f>
        <v/>
      </c>
      <c r="B23" s="26" t="inlineStr">
        <is>
          <t>Тоғ-кон саноати ва геология вазирлиги</t>
        </is>
      </c>
      <c r="C23" s="28">
        <f>IF(IFERROR(VLOOKUP(B23,Рўйхат!C:E,2,0),"")="[NULL]","",IFERROR(VLOOKUP(B23,Рўйхат!C:E,2,0),""))</f>
        <v/>
      </c>
      <c r="D23" s="28">
        <f>IFERROR(VLOOKUP(B23,Рўйхат!C:E,3,0),"")</f>
        <v/>
      </c>
      <c r="E23" s="17">
        <f>+SUMIF(Рўйхат!$C:$C,$B23,Рўйхат!G:G)</f>
        <v/>
      </c>
      <c r="F23" s="18">
        <f>+SUMIF(Рўйхат!$C:$C,$B23,Рўйхат!H:H)</f>
        <v/>
      </c>
      <c r="G23" s="18">
        <f>M23</f>
        <v/>
      </c>
      <c r="H23" s="18">
        <f>R23+W23+AB23+AG23</f>
        <v/>
      </c>
      <c r="I23" s="18">
        <f>+SUMIF(Рўйхат!$C:$C,$B23,Рўйхат!J:J)</f>
        <v/>
      </c>
      <c r="J23" s="18">
        <f>+SUMIF(Рўйхат!$C:$C,$B23,Рўйхат!K:K)</f>
        <v/>
      </c>
      <c r="K23" s="17">
        <f>+SUMIF(Рўйхат!$C:$C,$B23,Рўйхат!L:L)</f>
        <v/>
      </c>
      <c r="L23" s="18">
        <f>+SUMIF(Рўйхат!$C:$C,$B23,Рўйхат!M:M)</f>
        <v/>
      </c>
      <c r="M23" s="18">
        <f>+SUMIF(Рўйхат!$C:$C,$B23,Рўйхат!N:N)</f>
        <v/>
      </c>
      <c r="N23" s="18">
        <f>+SUMIF(Рўйхат!$C:$C,$B23,Рўйхат!O:O)</f>
        <v/>
      </c>
      <c r="O23" s="18">
        <f>+SUMIF(Рўйхат!$C:$C,$B23,Рўйхат!P:P)</f>
        <v/>
      </c>
      <c r="P23" s="17">
        <f>+SUMIF(Рўйхат!$C:$C,$B23,Рўйхат!Q:Q)</f>
        <v/>
      </c>
      <c r="Q23" s="18">
        <f>+SUMIF(Рўйхат!$C:$C,$B23,Рўйхат!R:R)</f>
        <v/>
      </c>
      <c r="R23" s="18">
        <f>+SUMIF(Рўйхат!$C:$C,$B23,Рўйхат!S:S)</f>
        <v/>
      </c>
      <c r="S23" s="18">
        <f>+SUMIF(Рўйхат!$C:$C,$B23,Рўйхат!T:T)</f>
        <v/>
      </c>
      <c r="T23" s="18">
        <f>+SUMIF(Рўйхат!$C:$C,$B23,Рўйхат!U:U)</f>
        <v/>
      </c>
      <c r="U23" s="17">
        <f>+SUMIF(Рўйхат!$C:$C,$B23,Рўйхат!V:V)</f>
        <v/>
      </c>
      <c r="V23" s="18">
        <f>+SUMIF(Рўйхат!$C:$C,$B23,Рўйхат!W:W)</f>
        <v/>
      </c>
      <c r="W23" s="18">
        <f>+SUMIF(Рўйхат!$C:$C,$B23,Рўйхат!X:X)</f>
        <v/>
      </c>
      <c r="X23" s="18">
        <f>+SUMIF(Рўйхат!$C:$C,$B23,Рўйхат!Y:Y)</f>
        <v/>
      </c>
      <c r="Y23" s="18">
        <f>+SUMIF(Рўйхат!$C:$C,$B23,Рўйхат!Z:Z)</f>
        <v/>
      </c>
      <c r="Z23" s="17">
        <f>+SUMIF(Рўйхат!$C:$C,$B23,Рўйхат!AA:AA)</f>
        <v/>
      </c>
      <c r="AA23" s="18">
        <f>+SUMIF(Рўйхат!$C:$C,$B23,Рўйхат!AB:AB)</f>
        <v/>
      </c>
      <c r="AB23" s="18">
        <f>+SUMIF(Рўйхат!$C:$C,$B23,Рўйхат!AC:AC)</f>
        <v/>
      </c>
      <c r="AC23" s="18">
        <f>+SUMIF(Рўйхат!$C:$C,$B23,Рўйхат!AD:AD)</f>
        <v/>
      </c>
      <c r="AD23" s="18">
        <f>+SUMIF(Рўйхат!$C:$C,$B23,Рўйхат!AE:AE)</f>
        <v/>
      </c>
      <c r="AE23" s="17">
        <f>+SUMIF(Рўйхат!$C:$C,$B23,Рўйхат!AF:AF)</f>
        <v/>
      </c>
      <c r="AF23" s="18">
        <f>+SUMIF(Рўйхат!$C:$C,$B23,Рўйхат!AG:AG)</f>
        <v/>
      </c>
      <c r="AG23" s="18">
        <f>+SUMIF(Рўйхат!$C:$C,$B23,Рўйхат!AH:AH)</f>
        <v/>
      </c>
      <c r="AH23" s="33">
        <f>+SUMIF(Рўйхат!$C:$C,$B23,Рўйхат!AI:AI)</f>
        <v/>
      </c>
      <c r="AI23" s="19">
        <f>+SUMIF(Рўйхат!$C:$C,$B23,Рўйхат!AJ:AJ)</f>
        <v/>
      </c>
    </row>
    <row r="24" ht="17" customHeight="1">
      <c r="A24" s="25">
        <f>+A23+1</f>
        <v/>
      </c>
      <c r="B24" s="26" t="inlineStr">
        <is>
          <t>Тошкент вилояти ҳокимлиги</t>
        </is>
      </c>
      <c r="C24" s="28">
        <f>IF(IFERROR(VLOOKUP(B24,Рўйхат!C:E,2,0),"")="[NULL]","",IFERROR(VLOOKUP(B24,Рўйхат!C:E,2,0),""))</f>
        <v/>
      </c>
      <c r="D24" s="28">
        <f>IFERROR(VLOOKUP(B24,Рўйхат!C:E,3,0),"")</f>
        <v/>
      </c>
      <c r="E24" s="17">
        <f>+SUMIF(Рўйхат!$C:$C,$B24,Рўйхат!G:G)</f>
        <v/>
      </c>
      <c r="F24" s="18">
        <f>+SUMIF(Рўйхат!$C:$C,$B24,Рўйхат!H:H)</f>
        <v/>
      </c>
      <c r="G24" s="18">
        <f>M24</f>
        <v/>
      </c>
      <c r="H24" s="18">
        <f>R24+W24+AB24+AG24</f>
        <v/>
      </c>
      <c r="I24" s="18">
        <f>+SUMIF(Рўйхат!$C:$C,$B24,Рўйхат!J:J)</f>
        <v/>
      </c>
      <c r="J24" s="18">
        <f>+SUMIF(Рўйхат!$C:$C,$B24,Рўйхат!K:K)</f>
        <v/>
      </c>
      <c r="K24" s="17">
        <f>+SUMIF(Рўйхат!$C:$C,$B24,Рўйхат!L:L)</f>
        <v/>
      </c>
      <c r="L24" s="18">
        <f>+SUMIF(Рўйхат!$C:$C,$B24,Рўйхат!M:M)</f>
        <v/>
      </c>
      <c r="M24" s="18">
        <f>+SUMIF(Рўйхат!$C:$C,$B24,Рўйхат!N:N)</f>
        <v/>
      </c>
      <c r="N24" s="18">
        <f>+SUMIF(Рўйхат!$C:$C,$B24,Рўйхат!O:O)</f>
        <v/>
      </c>
      <c r="O24" s="18">
        <f>+SUMIF(Рўйхат!$C:$C,$B24,Рўйхат!P:P)</f>
        <v/>
      </c>
      <c r="P24" s="17">
        <f>+SUMIF(Рўйхат!$C:$C,$B24,Рўйхат!Q:Q)</f>
        <v/>
      </c>
      <c r="Q24" s="18">
        <f>+SUMIF(Рўйхат!$C:$C,$B24,Рўйхат!R:R)</f>
        <v/>
      </c>
      <c r="R24" s="18">
        <f>+SUMIF(Рўйхат!$C:$C,$B24,Рўйхат!S:S)</f>
        <v/>
      </c>
      <c r="S24" s="18">
        <f>+SUMIF(Рўйхат!$C:$C,$B24,Рўйхат!T:T)</f>
        <v/>
      </c>
      <c r="T24" s="18">
        <f>+SUMIF(Рўйхат!$C:$C,$B24,Рўйхат!U:U)</f>
        <v/>
      </c>
      <c r="U24" s="17">
        <f>+SUMIF(Рўйхат!$C:$C,$B24,Рўйхат!V:V)</f>
        <v/>
      </c>
      <c r="V24" s="18">
        <f>+SUMIF(Рўйхат!$C:$C,$B24,Рўйхат!W:W)</f>
        <v/>
      </c>
      <c r="W24" s="18">
        <f>+SUMIF(Рўйхат!$C:$C,$B24,Рўйхат!X:X)</f>
        <v/>
      </c>
      <c r="X24" s="18">
        <f>+SUMIF(Рўйхат!$C:$C,$B24,Рўйхат!Y:Y)</f>
        <v/>
      </c>
      <c r="Y24" s="18">
        <f>+SUMIF(Рўйхат!$C:$C,$B24,Рўйхат!Z:Z)</f>
        <v/>
      </c>
      <c r="Z24" s="17">
        <f>+SUMIF(Рўйхат!$C:$C,$B24,Рўйхат!AA:AA)</f>
        <v/>
      </c>
      <c r="AA24" s="18">
        <f>+SUMIF(Рўйхат!$C:$C,$B24,Рўйхат!AB:AB)</f>
        <v/>
      </c>
      <c r="AB24" s="18">
        <f>+SUMIF(Рўйхат!$C:$C,$B24,Рўйхат!AC:AC)</f>
        <v/>
      </c>
      <c r="AC24" s="18">
        <f>+SUMIF(Рўйхат!$C:$C,$B24,Рўйхат!AD:AD)</f>
        <v/>
      </c>
      <c r="AD24" s="18">
        <f>+SUMIF(Рўйхат!$C:$C,$B24,Рўйхат!AE:AE)</f>
        <v/>
      </c>
      <c r="AE24" s="17">
        <f>+SUMIF(Рўйхат!$C:$C,$B24,Рўйхат!AF:AF)</f>
        <v/>
      </c>
      <c r="AF24" s="18">
        <f>+SUMIF(Рўйхат!$C:$C,$B24,Рўйхат!AG:AG)</f>
        <v/>
      </c>
      <c r="AG24" s="18">
        <f>+SUMIF(Рўйхат!$C:$C,$B24,Рўйхат!AH:AH)</f>
        <v/>
      </c>
      <c r="AH24" s="33">
        <f>+SUMIF(Рўйхат!$C:$C,$B24,Рўйхат!AI:AI)</f>
        <v/>
      </c>
      <c r="AI24" s="19">
        <f>+SUMIF(Рўйхат!$C:$C,$B24,Рўйхат!AJ:AJ)</f>
        <v/>
      </c>
    </row>
    <row r="25" ht="34" customHeight="1">
      <c r="A25" s="25">
        <f>+A24+1</f>
        <v/>
      </c>
      <c r="B25" s="26" t="inlineStr">
        <is>
          <t>Қурилиш ва уй-жой коммунал хўжалиги соҳасида назорат қилиш инспекцияси</t>
        </is>
      </c>
      <c r="C25" s="28">
        <f>IF(IFERROR(VLOOKUP(B25,Рўйхат!C:E,2,0),"")="[NULL]","",IFERROR(VLOOKUP(B25,Рўйхат!C:E,2,0),""))</f>
        <v/>
      </c>
      <c r="D25" s="28" t="n"/>
      <c r="E25" s="17">
        <f>+SUMIF(Рўйхат!$C:$C,$B25,Рўйхат!G:G)</f>
        <v/>
      </c>
      <c r="F25" s="18">
        <f>+SUMIF(Рўйхат!$C:$C,$B25,Рўйхат!H:H)</f>
        <v/>
      </c>
      <c r="G25" s="18">
        <f>M25</f>
        <v/>
      </c>
      <c r="H25" s="18">
        <f>R25+W25+AB25+AG25</f>
        <v/>
      </c>
      <c r="I25" s="18">
        <f>+SUMIF(Рўйхат!$C:$C,$B25,Рўйхат!J:J)</f>
        <v/>
      </c>
      <c r="J25" s="18">
        <f>+SUMIF(Рўйхат!$C:$C,$B25,Рўйхат!K:K)</f>
        <v/>
      </c>
      <c r="K25" s="17">
        <f>+SUMIF(Рўйхат!$C:$C,$B25,Рўйхат!L:L)</f>
        <v/>
      </c>
      <c r="L25" s="18">
        <f>+SUMIF(Рўйхат!$C:$C,$B25,Рўйхат!M:M)</f>
        <v/>
      </c>
      <c r="M25" s="18">
        <f>+SUMIF(Рўйхат!$C:$C,$B25,Рўйхат!N:N)</f>
        <v/>
      </c>
      <c r="N25" s="18">
        <f>+SUMIF(Рўйхат!$C:$C,$B25,Рўйхат!O:O)</f>
        <v/>
      </c>
      <c r="O25" s="18">
        <f>+SUMIF(Рўйхат!$C:$C,$B25,Рўйхат!P:P)</f>
        <v/>
      </c>
      <c r="P25" s="17">
        <f>+SUMIF(Рўйхат!$C:$C,$B25,Рўйхат!Q:Q)</f>
        <v/>
      </c>
      <c r="Q25" s="18">
        <f>+SUMIF(Рўйхат!$C:$C,$B25,Рўйхат!R:R)</f>
        <v/>
      </c>
      <c r="R25" s="18">
        <f>+SUMIF(Рўйхат!$C:$C,$B25,Рўйхат!S:S)</f>
        <v/>
      </c>
      <c r="S25" s="18">
        <f>+SUMIF(Рўйхат!$C:$C,$B25,Рўйхат!T:T)</f>
        <v/>
      </c>
      <c r="T25" s="18">
        <f>+SUMIF(Рўйхат!$C:$C,$B25,Рўйхат!U:U)</f>
        <v/>
      </c>
      <c r="U25" s="17">
        <f>+SUMIF(Рўйхат!$C:$C,$B25,Рўйхат!V:V)</f>
        <v/>
      </c>
      <c r="V25" s="18">
        <f>+SUMIF(Рўйхат!$C:$C,$B25,Рўйхат!W:W)</f>
        <v/>
      </c>
      <c r="W25" s="18">
        <f>+SUMIF(Рўйхат!$C:$C,$B25,Рўйхат!X:X)</f>
        <v/>
      </c>
      <c r="X25" s="18">
        <f>+SUMIF(Рўйхат!$C:$C,$B25,Рўйхат!Y:Y)</f>
        <v/>
      </c>
      <c r="Y25" s="18">
        <f>+SUMIF(Рўйхат!$C:$C,$B25,Рўйхат!Z:Z)</f>
        <v/>
      </c>
      <c r="Z25" s="17">
        <f>+SUMIF(Рўйхат!$C:$C,$B25,Рўйхат!AA:AA)</f>
        <v/>
      </c>
      <c r="AA25" s="18">
        <f>+SUMIF(Рўйхат!$C:$C,$B25,Рўйхат!AB:AB)</f>
        <v/>
      </c>
      <c r="AB25" s="18">
        <f>+SUMIF(Рўйхат!$C:$C,$B25,Рўйхат!AC:AC)</f>
        <v/>
      </c>
      <c r="AC25" s="18">
        <f>+SUMIF(Рўйхат!$C:$C,$B25,Рўйхат!AD:AD)</f>
        <v/>
      </c>
      <c r="AD25" s="18">
        <f>+SUMIF(Рўйхат!$C:$C,$B25,Рўйхат!AE:AE)</f>
        <v/>
      </c>
      <c r="AE25" s="17">
        <f>+SUMIF(Рўйхат!$C:$C,$B25,Рўйхат!AF:AF)</f>
        <v/>
      </c>
      <c r="AF25" s="18">
        <f>+SUMIF(Рўйхат!$C:$C,$B25,Рўйхат!AG:AG)</f>
        <v/>
      </c>
      <c r="AG25" s="18">
        <f>+SUMIF(Рўйхат!$C:$C,$B25,Рўйхат!AH:AH)</f>
        <v/>
      </c>
      <c r="AH25" s="33">
        <f>+SUMIF(Рўйхат!$C:$C,$B25,Рўйхат!AI:AI)</f>
        <v/>
      </c>
      <c r="AI25" s="19">
        <f>+SUMIF(Рўйхат!$C:$C,$B25,Рўйхат!AJ:AJ)</f>
        <v/>
      </c>
    </row>
    <row r="26" ht="34" customHeight="1">
      <c r="A26" s="25">
        <f>+A25+1</f>
        <v/>
      </c>
      <c r="B26" s="26" t="inlineStr">
        <is>
          <t>Адлия вазирлиги</t>
        </is>
      </c>
      <c r="C26" s="28">
        <f>IF(IFERROR(VLOOKUP(B26,Рўйхат!C:E,2,0),"")="[NULL]","",IFERROR(VLOOKUP(B26,Рўйхат!C:E,2,0),""))</f>
        <v/>
      </c>
      <c r="D26" s="28">
        <f>IFERROR(VLOOKUP(B26,Рўйхат!C:E,3,0),"")</f>
        <v/>
      </c>
      <c r="E26" s="17">
        <f>+SUMIF(Рўйхат!$C:$C,$B26,Рўйхат!G:G)</f>
        <v/>
      </c>
      <c r="F26" s="18">
        <f>+SUMIF(Рўйхат!$C:$C,$B26,Рўйхат!H:H)</f>
        <v/>
      </c>
      <c r="G26" s="18">
        <f>M26</f>
        <v/>
      </c>
      <c r="H26" s="18">
        <f>R26+W26+AB26+AG26</f>
        <v/>
      </c>
      <c r="I26" s="18">
        <f>+SUMIF(Рўйхат!$C:$C,$B26,Рўйхат!J:J)</f>
        <v/>
      </c>
      <c r="J26" s="18">
        <f>+SUMIF(Рўйхат!$C:$C,$B26,Рўйхат!K:K)</f>
        <v/>
      </c>
      <c r="K26" s="17">
        <f>+SUMIF(Рўйхат!$C:$C,$B26,Рўйхат!L:L)</f>
        <v/>
      </c>
      <c r="L26" s="18">
        <f>+SUMIF(Рўйхат!$C:$C,$B26,Рўйхат!M:M)</f>
        <v/>
      </c>
      <c r="M26" s="18">
        <f>+SUMIF(Рўйхат!$C:$C,$B26,Рўйхат!N:N)</f>
        <v/>
      </c>
      <c r="N26" s="18">
        <f>+SUMIF(Рўйхат!$C:$C,$B26,Рўйхат!O:O)</f>
        <v/>
      </c>
      <c r="O26" s="18">
        <f>+SUMIF(Рўйхат!$C:$C,$B26,Рўйхат!P:P)</f>
        <v/>
      </c>
      <c r="P26" s="17">
        <f>+SUMIF(Рўйхат!$C:$C,$B26,Рўйхат!Q:Q)</f>
        <v/>
      </c>
      <c r="Q26" s="18">
        <f>+SUMIF(Рўйхат!$C:$C,$B26,Рўйхат!R:R)</f>
        <v/>
      </c>
      <c r="R26" s="18">
        <f>+SUMIF(Рўйхат!$C:$C,$B26,Рўйхат!S:S)</f>
        <v/>
      </c>
      <c r="S26" s="18">
        <f>+SUMIF(Рўйхат!$C:$C,$B26,Рўйхат!T:T)</f>
        <v/>
      </c>
      <c r="T26" s="18">
        <f>+SUMIF(Рўйхат!$C:$C,$B26,Рўйхат!U:U)</f>
        <v/>
      </c>
      <c r="U26" s="17">
        <f>+SUMIF(Рўйхат!$C:$C,$B26,Рўйхат!V:V)</f>
        <v/>
      </c>
      <c r="V26" s="18">
        <f>+SUMIF(Рўйхат!$C:$C,$B26,Рўйхат!W:W)</f>
        <v/>
      </c>
      <c r="W26" s="18">
        <f>+SUMIF(Рўйхат!$C:$C,$B26,Рўйхат!X:X)</f>
        <v/>
      </c>
      <c r="X26" s="18">
        <f>+SUMIF(Рўйхат!$C:$C,$B26,Рўйхат!Y:Y)</f>
        <v/>
      </c>
      <c r="Y26" s="18">
        <f>+SUMIF(Рўйхат!$C:$C,$B26,Рўйхат!Z:Z)</f>
        <v/>
      </c>
      <c r="Z26" s="17">
        <f>+SUMIF(Рўйхат!$C:$C,$B26,Рўйхат!AA:AA)</f>
        <v/>
      </c>
      <c r="AA26" s="18">
        <f>+SUMIF(Рўйхат!$C:$C,$B26,Рўйхат!AB:AB)</f>
        <v/>
      </c>
      <c r="AB26" s="18">
        <f>+SUMIF(Рўйхат!$C:$C,$B26,Рўйхат!AC:AC)</f>
        <v/>
      </c>
      <c r="AC26" s="18">
        <f>+SUMIF(Рўйхат!$C:$C,$B26,Рўйхат!AD:AD)</f>
        <v/>
      </c>
      <c r="AD26" s="18">
        <f>+SUMIF(Рўйхат!$C:$C,$B26,Рўйхат!AE:AE)</f>
        <v/>
      </c>
      <c r="AE26" s="17">
        <f>+SUMIF(Рўйхат!$C:$C,$B26,Рўйхат!AF:AF)</f>
        <v/>
      </c>
      <c r="AF26" s="18">
        <f>+SUMIF(Рўйхат!$C:$C,$B26,Рўйхат!AG:AG)</f>
        <v/>
      </c>
      <c r="AG26" s="18">
        <f>+SUMIF(Рўйхат!$C:$C,$B26,Рўйхат!AH:AH)</f>
        <v/>
      </c>
      <c r="AH26" s="33">
        <f>+SUMIF(Рўйхат!$C:$C,$B26,Рўйхат!AI:AI)</f>
        <v/>
      </c>
      <c r="AI26" s="19">
        <f>+SUMIF(Рўйхат!$C:$C,$B26,Рўйхат!AJ:AJ)</f>
        <v/>
      </c>
    </row>
    <row r="27" ht="17" customHeight="1">
      <c r="A27" s="25">
        <f>+A26+1</f>
        <v/>
      </c>
      <c r="B27" s="26" t="inlineStr">
        <is>
          <t>Самарқанд вилояти ҳокимлиги</t>
        </is>
      </c>
      <c r="C27" s="28">
        <f>IF(IFERROR(VLOOKUP(B27,Рўйхат!C:E,2,0),"")="[NULL]","",IFERROR(VLOOKUP(B27,Рўйхат!C:E,2,0),""))</f>
        <v/>
      </c>
      <c r="D27" s="28">
        <f>IFERROR(VLOOKUP(B27,Рўйхат!C:E,3,0),"")</f>
        <v/>
      </c>
      <c r="E27" s="17">
        <f>+SUMIF(Рўйхат!$C:$C,$B27,Рўйхат!G:G)</f>
        <v/>
      </c>
      <c r="F27" s="18">
        <f>+SUMIF(Рўйхат!$C:$C,$B27,Рўйхат!H:H)</f>
        <v/>
      </c>
      <c r="G27" s="18">
        <f>M27</f>
        <v/>
      </c>
      <c r="H27" s="18">
        <f>R27+W27+AB27+AG27</f>
        <v/>
      </c>
      <c r="I27" s="18">
        <f>+SUMIF(Рўйхат!$C:$C,$B27,Рўйхат!J:J)</f>
        <v/>
      </c>
      <c r="J27" s="18">
        <f>+SUMIF(Рўйхат!$C:$C,$B27,Рўйхат!K:K)</f>
        <v/>
      </c>
      <c r="K27" s="17">
        <f>+SUMIF(Рўйхат!$C:$C,$B27,Рўйхат!L:L)</f>
        <v/>
      </c>
      <c r="L27" s="18">
        <f>+SUMIF(Рўйхат!$C:$C,$B27,Рўйхат!M:M)</f>
        <v/>
      </c>
      <c r="M27" s="18">
        <f>+SUMIF(Рўйхат!$C:$C,$B27,Рўйхат!N:N)</f>
        <v/>
      </c>
      <c r="N27" s="18">
        <f>+SUMIF(Рўйхат!$C:$C,$B27,Рўйхат!O:O)</f>
        <v/>
      </c>
      <c r="O27" s="18">
        <f>+SUMIF(Рўйхат!$C:$C,$B27,Рўйхат!P:P)</f>
        <v/>
      </c>
      <c r="P27" s="17">
        <f>+SUMIF(Рўйхат!$C:$C,$B27,Рўйхат!Q:Q)</f>
        <v/>
      </c>
      <c r="Q27" s="18">
        <f>+SUMIF(Рўйхат!$C:$C,$B27,Рўйхат!R:R)</f>
        <v/>
      </c>
      <c r="R27" s="18">
        <f>+SUMIF(Рўйхат!$C:$C,$B27,Рўйхат!S:S)</f>
        <v/>
      </c>
      <c r="S27" s="18">
        <f>+SUMIF(Рўйхат!$C:$C,$B27,Рўйхат!T:T)</f>
        <v/>
      </c>
      <c r="T27" s="18">
        <f>+SUMIF(Рўйхат!$C:$C,$B27,Рўйхат!U:U)</f>
        <v/>
      </c>
      <c r="U27" s="17">
        <f>+SUMIF(Рўйхат!$C:$C,$B27,Рўйхат!V:V)</f>
        <v/>
      </c>
      <c r="V27" s="18">
        <f>+SUMIF(Рўйхат!$C:$C,$B27,Рўйхат!W:W)</f>
        <v/>
      </c>
      <c r="W27" s="18">
        <f>+SUMIF(Рўйхат!$C:$C,$B27,Рўйхат!X:X)</f>
        <v/>
      </c>
      <c r="X27" s="18">
        <f>+SUMIF(Рўйхат!$C:$C,$B27,Рўйхат!Y:Y)</f>
        <v/>
      </c>
      <c r="Y27" s="18">
        <f>+SUMIF(Рўйхат!$C:$C,$B27,Рўйхат!Z:Z)</f>
        <v/>
      </c>
      <c r="Z27" s="17">
        <f>+SUMIF(Рўйхат!$C:$C,$B27,Рўйхат!AA:AA)</f>
        <v/>
      </c>
      <c r="AA27" s="18">
        <f>+SUMIF(Рўйхат!$C:$C,$B27,Рўйхат!AB:AB)</f>
        <v/>
      </c>
      <c r="AB27" s="18">
        <f>+SUMIF(Рўйхат!$C:$C,$B27,Рўйхат!AC:AC)</f>
        <v/>
      </c>
      <c r="AC27" s="18">
        <f>+SUMIF(Рўйхат!$C:$C,$B27,Рўйхат!AD:AD)</f>
        <v/>
      </c>
      <c r="AD27" s="18">
        <f>+SUMIF(Рўйхат!$C:$C,$B27,Рўйхат!AE:AE)</f>
        <v/>
      </c>
      <c r="AE27" s="17">
        <f>+SUMIF(Рўйхат!$C:$C,$B27,Рўйхат!AF:AF)</f>
        <v/>
      </c>
      <c r="AF27" s="18">
        <f>+SUMIF(Рўйхат!$C:$C,$B27,Рўйхат!AG:AG)</f>
        <v/>
      </c>
      <c r="AG27" s="18">
        <f>+SUMIF(Рўйхат!$C:$C,$B27,Рўйхат!AH:AH)</f>
        <v/>
      </c>
      <c r="AH27" s="33">
        <f>+SUMIF(Рўйхат!$C:$C,$B27,Рўйхат!AI:AI)</f>
        <v/>
      </c>
      <c r="AI27" s="19">
        <f>+SUMIF(Рўйхат!$C:$C,$B27,Рўйхат!AJ:AJ)</f>
        <v/>
      </c>
    </row>
    <row r="28" ht="17" customHeight="1">
      <c r="A28" s="25">
        <f>+A27+1</f>
        <v/>
      </c>
      <c r="B28" s="26" t="inlineStr">
        <is>
          <t>Сурхандарё вилояти ҳокимлиги</t>
        </is>
      </c>
      <c r="C28" s="28">
        <f>IF(IFERROR(VLOOKUP(B28,Рўйхат!C:E,2,0),"")="[NULL]","",IFERROR(VLOOKUP(B28,Рўйхат!C:E,2,0),""))</f>
        <v/>
      </c>
      <c r="D28" s="28">
        <f>IFERROR(VLOOKUP(B28,Рўйхат!C:E,3,0),"")</f>
        <v/>
      </c>
      <c r="E28" s="17">
        <f>+SUMIF(Рўйхат!$C:$C,$B28,Рўйхат!G:G)</f>
        <v/>
      </c>
      <c r="F28" s="18">
        <f>+SUMIF(Рўйхат!$C:$C,$B28,Рўйхат!H:H)</f>
        <v/>
      </c>
      <c r="G28" s="18">
        <f>M28</f>
        <v/>
      </c>
      <c r="H28" s="18">
        <f>R28+W28+AB28+AG28</f>
        <v/>
      </c>
      <c r="I28" s="18">
        <f>+SUMIF(Рўйхат!$C:$C,$B28,Рўйхат!J:J)</f>
        <v/>
      </c>
      <c r="J28" s="18">
        <f>+SUMIF(Рўйхат!$C:$C,$B28,Рўйхат!K:K)</f>
        <v/>
      </c>
      <c r="K28" s="17">
        <f>+SUMIF(Рўйхат!$C:$C,$B28,Рўйхат!L:L)</f>
        <v/>
      </c>
      <c r="L28" s="18">
        <f>+SUMIF(Рўйхат!$C:$C,$B28,Рўйхат!M:M)</f>
        <v/>
      </c>
      <c r="M28" s="18">
        <f>+SUMIF(Рўйхат!$C:$C,$B28,Рўйхат!N:N)</f>
        <v/>
      </c>
      <c r="N28" s="18">
        <f>+SUMIF(Рўйхат!$C:$C,$B28,Рўйхат!O:O)</f>
        <v/>
      </c>
      <c r="O28" s="18">
        <f>+SUMIF(Рўйхат!$C:$C,$B28,Рўйхат!P:P)</f>
        <v/>
      </c>
      <c r="P28" s="17">
        <f>+SUMIF(Рўйхат!$C:$C,$B28,Рўйхат!Q:Q)</f>
        <v/>
      </c>
      <c r="Q28" s="18">
        <f>+SUMIF(Рўйхат!$C:$C,$B28,Рўйхат!R:R)</f>
        <v/>
      </c>
      <c r="R28" s="18">
        <f>+SUMIF(Рўйхат!$C:$C,$B28,Рўйхат!S:S)</f>
        <v/>
      </c>
      <c r="S28" s="18">
        <f>+SUMIF(Рўйхат!$C:$C,$B28,Рўйхат!T:T)</f>
        <v/>
      </c>
      <c r="T28" s="18">
        <f>+SUMIF(Рўйхат!$C:$C,$B28,Рўйхат!U:U)</f>
        <v/>
      </c>
      <c r="U28" s="17">
        <f>+SUMIF(Рўйхат!$C:$C,$B28,Рўйхат!V:V)</f>
        <v/>
      </c>
      <c r="V28" s="18">
        <f>+SUMIF(Рўйхат!$C:$C,$B28,Рўйхат!W:W)</f>
        <v/>
      </c>
      <c r="W28" s="18">
        <f>+SUMIF(Рўйхат!$C:$C,$B28,Рўйхат!X:X)</f>
        <v/>
      </c>
      <c r="X28" s="18">
        <f>+SUMIF(Рўйхат!$C:$C,$B28,Рўйхат!Y:Y)</f>
        <v/>
      </c>
      <c r="Y28" s="18">
        <f>+SUMIF(Рўйхат!$C:$C,$B28,Рўйхат!Z:Z)</f>
        <v/>
      </c>
      <c r="Z28" s="17">
        <f>+SUMIF(Рўйхат!$C:$C,$B28,Рўйхат!AA:AA)</f>
        <v/>
      </c>
      <c r="AA28" s="18">
        <f>+SUMIF(Рўйхат!$C:$C,$B28,Рўйхат!AB:AB)</f>
        <v/>
      </c>
      <c r="AB28" s="18">
        <f>+SUMIF(Рўйхат!$C:$C,$B28,Рўйхат!AC:AC)</f>
        <v/>
      </c>
      <c r="AC28" s="18">
        <f>+SUMIF(Рўйхат!$C:$C,$B28,Рўйхат!AD:AD)</f>
        <v/>
      </c>
      <c r="AD28" s="18">
        <f>+SUMIF(Рўйхат!$C:$C,$B28,Рўйхат!AE:AE)</f>
        <v/>
      </c>
      <c r="AE28" s="17">
        <f>+SUMIF(Рўйхат!$C:$C,$B28,Рўйхат!AF:AF)</f>
        <v/>
      </c>
      <c r="AF28" s="18">
        <f>+SUMIF(Рўйхат!$C:$C,$B28,Рўйхат!AG:AG)</f>
        <v/>
      </c>
      <c r="AG28" s="18">
        <f>+SUMIF(Рўйхат!$C:$C,$B28,Рўйхат!AH:AH)</f>
        <v/>
      </c>
      <c r="AH28" s="33">
        <f>+SUMIF(Рўйхат!$C:$C,$B28,Рўйхат!AI:AI)</f>
        <v/>
      </c>
      <c r="AI28" s="19">
        <f>+SUMIF(Рўйхат!$C:$C,$B28,Рўйхат!AJ:AJ)</f>
        <v/>
      </c>
    </row>
    <row r="29" ht="17" customHeight="1">
      <c r="A29" s="25">
        <f>+A28+1</f>
        <v/>
      </c>
      <c r="B29" s="26" t="inlineStr">
        <is>
          <t>Хоразм вилояти ҳокимлиги</t>
        </is>
      </c>
      <c r="C29" s="28">
        <f>IF(IFERROR(VLOOKUP(B29,Рўйхат!C:E,2,0),"")="[NULL]","",IFERROR(VLOOKUP(B29,Рўйхат!C:E,2,0),""))</f>
        <v/>
      </c>
      <c r="D29" s="28">
        <f>IFERROR(VLOOKUP(B29,Рўйхат!C:E,3,0),"")</f>
        <v/>
      </c>
      <c r="E29" s="17">
        <f>+SUMIF(Рўйхат!$C:$C,$B29,Рўйхат!G:G)</f>
        <v/>
      </c>
      <c r="F29" s="18">
        <f>+SUMIF(Рўйхат!$C:$C,$B29,Рўйхат!H:H)</f>
        <v/>
      </c>
      <c r="G29" s="18">
        <f>M29</f>
        <v/>
      </c>
      <c r="H29" s="18">
        <f>R29+W29+AB29+AG29</f>
        <v/>
      </c>
      <c r="I29" s="18">
        <f>+SUMIF(Рўйхат!$C:$C,$B29,Рўйхат!J:J)</f>
        <v/>
      </c>
      <c r="J29" s="18">
        <f>+SUMIF(Рўйхат!$C:$C,$B29,Рўйхат!K:K)</f>
        <v/>
      </c>
      <c r="K29" s="17">
        <f>+SUMIF(Рўйхат!$C:$C,$B29,Рўйхат!L:L)</f>
        <v/>
      </c>
      <c r="L29" s="18">
        <f>+SUMIF(Рўйхат!$C:$C,$B29,Рўйхат!M:M)</f>
        <v/>
      </c>
      <c r="M29" s="18">
        <f>+SUMIF(Рўйхат!$C:$C,$B29,Рўйхат!N:N)</f>
        <v/>
      </c>
      <c r="N29" s="18">
        <f>+SUMIF(Рўйхат!$C:$C,$B29,Рўйхат!O:O)</f>
        <v/>
      </c>
      <c r="O29" s="18">
        <f>+SUMIF(Рўйхат!$C:$C,$B29,Рўйхат!P:P)</f>
        <v/>
      </c>
      <c r="P29" s="17">
        <f>+SUMIF(Рўйхат!$C:$C,$B29,Рўйхат!Q:Q)</f>
        <v/>
      </c>
      <c r="Q29" s="18">
        <f>+SUMIF(Рўйхат!$C:$C,$B29,Рўйхат!R:R)</f>
        <v/>
      </c>
      <c r="R29" s="18">
        <f>+SUMIF(Рўйхат!$C:$C,$B29,Рўйхат!S:S)</f>
        <v/>
      </c>
      <c r="S29" s="18">
        <f>+SUMIF(Рўйхат!$C:$C,$B29,Рўйхат!T:T)</f>
        <v/>
      </c>
      <c r="T29" s="18">
        <f>+SUMIF(Рўйхат!$C:$C,$B29,Рўйхат!U:U)</f>
        <v/>
      </c>
      <c r="U29" s="17">
        <f>+SUMIF(Рўйхат!$C:$C,$B29,Рўйхат!V:V)</f>
        <v/>
      </c>
      <c r="V29" s="18">
        <f>+SUMIF(Рўйхат!$C:$C,$B29,Рўйхат!W:W)</f>
        <v/>
      </c>
      <c r="W29" s="18">
        <f>+SUMIF(Рўйхат!$C:$C,$B29,Рўйхат!X:X)</f>
        <v/>
      </c>
      <c r="X29" s="18">
        <f>+SUMIF(Рўйхат!$C:$C,$B29,Рўйхат!Y:Y)</f>
        <v/>
      </c>
      <c r="Y29" s="18">
        <f>+SUMIF(Рўйхат!$C:$C,$B29,Рўйхат!Z:Z)</f>
        <v/>
      </c>
      <c r="Z29" s="17">
        <f>+SUMIF(Рўйхат!$C:$C,$B29,Рўйхат!AA:AA)</f>
        <v/>
      </c>
      <c r="AA29" s="18">
        <f>+SUMIF(Рўйхат!$C:$C,$B29,Рўйхат!AB:AB)</f>
        <v/>
      </c>
      <c r="AB29" s="18">
        <f>+SUMIF(Рўйхат!$C:$C,$B29,Рўйхат!AC:AC)</f>
        <v/>
      </c>
      <c r="AC29" s="18">
        <f>+SUMIF(Рўйхат!$C:$C,$B29,Рўйхат!AD:AD)</f>
        <v/>
      </c>
      <c r="AD29" s="18">
        <f>+SUMIF(Рўйхат!$C:$C,$B29,Рўйхат!AE:AE)</f>
        <v/>
      </c>
      <c r="AE29" s="17">
        <f>+SUMIF(Рўйхат!$C:$C,$B29,Рўйхат!AF:AF)</f>
        <v/>
      </c>
      <c r="AF29" s="18">
        <f>+SUMIF(Рўйхат!$C:$C,$B29,Рўйхат!AG:AG)</f>
        <v/>
      </c>
      <c r="AG29" s="18">
        <f>+SUMIF(Рўйхат!$C:$C,$B29,Рўйхат!AH:AH)</f>
        <v/>
      </c>
      <c r="AH29" s="33">
        <f>+SUMIF(Рўйхат!$C:$C,$B29,Рўйхат!AI:AI)</f>
        <v/>
      </c>
      <c r="AI29" s="19">
        <f>+SUMIF(Рўйхат!$C:$C,$B29,Рўйхат!AJ:AJ)</f>
        <v/>
      </c>
    </row>
    <row r="30" ht="34" customHeight="1">
      <c r="A30" s="25">
        <f>+A29+1</f>
        <v/>
      </c>
      <c r="B30" s="26" t="inlineStr">
        <is>
          <t>Спорт вазирлиги</t>
        </is>
      </c>
      <c r="C30" s="28">
        <f>IF(IFERROR(VLOOKUP(B30,Рўйхат!C:E,2,0),"")="[NULL]","",IFERROR(VLOOKUP(B30,Рўйхат!C:E,2,0),""))</f>
        <v/>
      </c>
      <c r="D30" s="28">
        <f>IFERROR(VLOOKUP(B30,Рўйхат!C:E,3,0),"")</f>
        <v/>
      </c>
      <c r="E30" s="17">
        <f>+SUMIF(Рўйхат!$C:$C,$B30,Рўйхат!G:G)</f>
        <v/>
      </c>
      <c r="F30" s="18">
        <f>+SUMIF(Рўйхат!$C:$C,$B30,Рўйхат!H:H)</f>
        <v/>
      </c>
      <c r="G30" s="18">
        <f>M30</f>
        <v/>
      </c>
      <c r="H30" s="18">
        <f>R30+W30+AB30+AG30</f>
        <v/>
      </c>
      <c r="I30" s="18">
        <f>+SUMIF(Рўйхат!$C:$C,$B30,Рўйхат!J:J)</f>
        <v/>
      </c>
      <c r="J30" s="18">
        <f>+SUMIF(Рўйхат!$C:$C,$B30,Рўйхат!K:K)</f>
        <v/>
      </c>
      <c r="K30" s="17">
        <f>+SUMIF(Рўйхат!$C:$C,$B30,Рўйхат!L:L)</f>
        <v/>
      </c>
      <c r="L30" s="18">
        <f>+SUMIF(Рўйхат!$C:$C,$B30,Рўйхат!M:M)</f>
        <v/>
      </c>
      <c r="M30" s="18">
        <f>+SUMIF(Рўйхат!$C:$C,$B30,Рўйхат!N:N)</f>
        <v/>
      </c>
      <c r="N30" s="18">
        <f>+SUMIF(Рўйхат!$C:$C,$B30,Рўйхат!O:O)</f>
        <v/>
      </c>
      <c r="O30" s="18">
        <f>+SUMIF(Рўйхат!$C:$C,$B30,Рўйхат!P:P)</f>
        <v/>
      </c>
      <c r="P30" s="17">
        <f>+SUMIF(Рўйхат!$C:$C,$B30,Рўйхат!Q:Q)</f>
        <v/>
      </c>
      <c r="Q30" s="18">
        <f>+SUMIF(Рўйхат!$C:$C,$B30,Рўйхат!R:R)</f>
        <v/>
      </c>
      <c r="R30" s="18">
        <f>+SUMIF(Рўйхат!$C:$C,$B30,Рўйхат!S:S)</f>
        <v/>
      </c>
      <c r="S30" s="18">
        <f>+SUMIF(Рўйхат!$C:$C,$B30,Рўйхат!T:T)</f>
        <v/>
      </c>
      <c r="T30" s="18">
        <f>+SUMIF(Рўйхат!$C:$C,$B30,Рўйхат!U:U)</f>
        <v/>
      </c>
      <c r="U30" s="17">
        <f>+SUMIF(Рўйхат!$C:$C,$B30,Рўйхат!V:V)</f>
        <v/>
      </c>
      <c r="V30" s="18">
        <f>+SUMIF(Рўйхат!$C:$C,$B30,Рўйхат!W:W)</f>
        <v/>
      </c>
      <c r="W30" s="18">
        <f>+SUMIF(Рўйхат!$C:$C,$B30,Рўйхат!X:X)</f>
        <v/>
      </c>
      <c r="X30" s="18">
        <f>+SUMIF(Рўйхат!$C:$C,$B30,Рўйхат!Y:Y)</f>
        <v/>
      </c>
      <c r="Y30" s="18">
        <f>+SUMIF(Рўйхат!$C:$C,$B30,Рўйхат!Z:Z)</f>
        <v/>
      </c>
      <c r="Z30" s="17">
        <f>+SUMIF(Рўйхат!$C:$C,$B30,Рўйхат!AA:AA)</f>
        <v/>
      </c>
      <c r="AA30" s="18">
        <f>+SUMIF(Рўйхат!$C:$C,$B30,Рўйхат!AB:AB)</f>
        <v/>
      </c>
      <c r="AB30" s="18">
        <f>+SUMIF(Рўйхат!$C:$C,$B30,Рўйхат!AC:AC)</f>
        <v/>
      </c>
      <c r="AC30" s="18">
        <f>+SUMIF(Рўйхат!$C:$C,$B30,Рўйхат!AD:AD)</f>
        <v/>
      </c>
      <c r="AD30" s="18">
        <f>+SUMIF(Рўйхат!$C:$C,$B30,Рўйхат!AE:AE)</f>
        <v/>
      </c>
      <c r="AE30" s="17">
        <f>+SUMIF(Рўйхат!$C:$C,$B30,Рўйхат!AF:AF)</f>
        <v/>
      </c>
      <c r="AF30" s="18">
        <f>+SUMIF(Рўйхат!$C:$C,$B30,Рўйхат!AG:AG)</f>
        <v/>
      </c>
      <c r="AG30" s="18">
        <f>+SUMIF(Рўйхат!$C:$C,$B30,Рўйхат!AH:AH)</f>
        <v/>
      </c>
      <c r="AH30" s="33">
        <f>+SUMIF(Рўйхат!$C:$C,$B30,Рўйхат!AI:AI)</f>
        <v/>
      </c>
      <c r="AI30" s="19">
        <f>+SUMIF(Рўйхат!$C:$C,$B30,Рўйхат!AJ:AJ)</f>
        <v/>
      </c>
    </row>
    <row r="31" ht="17" customHeight="1">
      <c r="A31" s="25">
        <f>+A30+1</f>
        <v/>
      </c>
      <c r="B31" s="26" t="inlineStr">
        <is>
          <t>Бухоро вилоят ҳокимлиги</t>
        </is>
      </c>
      <c r="C31" s="28">
        <f>IF(IFERROR(VLOOKUP(B31,Рўйхат!C:E,2,0),"")="[NULL]","",IFERROR(VLOOKUP(B31,Рўйхат!C:E,2,0),""))</f>
        <v/>
      </c>
      <c r="D31" s="28">
        <f>IFERROR(VLOOKUP(B31,Рўйхат!C:E,3,0),"")</f>
        <v/>
      </c>
      <c r="E31" s="17">
        <f>+SUMIF(Рўйхат!$C:$C,$B31,Рўйхат!G:G)</f>
        <v/>
      </c>
      <c r="F31" s="18">
        <f>+SUMIF(Рўйхат!$C:$C,$B31,Рўйхат!H:H)</f>
        <v/>
      </c>
      <c r="G31" s="18">
        <f>M31</f>
        <v/>
      </c>
      <c r="H31" s="18">
        <f>R31+W31+AB31+AG31</f>
        <v/>
      </c>
      <c r="I31" s="18">
        <f>+SUMIF(Рўйхат!$C:$C,$B31,Рўйхат!J:J)</f>
        <v/>
      </c>
      <c r="J31" s="18">
        <f>+SUMIF(Рўйхат!$C:$C,$B31,Рўйхат!K:K)</f>
        <v/>
      </c>
      <c r="K31" s="17">
        <f>+SUMIF(Рўйхат!$C:$C,$B31,Рўйхат!L:L)</f>
        <v/>
      </c>
      <c r="L31" s="18">
        <f>+SUMIF(Рўйхат!$C:$C,$B31,Рўйхат!M:M)</f>
        <v/>
      </c>
      <c r="M31" s="18">
        <f>+SUMIF(Рўйхат!$C:$C,$B31,Рўйхат!N:N)</f>
        <v/>
      </c>
      <c r="N31" s="18">
        <f>+SUMIF(Рўйхат!$C:$C,$B31,Рўйхат!O:O)</f>
        <v/>
      </c>
      <c r="O31" s="18">
        <f>+SUMIF(Рўйхат!$C:$C,$B31,Рўйхат!P:P)</f>
        <v/>
      </c>
      <c r="P31" s="17">
        <f>+SUMIF(Рўйхат!$C:$C,$B31,Рўйхат!Q:Q)</f>
        <v/>
      </c>
      <c r="Q31" s="18">
        <f>+SUMIF(Рўйхат!$C:$C,$B31,Рўйхат!R:R)</f>
        <v/>
      </c>
      <c r="R31" s="18">
        <f>+SUMIF(Рўйхат!$C:$C,$B31,Рўйхат!S:S)</f>
        <v/>
      </c>
      <c r="S31" s="18">
        <f>+SUMIF(Рўйхат!$C:$C,$B31,Рўйхат!T:T)</f>
        <v/>
      </c>
      <c r="T31" s="18">
        <f>+SUMIF(Рўйхат!$C:$C,$B31,Рўйхат!U:U)</f>
        <v/>
      </c>
      <c r="U31" s="17">
        <f>+SUMIF(Рўйхат!$C:$C,$B31,Рўйхат!V:V)</f>
        <v/>
      </c>
      <c r="V31" s="18">
        <f>+SUMIF(Рўйхат!$C:$C,$B31,Рўйхат!W:W)</f>
        <v/>
      </c>
      <c r="W31" s="18">
        <f>+SUMIF(Рўйхат!$C:$C,$B31,Рўйхат!X:X)</f>
        <v/>
      </c>
      <c r="X31" s="18">
        <f>+SUMIF(Рўйхат!$C:$C,$B31,Рўйхат!Y:Y)</f>
        <v/>
      </c>
      <c r="Y31" s="18">
        <f>+SUMIF(Рўйхат!$C:$C,$B31,Рўйхат!Z:Z)</f>
        <v/>
      </c>
      <c r="Z31" s="17">
        <f>+SUMIF(Рўйхат!$C:$C,$B31,Рўйхат!AA:AA)</f>
        <v/>
      </c>
      <c r="AA31" s="18">
        <f>+SUMIF(Рўйхат!$C:$C,$B31,Рўйхат!AB:AB)</f>
        <v/>
      </c>
      <c r="AB31" s="18">
        <f>+SUMIF(Рўйхат!$C:$C,$B31,Рўйхат!AC:AC)</f>
        <v/>
      </c>
      <c r="AC31" s="18">
        <f>+SUMIF(Рўйхат!$C:$C,$B31,Рўйхат!AD:AD)</f>
        <v/>
      </c>
      <c r="AD31" s="18">
        <f>+SUMIF(Рўйхат!$C:$C,$B31,Рўйхат!AE:AE)</f>
        <v/>
      </c>
      <c r="AE31" s="17">
        <f>+SUMIF(Рўйхат!$C:$C,$B31,Рўйхат!AF:AF)</f>
        <v/>
      </c>
      <c r="AF31" s="18">
        <f>+SUMIF(Рўйхат!$C:$C,$B31,Рўйхат!AG:AG)</f>
        <v/>
      </c>
      <c r="AG31" s="18">
        <f>+SUMIF(Рўйхат!$C:$C,$B31,Рўйхат!AH:AH)</f>
        <v/>
      </c>
      <c r="AH31" s="33">
        <f>+SUMIF(Рўйхат!$C:$C,$B31,Рўйхат!AI:AI)</f>
        <v/>
      </c>
      <c r="AI31" s="19">
        <f>+SUMIF(Рўйхат!$C:$C,$B31,Рўйхат!AJ:AJ)</f>
        <v/>
      </c>
    </row>
    <row r="32" ht="17" customHeight="1">
      <c r="A32" s="25">
        <f>+A31+1</f>
        <v/>
      </c>
      <c r="B32" s="26" t="inlineStr">
        <is>
          <t>Навоий вилояти ҳокимлиги</t>
        </is>
      </c>
      <c r="C32" s="28">
        <f>IF(IFERROR(VLOOKUP(B32,Рўйхат!C:E,2,0),"")="[NULL]","",IFERROR(VLOOKUP(B32,Рўйхат!C:E,2,0),""))</f>
        <v/>
      </c>
      <c r="D32" s="28">
        <f>IFERROR(VLOOKUP(B32,Рўйхат!C:E,3,0),"")</f>
        <v/>
      </c>
      <c r="E32" s="17">
        <f>+SUMIF(Рўйхат!$C:$C,$B32,Рўйхат!G:G)</f>
        <v/>
      </c>
      <c r="F32" s="18">
        <f>+SUMIF(Рўйхат!$C:$C,$B32,Рўйхат!H:H)</f>
        <v/>
      </c>
      <c r="G32" s="18">
        <f>M32</f>
        <v/>
      </c>
      <c r="H32" s="18">
        <f>R32+W32+AB32+AG32</f>
        <v/>
      </c>
      <c r="I32" s="18">
        <f>+SUMIF(Рўйхат!$C:$C,$B32,Рўйхат!J:J)</f>
        <v/>
      </c>
      <c r="J32" s="18">
        <f>+SUMIF(Рўйхат!$C:$C,$B32,Рўйхат!K:K)</f>
        <v/>
      </c>
      <c r="K32" s="17">
        <f>+SUMIF(Рўйхат!$C:$C,$B32,Рўйхат!L:L)</f>
        <v/>
      </c>
      <c r="L32" s="18">
        <f>+SUMIF(Рўйхат!$C:$C,$B32,Рўйхат!M:M)</f>
        <v/>
      </c>
      <c r="M32" s="18">
        <f>+SUMIF(Рўйхат!$C:$C,$B32,Рўйхат!N:N)</f>
        <v/>
      </c>
      <c r="N32" s="18">
        <f>+SUMIF(Рўйхат!$C:$C,$B32,Рўйхат!O:O)</f>
        <v/>
      </c>
      <c r="O32" s="18">
        <f>+SUMIF(Рўйхат!$C:$C,$B32,Рўйхат!P:P)</f>
        <v/>
      </c>
      <c r="P32" s="17">
        <f>+SUMIF(Рўйхат!$C:$C,$B32,Рўйхат!Q:Q)</f>
        <v/>
      </c>
      <c r="Q32" s="18">
        <f>+SUMIF(Рўйхат!$C:$C,$B32,Рўйхат!R:R)</f>
        <v/>
      </c>
      <c r="R32" s="18">
        <f>+SUMIF(Рўйхат!$C:$C,$B32,Рўйхат!S:S)</f>
        <v/>
      </c>
      <c r="S32" s="18">
        <f>+SUMIF(Рўйхат!$C:$C,$B32,Рўйхат!T:T)</f>
        <v/>
      </c>
      <c r="T32" s="18">
        <f>+SUMIF(Рўйхат!$C:$C,$B32,Рўйхат!U:U)</f>
        <v/>
      </c>
      <c r="U32" s="17">
        <f>+SUMIF(Рўйхат!$C:$C,$B32,Рўйхат!V:V)</f>
        <v/>
      </c>
      <c r="V32" s="18">
        <f>+SUMIF(Рўйхат!$C:$C,$B32,Рўйхат!W:W)</f>
        <v/>
      </c>
      <c r="W32" s="18">
        <f>+SUMIF(Рўйхат!$C:$C,$B32,Рўйхат!X:X)</f>
        <v/>
      </c>
      <c r="X32" s="18">
        <f>+SUMIF(Рўйхат!$C:$C,$B32,Рўйхат!Y:Y)</f>
        <v/>
      </c>
      <c r="Y32" s="18">
        <f>+SUMIF(Рўйхат!$C:$C,$B32,Рўйхат!Z:Z)</f>
        <v/>
      </c>
      <c r="Z32" s="17">
        <f>+SUMIF(Рўйхат!$C:$C,$B32,Рўйхат!AA:AA)</f>
        <v/>
      </c>
      <c r="AA32" s="18">
        <f>+SUMIF(Рўйхат!$C:$C,$B32,Рўйхат!AB:AB)</f>
        <v/>
      </c>
      <c r="AB32" s="18">
        <f>+SUMIF(Рўйхат!$C:$C,$B32,Рўйхат!AC:AC)</f>
        <v/>
      </c>
      <c r="AC32" s="18">
        <f>+SUMIF(Рўйхат!$C:$C,$B32,Рўйхат!AD:AD)</f>
        <v/>
      </c>
      <c r="AD32" s="18">
        <f>+SUMIF(Рўйхат!$C:$C,$B32,Рўйхат!AE:AE)</f>
        <v/>
      </c>
      <c r="AE32" s="17">
        <f>+SUMIF(Рўйхат!$C:$C,$B32,Рўйхат!AF:AF)</f>
        <v/>
      </c>
      <c r="AF32" s="18">
        <f>+SUMIF(Рўйхат!$C:$C,$B32,Рўйхат!AG:AG)</f>
        <v/>
      </c>
      <c r="AG32" s="18">
        <f>+SUMIF(Рўйхат!$C:$C,$B32,Рўйхат!AH:AH)</f>
        <v/>
      </c>
      <c r="AH32" s="33">
        <f>+SUMIF(Рўйхат!$C:$C,$B32,Рўйхат!AI:AI)</f>
        <v/>
      </c>
      <c r="AI32" s="19">
        <f>+SUMIF(Рўйхат!$C:$C,$B32,Рўйхат!AJ:AJ)</f>
        <v/>
      </c>
    </row>
    <row r="33" ht="17" customHeight="1">
      <c r="A33" s="25">
        <f>+A32+1</f>
        <v/>
      </c>
      <c r="B33" s="26" t="inlineStr">
        <is>
          <t>Жиззах вилояти ҳокимлиги</t>
        </is>
      </c>
      <c r="C33" s="28">
        <f>IF(IFERROR(VLOOKUP(B33,Рўйхат!C:E,2,0),"")="[NULL]","",IFERROR(VLOOKUP(B33,Рўйхат!C:E,2,0),""))</f>
        <v/>
      </c>
      <c r="D33" s="28">
        <f>IFERROR(VLOOKUP(B33,Рўйхат!C:E,3,0),"")</f>
        <v/>
      </c>
      <c r="E33" s="17">
        <f>+SUMIF(Рўйхат!$C:$C,$B33,Рўйхат!G:G)</f>
        <v/>
      </c>
      <c r="F33" s="18">
        <f>+SUMIF(Рўйхат!$C:$C,$B33,Рўйхат!H:H)</f>
        <v/>
      </c>
      <c r="G33" s="18">
        <f>M33</f>
        <v/>
      </c>
      <c r="H33" s="18">
        <f>R33+W33+AB33+AG33</f>
        <v/>
      </c>
      <c r="I33" s="18">
        <f>+SUMIF(Рўйхат!$C:$C,$B33,Рўйхат!J:J)</f>
        <v/>
      </c>
      <c r="J33" s="18">
        <f>+SUMIF(Рўйхат!$C:$C,$B33,Рўйхат!K:K)</f>
        <v/>
      </c>
      <c r="K33" s="17">
        <f>+SUMIF(Рўйхат!$C:$C,$B33,Рўйхат!L:L)</f>
        <v/>
      </c>
      <c r="L33" s="18">
        <f>+SUMIF(Рўйхат!$C:$C,$B33,Рўйхат!M:M)</f>
        <v/>
      </c>
      <c r="M33" s="18">
        <f>+SUMIF(Рўйхат!$C:$C,$B33,Рўйхат!N:N)</f>
        <v/>
      </c>
      <c r="N33" s="18">
        <f>+SUMIF(Рўйхат!$C:$C,$B33,Рўйхат!O:O)</f>
        <v/>
      </c>
      <c r="O33" s="18">
        <f>+SUMIF(Рўйхат!$C:$C,$B33,Рўйхат!P:P)</f>
        <v/>
      </c>
      <c r="P33" s="17">
        <f>+SUMIF(Рўйхат!$C:$C,$B33,Рўйхат!Q:Q)</f>
        <v/>
      </c>
      <c r="Q33" s="18">
        <f>+SUMIF(Рўйхат!$C:$C,$B33,Рўйхат!R:R)</f>
        <v/>
      </c>
      <c r="R33" s="18">
        <f>+SUMIF(Рўйхат!$C:$C,$B33,Рўйхат!S:S)</f>
        <v/>
      </c>
      <c r="S33" s="18">
        <f>+SUMIF(Рўйхат!$C:$C,$B33,Рўйхат!T:T)</f>
        <v/>
      </c>
      <c r="T33" s="18">
        <f>+SUMIF(Рўйхат!$C:$C,$B33,Рўйхат!U:U)</f>
        <v/>
      </c>
      <c r="U33" s="17">
        <f>+SUMIF(Рўйхат!$C:$C,$B33,Рўйхат!V:V)</f>
        <v/>
      </c>
      <c r="V33" s="18">
        <f>+SUMIF(Рўйхат!$C:$C,$B33,Рўйхат!W:W)</f>
        <v/>
      </c>
      <c r="W33" s="18">
        <f>+SUMIF(Рўйхат!$C:$C,$B33,Рўйхат!X:X)</f>
        <v/>
      </c>
      <c r="X33" s="18">
        <f>+SUMIF(Рўйхат!$C:$C,$B33,Рўйхат!Y:Y)</f>
        <v/>
      </c>
      <c r="Y33" s="18">
        <f>+SUMIF(Рўйхат!$C:$C,$B33,Рўйхат!Z:Z)</f>
        <v/>
      </c>
      <c r="Z33" s="17">
        <f>+SUMIF(Рўйхат!$C:$C,$B33,Рўйхат!AA:AA)</f>
        <v/>
      </c>
      <c r="AA33" s="18">
        <f>+SUMIF(Рўйхат!$C:$C,$B33,Рўйхат!AB:AB)</f>
        <v/>
      </c>
      <c r="AB33" s="18">
        <f>+SUMIF(Рўйхат!$C:$C,$B33,Рўйхат!AC:AC)</f>
        <v/>
      </c>
      <c r="AC33" s="18">
        <f>+SUMIF(Рўйхат!$C:$C,$B33,Рўйхат!AD:AD)</f>
        <v/>
      </c>
      <c r="AD33" s="18">
        <f>+SUMIF(Рўйхат!$C:$C,$B33,Рўйхат!AE:AE)</f>
        <v/>
      </c>
      <c r="AE33" s="17">
        <f>+SUMIF(Рўйхат!$C:$C,$B33,Рўйхат!AF:AF)</f>
        <v/>
      </c>
      <c r="AF33" s="18">
        <f>+SUMIF(Рўйхат!$C:$C,$B33,Рўйхат!AG:AG)</f>
        <v/>
      </c>
      <c r="AG33" s="18">
        <f>+SUMIF(Рўйхат!$C:$C,$B33,Рўйхат!AH:AH)</f>
        <v/>
      </c>
      <c r="AH33" s="33">
        <f>+SUMIF(Рўйхат!$C:$C,$B33,Рўйхат!AI:AI)</f>
        <v/>
      </c>
      <c r="AI33" s="19">
        <f>+SUMIF(Рўйхат!$C:$C,$B33,Рўйхат!AJ:AJ)</f>
        <v/>
      </c>
    </row>
    <row r="34" ht="34" customHeight="1">
      <c r="A34" s="25">
        <f>+A33+1</f>
        <v/>
      </c>
      <c r="B34" s="26" t="inlineStr">
        <is>
          <t>Марказий банк</t>
        </is>
      </c>
      <c r="C34" s="28">
        <f>IF(IFERROR(VLOOKUP(B34,Рўйхат!C:E,2,0),"")="[NULL]","",IFERROR(VLOOKUP(B34,Рўйхат!C:E,2,0),""))</f>
        <v/>
      </c>
      <c r="D34" s="28">
        <f>IFERROR(VLOOKUP(B34,Рўйхат!C:E,3,0),"")</f>
        <v/>
      </c>
      <c r="E34" s="17">
        <f>+SUMIF(Рўйхат!$C:$C,$B34,Рўйхат!G:G)</f>
        <v/>
      </c>
      <c r="F34" s="18">
        <f>+SUMIF(Рўйхат!$C:$C,$B34,Рўйхат!H:H)</f>
        <v/>
      </c>
      <c r="G34" s="18">
        <f>M34</f>
        <v/>
      </c>
      <c r="H34" s="18">
        <f>R34+W34+AB34+AG34</f>
        <v/>
      </c>
      <c r="I34" s="18">
        <f>+SUMIF(Рўйхат!$C:$C,$B34,Рўйхат!J:J)</f>
        <v/>
      </c>
      <c r="J34" s="18">
        <f>+SUMIF(Рўйхат!$C:$C,$B34,Рўйхат!K:K)</f>
        <v/>
      </c>
      <c r="K34" s="17">
        <f>+SUMIF(Рўйхат!$C:$C,$B34,Рўйхат!L:L)</f>
        <v/>
      </c>
      <c r="L34" s="18">
        <f>+SUMIF(Рўйхат!$C:$C,$B34,Рўйхат!M:M)</f>
        <v/>
      </c>
      <c r="M34" s="18">
        <f>+SUMIF(Рўйхат!$C:$C,$B34,Рўйхат!N:N)</f>
        <v/>
      </c>
      <c r="N34" s="18">
        <f>+SUMIF(Рўйхат!$C:$C,$B34,Рўйхат!O:O)</f>
        <v/>
      </c>
      <c r="O34" s="18">
        <f>+SUMIF(Рўйхат!$C:$C,$B34,Рўйхат!P:P)</f>
        <v/>
      </c>
      <c r="P34" s="17">
        <f>+SUMIF(Рўйхат!$C:$C,$B34,Рўйхат!Q:Q)</f>
        <v/>
      </c>
      <c r="Q34" s="18">
        <f>+SUMIF(Рўйхат!$C:$C,$B34,Рўйхат!R:R)</f>
        <v/>
      </c>
      <c r="R34" s="18">
        <f>+SUMIF(Рўйхат!$C:$C,$B34,Рўйхат!S:S)</f>
        <v/>
      </c>
      <c r="S34" s="18">
        <f>+SUMIF(Рўйхат!$C:$C,$B34,Рўйхат!T:T)</f>
        <v/>
      </c>
      <c r="T34" s="18">
        <f>+SUMIF(Рўйхат!$C:$C,$B34,Рўйхат!U:U)</f>
        <v/>
      </c>
      <c r="U34" s="17">
        <f>+SUMIF(Рўйхат!$C:$C,$B34,Рўйхат!V:V)</f>
        <v/>
      </c>
      <c r="V34" s="18">
        <f>+SUMIF(Рўйхат!$C:$C,$B34,Рўйхат!W:W)</f>
        <v/>
      </c>
      <c r="W34" s="18">
        <f>+SUMIF(Рўйхат!$C:$C,$B34,Рўйхат!X:X)</f>
        <v/>
      </c>
      <c r="X34" s="18">
        <f>+SUMIF(Рўйхат!$C:$C,$B34,Рўйхат!Y:Y)</f>
        <v/>
      </c>
      <c r="Y34" s="18">
        <f>+SUMIF(Рўйхат!$C:$C,$B34,Рўйхат!Z:Z)</f>
        <v/>
      </c>
      <c r="Z34" s="17">
        <f>+SUMIF(Рўйхат!$C:$C,$B34,Рўйхат!AA:AA)</f>
        <v/>
      </c>
      <c r="AA34" s="18">
        <f>+SUMIF(Рўйхат!$C:$C,$B34,Рўйхат!AB:AB)</f>
        <v/>
      </c>
      <c r="AB34" s="18">
        <f>+SUMIF(Рўйхат!$C:$C,$B34,Рўйхат!AC:AC)</f>
        <v/>
      </c>
      <c r="AC34" s="18">
        <f>+SUMIF(Рўйхат!$C:$C,$B34,Рўйхат!AD:AD)</f>
        <v/>
      </c>
      <c r="AD34" s="18">
        <f>+SUMIF(Рўйхат!$C:$C,$B34,Рўйхат!AE:AE)</f>
        <v/>
      </c>
      <c r="AE34" s="17">
        <f>+SUMIF(Рўйхат!$C:$C,$B34,Рўйхат!AF:AF)</f>
        <v/>
      </c>
      <c r="AF34" s="18">
        <f>+SUMIF(Рўйхат!$C:$C,$B34,Рўйхат!AG:AG)</f>
        <v/>
      </c>
      <c r="AG34" s="18">
        <f>+SUMIF(Рўйхат!$C:$C,$B34,Рўйхат!AH:AH)</f>
        <v/>
      </c>
      <c r="AH34" s="33">
        <f>+SUMIF(Рўйхат!$C:$C,$B34,Рўйхат!AI:AI)</f>
        <v/>
      </c>
      <c r="AI34" s="19">
        <f>+SUMIF(Рўйхат!$C:$C,$B34,Рўйхат!AJ:AJ)</f>
        <v/>
      </c>
    </row>
    <row r="35" ht="17" customHeight="1">
      <c r="A35" s="25">
        <f>+A34+1</f>
        <v/>
      </c>
      <c r="B35" s="26" t="inlineStr">
        <is>
          <t>Андижон вилояти ҳокимлиги</t>
        </is>
      </c>
      <c r="C35" s="28">
        <f>IF(IFERROR(VLOOKUP(B35,Рўйхат!C:E,2,0),"")="[NULL]","",IFERROR(VLOOKUP(B35,Рўйхат!C:E,2,0),""))</f>
        <v/>
      </c>
      <c r="D35" s="28">
        <f>IFERROR(VLOOKUP(B35,Рўйхат!C:E,3,0),"")</f>
        <v/>
      </c>
      <c r="E35" s="17">
        <f>+SUMIF(Рўйхат!$C:$C,$B35,Рўйхат!G:G)</f>
        <v/>
      </c>
      <c r="F35" s="18">
        <f>+SUMIF(Рўйхат!$C:$C,$B35,Рўйхат!H:H)</f>
        <v/>
      </c>
      <c r="G35" s="18">
        <f>M35</f>
        <v/>
      </c>
      <c r="H35" s="18">
        <f>R35+W35+AB35+AG35</f>
        <v/>
      </c>
      <c r="I35" s="18">
        <f>+SUMIF(Рўйхат!$C:$C,$B35,Рўйхат!J:J)</f>
        <v/>
      </c>
      <c r="J35" s="18">
        <f>+SUMIF(Рўйхат!$C:$C,$B35,Рўйхат!K:K)</f>
        <v/>
      </c>
      <c r="K35" s="17">
        <f>+SUMIF(Рўйхат!$C:$C,$B35,Рўйхат!L:L)</f>
        <v/>
      </c>
      <c r="L35" s="18">
        <f>+SUMIF(Рўйхат!$C:$C,$B35,Рўйхат!M:M)</f>
        <v/>
      </c>
      <c r="M35" s="18">
        <f>+SUMIF(Рўйхат!$C:$C,$B35,Рўйхат!N:N)</f>
        <v/>
      </c>
      <c r="N35" s="18">
        <f>+SUMIF(Рўйхат!$C:$C,$B35,Рўйхат!O:O)</f>
        <v/>
      </c>
      <c r="O35" s="18">
        <f>+SUMIF(Рўйхат!$C:$C,$B35,Рўйхат!P:P)</f>
        <v/>
      </c>
      <c r="P35" s="17">
        <f>+SUMIF(Рўйхат!$C:$C,$B35,Рўйхат!Q:Q)</f>
        <v/>
      </c>
      <c r="Q35" s="18">
        <f>+SUMIF(Рўйхат!$C:$C,$B35,Рўйхат!R:R)</f>
        <v/>
      </c>
      <c r="R35" s="18">
        <f>+SUMIF(Рўйхат!$C:$C,$B35,Рўйхат!S:S)</f>
        <v/>
      </c>
      <c r="S35" s="18">
        <f>+SUMIF(Рўйхат!$C:$C,$B35,Рўйхат!T:T)</f>
        <v/>
      </c>
      <c r="T35" s="18">
        <f>+SUMIF(Рўйхат!$C:$C,$B35,Рўйхат!U:U)</f>
        <v/>
      </c>
      <c r="U35" s="17">
        <f>+SUMIF(Рўйхат!$C:$C,$B35,Рўйхат!V:V)</f>
        <v/>
      </c>
      <c r="V35" s="18">
        <f>+SUMIF(Рўйхат!$C:$C,$B35,Рўйхат!W:W)</f>
        <v/>
      </c>
      <c r="W35" s="18">
        <f>+SUMIF(Рўйхат!$C:$C,$B35,Рўйхат!X:X)</f>
        <v/>
      </c>
      <c r="X35" s="18">
        <f>+SUMIF(Рўйхат!$C:$C,$B35,Рўйхат!Y:Y)</f>
        <v/>
      </c>
      <c r="Y35" s="18">
        <f>+SUMIF(Рўйхат!$C:$C,$B35,Рўйхат!Z:Z)</f>
        <v/>
      </c>
      <c r="Z35" s="17">
        <f>+SUMIF(Рўйхат!$C:$C,$B35,Рўйхат!AA:AA)</f>
        <v/>
      </c>
      <c r="AA35" s="18">
        <f>+SUMIF(Рўйхат!$C:$C,$B35,Рўйхат!AB:AB)</f>
        <v/>
      </c>
      <c r="AB35" s="18">
        <f>+SUMIF(Рўйхат!$C:$C,$B35,Рўйхат!AC:AC)</f>
        <v/>
      </c>
      <c r="AC35" s="18">
        <f>+SUMIF(Рўйхат!$C:$C,$B35,Рўйхат!AD:AD)</f>
        <v/>
      </c>
      <c r="AD35" s="18">
        <f>+SUMIF(Рўйхат!$C:$C,$B35,Рўйхат!AE:AE)</f>
        <v/>
      </c>
      <c r="AE35" s="17">
        <f>+SUMIF(Рўйхат!$C:$C,$B35,Рўйхат!AF:AF)</f>
        <v/>
      </c>
      <c r="AF35" s="18">
        <f>+SUMIF(Рўйхат!$C:$C,$B35,Рўйхат!AG:AG)</f>
        <v/>
      </c>
      <c r="AG35" s="18">
        <f>+SUMIF(Рўйхат!$C:$C,$B35,Рўйхат!AH:AH)</f>
        <v/>
      </c>
      <c r="AH35" s="33">
        <f>+SUMIF(Рўйхат!$C:$C,$B35,Рўйхат!AI:AI)</f>
        <v/>
      </c>
      <c r="AI35" s="19">
        <f>+SUMIF(Рўйхат!$C:$C,$B35,Рўйхат!AJ:AJ)</f>
        <v/>
      </c>
    </row>
    <row r="36" ht="17" customHeight="1">
      <c r="A36" s="25">
        <f>+A35+1</f>
        <v/>
      </c>
      <c r="B36" s="26" t="inlineStr">
        <is>
          <t>“Ўзавтосаноат” АЖ</t>
        </is>
      </c>
      <c r="C36" s="28">
        <f>IF(IFERROR(VLOOKUP(B36,Рўйхат!C:E,2,0),"")="[NULL]","",IFERROR(VLOOKUP(B36,Рўйхат!C:E,2,0),""))</f>
        <v/>
      </c>
      <c r="D36" s="28">
        <f>IFERROR(VLOOKUP(B36,Рўйхат!C:E,3,0),"")</f>
        <v/>
      </c>
      <c r="E36" s="17">
        <f>+SUMIF(Рўйхат!$C:$C,$B36,Рўйхат!G:G)</f>
        <v/>
      </c>
      <c r="F36" s="18">
        <f>+SUMIF(Рўйхат!$C:$C,$B36,Рўйхат!H:H)</f>
        <v/>
      </c>
      <c r="G36" s="18">
        <f>M36</f>
        <v/>
      </c>
      <c r="H36" s="18">
        <f>R36+W36+AB36+AG36</f>
        <v/>
      </c>
      <c r="I36" s="18">
        <f>+SUMIF(Рўйхат!$C:$C,$B36,Рўйхат!J:J)</f>
        <v/>
      </c>
      <c r="J36" s="18">
        <f>+SUMIF(Рўйхат!$C:$C,$B36,Рўйхат!K:K)</f>
        <v/>
      </c>
      <c r="K36" s="17">
        <f>+SUMIF(Рўйхат!$C:$C,$B36,Рўйхат!L:L)</f>
        <v/>
      </c>
      <c r="L36" s="18">
        <f>+SUMIF(Рўйхат!$C:$C,$B36,Рўйхат!M:M)</f>
        <v/>
      </c>
      <c r="M36" s="18">
        <f>+SUMIF(Рўйхат!$C:$C,$B36,Рўйхат!N:N)</f>
        <v/>
      </c>
      <c r="N36" s="18">
        <f>+SUMIF(Рўйхат!$C:$C,$B36,Рўйхат!O:O)</f>
        <v/>
      </c>
      <c r="O36" s="18">
        <f>+SUMIF(Рўйхат!$C:$C,$B36,Рўйхат!P:P)</f>
        <v/>
      </c>
      <c r="P36" s="17">
        <f>+SUMIF(Рўйхат!$C:$C,$B36,Рўйхат!Q:Q)</f>
        <v/>
      </c>
      <c r="Q36" s="18">
        <f>+SUMIF(Рўйхат!$C:$C,$B36,Рўйхат!R:R)</f>
        <v/>
      </c>
      <c r="R36" s="18">
        <f>+SUMIF(Рўйхат!$C:$C,$B36,Рўйхат!S:S)</f>
        <v/>
      </c>
      <c r="S36" s="18">
        <f>+SUMIF(Рўйхат!$C:$C,$B36,Рўйхат!T:T)</f>
        <v/>
      </c>
      <c r="T36" s="18">
        <f>+SUMIF(Рўйхат!$C:$C,$B36,Рўйхат!U:U)</f>
        <v/>
      </c>
      <c r="U36" s="17">
        <f>+SUMIF(Рўйхат!$C:$C,$B36,Рўйхат!V:V)</f>
        <v/>
      </c>
      <c r="V36" s="18">
        <f>+SUMIF(Рўйхат!$C:$C,$B36,Рўйхат!W:W)</f>
        <v/>
      </c>
      <c r="W36" s="18">
        <f>+SUMIF(Рўйхат!$C:$C,$B36,Рўйхат!X:X)</f>
        <v/>
      </c>
      <c r="X36" s="18">
        <f>+SUMIF(Рўйхат!$C:$C,$B36,Рўйхат!Y:Y)</f>
        <v/>
      </c>
      <c r="Y36" s="18">
        <f>+SUMIF(Рўйхат!$C:$C,$B36,Рўйхат!Z:Z)</f>
        <v/>
      </c>
      <c r="Z36" s="17">
        <f>+SUMIF(Рўйхат!$C:$C,$B36,Рўйхат!AA:AA)</f>
        <v/>
      </c>
      <c r="AA36" s="18">
        <f>+SUMIF(Рўйхат!$C:$C,$B36,Рўйхат!AB:AB)</f>
        <v/>
      </c>
      <c r="AB36" s="18">
        <f>+SUMIF(Рўйхат!$C:$C,$B36,Рўйхат!AC:AC)</f>
        <v/>
      </c>
      <c r="AC36" s="18">
        <f>+SUMIF(Рўйхат!$C:$C,$B36,Рўйхат!AD:AD)</f>
        <v/>
      </c>
      <c r="AD36" s="18">
        <f>+SUMIF(Рўйхат!$C:$C,$B36,Рўйхат!AE:AE)</f>
        <v/>
      </c>
      <c r="AE36" s="17">
        <f>+SUMIF(Рўйхат!$C:$C,$B36,Рўйхат!AF:AF)</f>
        <v/>
      </c>
      <c r="AF36" s="18">
        <f>+SUMIF(Рўйхат!$C:$C,$B36,Рўйхат!AG:AG)</f>
        <v/>
      </c>
      <c r="AG36" s="18">
        <f>+SUMIF(Рўйхат!$C:$C,$B36,Рўйхат!AH:AH)</f>
        <v/>
      </c>
      <c r="AH36" s="33">
        <f>+SUMIF(Рўйхат!$C:$C,$B36,Рўйхат!AI:AI)</f>
        <v/>
      </c>
      <c r="AI36" s="19">
        <f>+SUMIF(Рўйхат!$C:$C,$B36,Рўйхат!AJ:AJ)</f>
        <v/>
      </c>
    </row>
    <row r="37" ht="17" customHeight="1">
      <c r="A37" s="25">
        <f>+A36+1</f>
        <v/>
      </c>
      <c r="B37" s="26" t="inlineStr">
        <is>
          <t>Тошкент шаҳар ҳокимлиги</t>
        </is>
      </c>
      <c r="C37" s="28">
        <f>IF(IFERROR(VLOOKUP(B37,Рўйхат!C:E,2,0),"")="[NULL]","",IFERROR(VLOOKUP(B37,Рўйхат!C:E,2,0),""))</f>
        <v/>
      </c>
      <c r="D37" s="28">
        <f>IFERROR(VLOOKUP(B37,Рўйхат!C:E,3,0),"")</f>
        <v/>
      </c>
      <c r="E37" s="17">
        <f>+SUMIF(Рўйхат!$C:$C,$B37,Рўйхат!G:G)</f>
        <v/>
      </c>
      <c r="F37" s="18">
        <f>+SUMIF(Рўйхат!$C:$C,$B37,Рўйхат!H:H)</f>
        <v/>
      </c>
      <c r="G37" s="18">
        <f>M37</f>
        <v/>
      </c>
      <c r="H37" s="18">
        <f>R37+W37+AB37+AG37</f>
        <v/>
      </c>
      <c r="I37" s="18">
        <f>+SUMIF(Рўйхат!$C:$C,$B37,Рўйхат!J:J)</f>
        <v/>
      </c>
      <c r="J37" s="18">
        <f>+SUMIF(Рўйхат!$C:$C,$B37,Рўйхат!K:K)</f>
        <v/>
      </c>
      <c r="K37" s="17">
        <f>+SUMIF(Рўйхат!$C:$C,$B37,Рўйхат!L:L)</f>
        <v/>
      </c>
      <c r="L37" s="18">
        <f>+SUMIF(Рўйхат!$C:$C,$B37,Рўйхат!M:M)</f>
        <v/>
      </c>
      <c r="M37" s="18">
        <f>+SUMIF(Рўйхат!$C:$C,$B37,Рўйхат!N:N)</f>
        <v/>
      </c>
      <c r="N37" s="18">
        <f>+SUMIF(Рўйхат!$C:$C,$B37,Рўйхат!O:O)</f>
        <v/>
      </c>
      <c r="O37" s="18">
        <f>+SUMIF(Рўйхат!$C:$C,$B37,Рўйхат!P:P)</f>
        <v/>
      </c>
      <c r="P37" s="17">
        <f>+SUMIF(Рўйхат!$C:$C,$B37,Рўйхат!Q:Q)</f>
        <v/>
      </c>
      <c r="Q37" s="18">
        <f>+SUMIF(Рўйхат!$C:$C,$B37,Рўйхат!R:R)</f>
        <v/>
      </c>
      <c r="R37" s="18">
        <f>+SUMIF(Рўйхат!$C:$C,$B37,Рўйхат!S:S)</f>
        <v/>
      </c>
      <c r="S37" s="18">
        <f>+SUMIF(Рўйхат!$C:$C,$B37,Рўйхат!T:T)</f>
        <v/>
      </c>
      <c r="T37" s="18">
        <f>+SUMIF(Рўйхат!$C:$C,$B37,Рўйхат!U:U)</f>
        <v/>
      </c>
      <c r="U37" s="17">
        <f>+SUMIF(Рўйхат!$C:$C,$B37,Рўйхат!V:V)</f>
        <v/>
      </c>
      <c r="V37" s="18">
        <f>+SUMIF(Рўйхат!$C:$C,$B37,Рўйхат!W:W)</f>
        <v/>
      </c>
      <c r="W37" s="18">
        <f>+SUMIF(Рўйхат!$C:$C,$B37,Рўйхат!X:X)</f>
        <v/>
      </c>
      <c r="X37" s="18">
        <f>+SUMIF(Рўйхат!$C:$C,$B37,Рўйхат!Y:Y)</f>
        <v/>
      </c>
      <c r="Y37" s="18">
        <f>+SUMIF(Рўйхат!$C:$C,$B37,Рўйхат!Z:Z)</f>
        <v/>
      </c>
      <c r="Z37" s="17">
        <f>+SUMIF(Рўйхат!$C:$C,$B37,Рўйхат!AA:AA)</f>
        <v/>
      </c>
      <c r="AA37" s="18">
        <f>+SUMIF(Рўйхат!$C:$C,$B37,Рўйхат!AB:AB)</f>
        <v/>
      </c>
      <c r="AB37" s="18">
        <f>+SUMIF(Рўйхат!$C:$C,$B37,Рўйхат!AC:AC)</f>
        <v/>
      </c>
      <c r="AC37" s="18">
        <f>+SUMIF(Рўйхат!$C:$C,$B37,Рўйхат!AD:AD)</f>
        <v/>
      </c>
      <c r="AD37" s="18">
        <f>+SUMIF(Рўйхат!$C:$C,$B37,Рўйхат!AE:AE)</f>
        <v/>
      </c>
      <c r="AE37" s="17">
        <f>+SUMIF(Рўйхат!$C:$C,$B37,Рўйхат!AF:AF)</f>
        <v/>
      </c>
      <c r="AF37" s="18">
        <f>+SUMIF(Рўйхат!$C:$C,$B37,Рўйхат!AG:AG)</f>
        <v/>
      </c>
      <c r="AG37" s="18">
        <f>+SUMIF(Рўйхат!$C:$C,$B37,Рўйхат!AH:AH)</f>
        <v/>
      </c>
      <c r="AH37" s="33">
        <f>+SUMIF(Рўйхат!$C:$C,$B37,Рўйхат!AI:AI)</f>
        <v/>
      </c>
      <c r="AI37" s="19">
        <f>+SUMIF(Рўйхат!$C:$C,$B37,Рўйхат!AJ:AJ)</f>
        <v/>
      </c>
    </row>
    <row r="38" ht="17" customHeight="1">
      <c r="A38" s="25">
        <f>+A37+1</f>
        <v/>
      </c>
      <c r="B38" s="26" t="inlineStr">
        <is>
          <t>Қашқадарё вилояти ҳокимлиги</t>
        </is>
      </c>
      <c r="C38" s="28">
        <f>IF(IFERROR(VLOOKUP(B38,Рўйхат!C:E,2,0),"")="[NULL]","",IFERROR(VLOOKUP(B38,Рўйхат!C:E,2,0),""))</f>
        <v/>
      </c>
      <c r="D38" s="28">
        <f>IFERROR(VLOOKUP(B38,Рўйхат!C:E,3,0),"")</f>
        <v/>
      </c>
      <c r="E38" s="17">
        <f>+SUMIF(Рўйхат!$C:$C,$B38,Рўйхат!G:G)</f>
        <v/>
      </c>
      <c r="F38" s="18">
        <f>+SUMIF(Рўйхат!$C:$C,$B38,Рўйхат!H:H)</f>
        <v/>
      </c>
      <c r="G38" s="18">
        <f>M38</f>
        <v/>
      </c>
      <c r="H38" s="18">
        <f>R38+W38+AB38+AG38</f>
        <v/>
      </c>
      <c r="I38" s="18">
        <f>+SUMIF(Рўйхат!$C:$C,$B38,Рўйхат!J:J)</f>
        <v/>
      </c>
      <c r="J38" s="18">
        <f>+SUMIF(Рўйхат!$C:$C,$B38,Рўйхат!K:K)</f>
        <v/>
      </c>
      <c r="K38" s="17">
        <f>+SUMIF(Рўйхат!$C:$C,$B38,Рўйхат!L:L)</f>
        <v/>
      </c>
      <c r="L38" s="18">
        <f>+SUMIF(Рўйхат!$C:$C,$B38,Рўйхат!M:M)</f>
        <v/>
      </c>
      <c r="M38" s="18">
        <f>+SUMIF(Рўйхат!$C:$C,$B38,Рўйхат!N:N)</f>
        <v/>
      </c>
      <c r="N38" s="18">
        <f>+SUMIF(Рўйхат!$C:$C,$B38,Рўйхат!O:O)</f>
        <v/>
      </c>
      <c r="O38" s="18">
        <f>+SUMIF(Рўйхат!$C:$C,$B38,Рўйхат!P:P)</f>
        <v/>
      </c>
      <c r="P38" s="17">
        <f>+SUMIF(Рўйхат!$C:$C,$B38,Рўйхат!Q:Q)</f>
        <v/>
      </c>
      <c r="Q38" s="18">
        <f>+SUMIF(Рўйхат!$C:$C,$B38,Рўйхат!R:R)</f>
        <v/>
      </c>
      <c r="R38" s="18">
        <f>+SUMIF(Рўйхат!$C:$C,$B38,Рўйхат!S:S)</f>
        <v/>
      </c>
      <c r="S38" s="18">
        <f>+SUMIF(Рўйхат!$C:$C,$B38,Рўйхат!T:T)</f>
        <v/>
      </c>
      <c r="T38" s="18">
        <f>+SUMIF(Рўйхат!$C:$C,$B38,Рўйхат!U:U)</f>
        <v/>
      </c>
      <c r="U38" s="17">
        <f>+SUMIF(Рўйхат!$C:$C,$B38,Рўйхат!V:V)</f>
        <v/>
      </c>
      <c r="V38" s="18">
        <f>+SUMIF(Рўйхат!$C:$C,$B38,Рўйхат!W:W)</f>
        <v/>
      </c>
      <c r="W38" s="18">
        <f>+SUMIF(Рўйхат!$C:$C,$B38,Рўйхат!X:X)</f>
        <v/>
      </c>
      <c r="X38" s="18">
        <f>+SUMIF(Рўйхат!$C:$C,$B38,Рўйхат!Y:Y)</f>
        <v/>
      </c>
      <c r="Y38" s="18">
        <f>+SUMIF(Рўйхат!$C:$C,$B38,Рўйхат!Z:Z)</f>
        <v/>
      </c>
      <c r="Z38" s="17">
        <f>+SUMIF(Рўйхат!$C:$C,$B38,Рўйхат!AA:AA)</f>
        <v/>
      </c>
      <c r="AA38" s="18">
        <f>+SUMIF(Рўйхат!$C:$C,$B38,Рўйхат!AB:AB)</f>
        <v/>
      </c>
      <c r="AB38" s="18">
        <f>+SUMIF(Рўйхат!$C:$C,$B38,Рўйхат!AC:AC)</f>
        <v/>
      </c>
      <c r="AC38" s="18">
        <f>+SUMIF(Рўйхат!$C:$C,$B38,Рўйхат!AD:AD)</f>
        <v/>
      </c>
      <c r="AD38" s="18">
        <f>+SUMIF(Рўйхат!$C:$C,$B38,Рўйхат!AE:AE)</f>
        <v/>
      </c>
      <c r="AE38" s="17">
        <f>+SUMIF(Рўйхат!$C:$C,$B38,Рўйхат!AF:AF)</f>
        <v/>
      </c>
      <c r="AF38" s="18">
        <f>+SUMIF(Рўйхат!$C:$C,$B38,Рўйхат!AG:AG)</f>
        <v/>
      </c>
      <c r="AG38" s="18">
        <f>+SUMIF(Рўйхат!$C:$C,$B38,Рўйхат!AH:AH)</f>
        <v/>
      </c>
      <c r="AH38" s="33">
        <f>+SUMIF(Рўйхат!$C:$C,$B38,Рўйхат!AI:AI)</f>
        <v/>
      </c>
      <c r="AI38" s="19">
        <f>+SUMIF(Рўйхат!$C:$C,$B38,Рўйхат!AJ:AJ)</f>
        <v/>
      </c>
    </row>
    <row r="39" ht="17" customHeight="1">
      <c r="A39" s="25">
        <f>+A38+1</f>
        <v/>
      </c>
      <c r="B39" s="26" t="inlineStr">
        <is>
          <t>Сирдарё вилояти ҳокимлиги</t>
        </is>
      </c>
      <c r="C39" s="28">
        <f>IF(IFERROR(VLOOKUP(B39,Рўйхат!C:E,2,0),"")="[NULL]","",IFERROR(VLOOKUP(B39,Рўйхат!C:E,2,0),""))</f>
        <v/>
      </c>
      <c r="D39" s="28">
        <f>IFERROR(VLOOKUP(B39,Рўйхат!C:E,3,0),"")</f>
        <v/>
      </c>
      <c r="E39" s="17">
        <f>+SUMIF(Рўйхат!$C:$C,$B39,Рўйхат!G:G)</f>
        <v/>
      </c>
      <c r="F39" s="18">
        <f>+SUMIF(Рўйхат!$C:$C,$B39,Рўйхат!H:H)</f>
        <v/>
      </c>
      <c r="G39" s="18">
        <f>M39</f>
        <v/>
      </c>
      <c r="H39" s="18">
        <f>R39+W39+AB39+AG39</f>
        <v/>
      </c>
      <c r="I39" s="18">
        <f>+SUMIF(Рўйхат!$C:$C,$B39,Рўйхат!J:J)</f>
        <v/>
      </c>
      <c r="J39" s="18">
        <f>+SUMIF(Рўйхат!$C:$C,$B39,Рўйхат!K:K)</f>
        <v/>
      </c>
      <c r="K39" s="17">
        <f>+SUMIF(Рўйхат!$C:$C,$B39,Рўйхат!L:L)</f>
        <v/>
      </c>
      <c r="L39" s="18">
        <f>+SUMIF(Рўйхат!$C:$C,$B39,Рўйхат!M:M)</f>
        <v/>
      </c>
      <c r="M39" s="18">
        <f>+SUMIF(Рўйхат!$C:$C,$B39,Рўйхат!N:N)</f>
        <v/>
      </c>
      <c r="N39" s="18">
        <f>+SUMIF(Рўйхат!$C:$C,$B39,Рўйхат!O:O)</f>
        <v/>
      </c>
      <c r="O39" s="18">
        <f>+SUMIF(Рўйхат!$C:$C,$B39,Рўйхат!P:P)</f>
        <v/>
      </c>
      <c r="P39" s="17">
        <f>+SUMIF(Рўйхат!$C:$C,$B39,Рўйхат!Q:Q)</f>
        <v/>
      </c>
      <c r="Q39" s="18">
        <f>+SUMIF(Рўйхат!$C:$C,$B39,Рўйхат!R:R)</f>
        <v/>
      </c>
      <c r="R39" s="18">
        <f>+SUMIF(Рўйхат!$C:$C,$B39,Рўйхат!S:S)</f>
        <v/>
      </c>
      <c r="S39" s="18">
        <f>+SUMIF(Рўйхат!$C:$C,$B39,Рўйхат!T:T)</f>
        <v/>
      </c>
      <c r="T39" s="18">
        <f>+SUMIF(Рўйхат!$C:$C,$B39,Рўйхат!U:U)</f>
        <v/>
      </c>
      <c r="U39" s="17">
        <f>+SUMIF(Рўйхат!$C:$C,$B39,Рўйхат!V:V)</f>
        <v/>
      </c>
      <c r="V39" s="18">
        <f>+SUMIF(Рўйхат!$C:$C,$B39,Рўйхат!W:W)</f>
        <v/>
      </c>
      <c r="W39" s="18">
        <f>+SUMIF(Рўйхат!$C:$C,$B39,Рўйхат!X:X)</f>
        <v/>
      </c>
      <c r="X39" s="18">
        <f>+SUMIF(Рўйхат!$C:$C,$B39,Рўйхат!Y:Y)</f>
        <v/>
      </c>
      <c r="Y39" s="18">
        <f>+SUMIF(Рўйхат!$C:$C,$B39,Рўйхат!Z:Z)</f>
        <v/>
      </c>
      <c r="Z39" s="17">
        <f>+SUMIF(Рўйхат!$C:$C,$B39,Рўйхат!AA:AA)</f>
        <v/>
      </c>
      <c r="AA39" s="18">
        <f>+SUMIF(Рўйхат!$C:$C,$B39,Рўйхат!AB:AB)</f>
        <v/>
      </c>
      <c r="AB39" s="18">
        <f>+SUMIF(Рўйхат!$C:$C,$B39,Рўйхат!AC:AC)</f>
        <v/>
      </c>
      <c r="AC39" s="18">
        <f>+SUMIF(Рўйхат!$C:$C,$B39,Рўйхат!AD:AD)</f>
        <v/>
      </c>
      <c r="AD39" s="18">
        <f>+SUMIF(Рўйхат!$C:$C,$B39,Рўйхат!AE:AE)</f>
        <v/>
      </c>
      <c r="AE39" s="17">
        <f>+SUMIF(Рўйхат!$C:$C,$B39,Рўйхат!AF:AF)</f>
        <v/>
      </c>
      <c r="AF39" s="18">
        <f>+SUMIF(Рўйхат!$C:$C,$B39,Рўйхат!AG:AG)</f>
        <v/>
      </c>
      <c r="AG39" s="18">
        <f>+SUMIF(Рўйхат!$C:$C,$B39,Рўйхат!AH:AH)</f>
        <v/>
      </c>
      <c r="AH39" s="33">
        <f>+SUMIF(Рўйхат!$C:$C,$B39,Рўйхат!AI:AI)</f>
        <v/>
      </c>
      <c r="AI39" s="19">
        <f>+SUMIF(Рўйхат!$C:$C,$B39,Рўйхат!AJ:AJ)</f>
        <v/>
      </c>
    </row>
    <row r="40" ht="17" customHeight="1">
      <c r="A40" s="25">
        <f>+A39+1</f>
        <v/>
      </c>
      <c r="B40" s="26" t="inlineStr">
        <is>
          <t>Иқтисодиёт ва молия вазирлиги</t>
        </is>
      </c>
      <c r="C40" s="28">
        <f>IF(IFERROR(VLOOKUP(B40,Рўйхат!C:E,2,0),"")="[NULL]","",IFERROR(VLOOKUP(B40,Рўйхат!C:E,2,0),""))</f>
        <v/>
      </c>
      <c r="D40" s="28">
        <f>IFERROR(VLOOKUP(B40,Рўйхат!C:E,3,0),"")</f>
        <v/>
      </c>
      <c r="E40" s="17">
        <f>+SUMIF(Рўйхат!$C:$C,$B40,Рўйхат!G:G)</f>
        <v/>
      </c>
      <c r="F40" s="18">
        <f>+SUMIF(Рўйхат!$C:$C,$B40,Рўйхат!H:H)</f>
        <v/>
      </c>
      <c r="G40" s="18">
        <f>M40</f>
        <v/>
      </c>
      <c r="H40" s="18">
        <f>R40+W40+AB40+AG40</f>
        <v/>
      </c>
      <c r="I40" s="18">
        <f>+SUMIF(Рўйхат!$C:$C,$B40,Рўйхат!J:J)</f>
        <v/>
      </c>
      <c r="J40" s="18">
        <f>+SUMIF(Рўйхат!$C:$C,$B40,Рўйхат!K:K)</f>
        <v/>
      </c>
      <c r="K40" s="17">
        <f>+SUMIF(Рўйхат!$C:$C,$B40,Рўйхат!L:L)</f>
        <v/>
      </c>
      <c r="L40" s="18">
        <f>+SUMIF(Рўйхат!$C:$C,$B40,Рўйхат!M:M)</f>
        <v/>
      </c>
      <c r="M40" s="18">
        <f>+SUMIF(Рўйхат!$C:$C,$B40,Рўйхат!N:N)</f>
        <v/>
      </c>
      <c r="N40" s="18">
        <f>+SUMIF(Рўйхат!$C:$C,$B40,Рўйхат!O:O)</f>
        <v/>
      </c>
      <c r="O40" s="18">
        <f>+SUMIF(Рўйхат!$C:$C,$B40,Рўйхат!P:P)</f>
        <v/>
      </c>
      <c r="P40" s="17">
        <f>+SUMIF(Рўйхат!$C:$C,$B40,Рўйхат!Q:Q)</f>
        <v/>
      </c>
      <c r="Q40" s="18">
        <f>+SUMIF(Рўйхат!$C:$C,$B40,Рўйхат!R:R)</f>
        <v/>
      </c>
      <c r="R40" s="18">
        <f>+SUMIF(Рўйхат!$C:$C,$B40,Рўйхат!S:S)</f>
        <v/>
      </c>
      <c r="S40" s="18">
        <f>+SUMIF(Рўйхат!$C:$C,$B40,Рўйхат!T:T)</f>
        <v/>
      </c>
      <c r="T40" s="18">
        <f>+SUMIF(Рўйхат!$C:$C,$B40,Рўйхат!U:U)</f>
        <v/>
      </c>
      <c r="U40" s="17">
        <f>+SUMIF(Рўйхат!$C:$C,$B40,Рўйхат!V:V)</f>
        <v/>
      </c>
      <c r="V40" s="18">
        <f>+SUMIF(Рўйхат!$C:$C,$B40,Рўйхат!W:W)</f>
        <v/>
      </c>
      <c r="W40" s="18">
        <f>+SUMIF(Рўйхат!$C:$C,$B40,Рўйхат!X:X)</f>
        <v/>
      </c>
      <c r="X40" s="18">
        <f>+SUMIF(Рўйхат!$C:$C,$B40,Рўйхат!Y:Y)</f>
        <v/>
      </c>
      <c r="Y40" s="18">
        <f>+SUMIF(Рўйхат!$C:$C,$B40,Рўйхат!Z:Z)</f>
        <v/>
      </c>
      <c r="Z40" s="17">
        <f>+SUMIF(Рўйхат!$C:$C,$B40,Рўйхат!AA:AA)</f>
        <v/>
      </c>
      <c r="AA40" s="18">
        <f>+SUMIF(Рўйхат!$C:$C,$B40,Рўйхат!AB:AB)</f>
        <v/>
      </c>
      <c r="AB40" s="18">
        <f>+SUMIF(Рўйхат!$C:$C,$B40,Рўйхат!AC:AC)</f>
        <v/>
      </c>
      <c r="AC40" s="18">
        <f>+SUMIF(Рўйхат!$C:$C,$B40,Рўйхат!AD:AD)</f>
        <v/>
      </c>
      <c r="AD40" s="18">
        <f>+SUMIF(Рўйхат!$C:$C,$B40,Рўйхат!AE:AE)</f>
        <v/>
      </c>
      <c r="AE40" s="17">
        <f>+SUMIF(Рўйхат!$C:$C,$B40,Рўйхат!AF:AF)</f>
        <v/>
      </c>
      <c r="AF40" s="18">
        <f>+SUMIF(Рўйхат!$C:$C,$B40,Рўйхат!AG:AG)</f>
        <v/>
      </c>
      <c r="AG40" s="18">
        <f>+SUMIF(Рўйхат!$C:$C,$B40,Рўйхат!AH:AH)</f>
        <v/>
      </c>
      <c r="AH40" s="33">
        <f>+SUMIF(Рўйхат!$C:$C,$B40,Рўйхат!AI:AI)</f>
        <v/>
      </c>
      <c r="AI40" s="19">
        <f>+SUMIF(Рўйхат!$C:$C,$B40,Рўйхат!AJ:AJ)</f>
        <v/>
      </c>
    </row>
    <row r="41" ht="34" customHeight="1">
      <c r="A41" s="25">
        <f>+A40+1</f>
        <v/>
      </c>
      <c r="B41" s="26" t="inlineStr">
        <is>
          <t>Маданий мерос агентлиги</t>
        </is>
      </c>
      <c r="C41" s="28">
        <f>IF(IFERROR(VLOOKUP(B41,Рўйхат!C:E,2,0),"")="[NULL]","",IFERROR(VLOOKUP(B41,Рўйхат!C:E,2,0),""))</f>
        <v/>
      </c>
      <c r="D41" s="28">
        <f>IFERROR(VLOOKUP(B41,Рўйхат!C:E,3,0),"")</f>
        <v/>
      </c>
      <c r="E41" s="17">
        <f>+SUMIF(Рўйхат!$C:$C,$B41,Рўйхат!G:G)</f>
        <v/>
      </c>
      <c r="F41" s="18">
        <f>+SUMIF(Рўйхат!$C:$C,$B41,Рўйхат!H:H)</f>
        <v/>
      </c>
      <c r="G41" s="18">
        <f>M41</f>
        <v/>
      </c>
      <c r="H41" s="18">
        <f>R41+W41+AB41+AG41</f>
        <v/>
      </c>
      <c r="I41" s="18">
        <f>+SUMIF(Рўйхат!$C:$C,$B41,Рўйхат!J:J)</f>
        <v/>
      </c>
      <c r="J41" s="18">
        <f>+SUMIF(Рўйхат!$C:$C,$B41,Рўйхат!K:K)</f>
        <v/>
      </c>
      <c r="K41" s="17">
        <f>+SUMIF(Рўйхат!$C:$C,$B41,Рўйхат!L:L)</f>
        <v/>
      </c>
      <c r="L41" s="18">
        <f>+SUMIF(Рўйхат!$C:$C,$B41,Рўйхат!M:M)</f>
        <v/>
      </c>
      <c r="M41" s="18">
        <f>+SUMIF(Рўйхат!$C:$C,$B41,Рўйхат!N:N)</f>
        <v/>
      </c>
      <c r="N41" s="18">
        <f>+SUMIF(Рўйхат!$C:$C,$B41,Рўйхат!O:O)</f>
        <v/>
      </c>
      <c r="O41" s="18">
        <f>+SUMIF(Рўйхат!$C:$C,$B41,Рўйхат!P:P)</f>
        <v/>
      </c>
      <c r="P41" s="17">
        <f>+SUMIF(Рўйхат!$C:$C,$B41,Рўйхат!Q:Q)</f>
        <v/>
      </c>
      <c r="Q41" s="18">
        <f>+SUMIF(Рўйхат!$C:$C,$B41,Рўйхат!R:R)</f>
        <v/>
      </c>
      <c r="R41" s="18">
        <f>+SUMIF(Рўйхат!$C:$C,$B41,Рўйхат!S:S)</f>
        <v/>
      </c>
      <c r="S41" s="18">
        <f>+SUMIF(Рўйхат!$C:$C,$B41,Рўйхат!T:T)</f>
        <v/>
      </c>
      <c r="T41" s="18">
        <f>+SUMIF(Рўйхат!$C:$C,$B41,Рўйхат!U:U)</f>
        <v/>
      </c>
      <c r="U41" s="17">
        <f>+SUMIF(Рўйхат!$C:$C,$B41,Рўйхат!V:V)</f>
        <v/>
      </c>
      <c r="V41" s="18">
        <f>+SUMIF(Рўйхат!$C:$C,$B41,Рўйхат!W:W)</f>
        <v/>
      </c>
      <c r="W41" s="18">
        <f>+SUMIF(Рўйхат!$C:$C,$B41,Рўйхат!X:X)</f>
        <v/>
      </c>
      <c r="X41" s="18">
        <f>+SUMIF(Рўйхат!$C:$C,$B41,Рўйхат!Y:Y)</f>
        <v/>
      </c>
      <c r="Y41" s="18">
        <f>+SUMIF(Рўйхат!$C:$C,$B41,Рўйхат!Z:Z)</f>
        <v/>
      </c>
      <c r="Z41" s="17">
        <f>+SUMIF(Рўйхат!$C:$C,$B41,Рўйхат!AA:AA)</f>
        <v/>
      </c>
      <c r="AA41" s="18">
        <f>+SUMIF(Рўйхат!$C:$C,$B41,Рўйхат!AB:AB)</f>
        <v/>
      </c>
      <c r="AB41" s="18">
        <f>+SUMIF(Рўйхат!$C:$C,$B41,Рўйхат!AC:AC)</f>
        <v/>
      </c>
      <c r="AC41" s="18">
        <f>+SUMIF(Рўйхат!$C:$C,$B41,Рўйхат!AD:AD)</f>
        <v/>
      </c>
      <c r="AD41" s="18">
        <f>+SUMIF(Рўйхат!$C:$C,$B41,Рўйхат!AE:AE)</f>
        <v/>
      </c>
      <c r="AE41" s="17">
        <f>+SUMIF(Рўйхат!$C:$C,$B41,Рўйхат!AF:AF)</f>
        <v/>
      </c>
      <c r="AF41" s="18">
        <f>+SUMIF(Рўйхат!$C:$C,$B41,Рўйхат!AG:AG)</f>
        <v/>
      </c>
      <c r="AG41" s="18">
        <f>+SUMIF(Рўйхат!$C:$C,$B41,Рўйхат!AH:AH)</f>
        <v/>
      </c>
      <c r="AH41" s="33">
        <f>+SUMIF(Рўйхат!$C:$C,$B41,Рўйхат!AI:AI)</f>
        <v/>
      </c>
      <c r="AI41" s="19">
        <f>+SUMIF(Рўйхат!$C:$C,$B41,Рўйхат!AJ:AJ)</f>
        <v/>
      </c>
    </row>
    <row r="42" ht="17" customHeight="1">
      <c r="A42" s="25">
        <f>+A41+1</f>
        <v/>
      </c>
      <c r="B42" s="26" t="inlineStr">
        <is>
          <t>Ахборот ва оммавий коммуникациялар агентлиги</t>
        </is>
      </c>
      <c r="C42" s="28">
        <f>IF(IFERROR(VLOOKUP(B42,Рўйхат!C:E,2,0),"")="[NULL]","",IFERROR(VLOOKUP(B42,Рўйхат!C:E,2,0),""))</f>
        <v/>
      </c>
      <c r="D42" s="28">
        <f>IFERROR(VLOOKUP(B42,Рўйхат!C:E,3,0),"")</f>
        <v/>
      </c>
      <c r="E42" s="17">
        <f>+SUMIF(Рўйхат!$C:$C,$B42,Рўйхат!G:G)</f>
        <v/>
      </c>
      <c r="F42" s="18">
        <f>+SUMIF(Рўйхат!$C:$C,$B42,Рўйхат!H:H)</f>
        <v/>
      </c>
      <c r="G42" s="18">
        <f>M42</f>
        <v/>
      </c>
      <c r="H42" s="18">
        <f>R42+W42+AB42+AG42</f>
        <v/>
      </c>
      <c r="I42" s="18">
        <f>+SUMIF(Рўйхат!$C:$C,$B42,Рўйхат!J:J)</f>
        <v/>
      </c>
      <c r="J42" s="18">
        <f>+SUMIF(Рўйхат!$C:$C,$B42,Рўйхат!K:K)</f>
        <v/>
      </c>
      <c r="K42" s="17">
        <f>+SUMIF(Рўйхат!$C:$C,$B42,Рўйхат!L:L)</f>
        <v/>
      </c>
      <c r="L42" s="18">
        <f>+SUMIF(Рўйхат!$C:$C,$B42,Рўйхат!M:M)</f>
        <v/>
      </c>
      <c r="M42" s="18">
        <f>+SUMIF(Рўйхат!$C:$C,$B42,Рўйхат!N:N)</f>
        <v/>
      </c>
      <c r="N42" s="18">
        <f>+SUMIF(Рўйхат!$C:$C,$B42,Рўйхат!O:O)</f>
        <v/>
      </c>
      <c r="O42" s="18">
        <f>+SUMIF(Рўйхат!$C:$C,$B42,Рўйхат!P:P)</f>
        <v/>
      </c>
      <c r="P42" s="17">
        <f>+SUMIF(Рўйхат!$C:$C,$B42,Рўйхат!Q:Q)</f>
        <v/>
      </c>
      <c r="Q42" s="18">
        <f>+SUMIF(Рўйхат!$C:$C,$B42,Рўйхат!R:R)</f>
        <v/>
      </c>
      <c r="R42" s="18">
        <f>+SUMIF(Рўйхат!$C:$C,$B42,Рўйхат!S:S)</f>
        <v/>
      </c>
      <c r="S42" s="18">
        <f>+SUMIF(Рўйхат!$C:$C,$B42,Рўйхат!T:T)</f>
        <v/>
      </c>
      <c r="T42" s="18">
        <f>+SUMIF(Рўйхат!$C:$C,$B42,Рўйхат!U:U)</f>
        <v/>
      </c>
      <c r="U42" s="17">
        <f>+SUMIF(Рўйхат!$C:$C,$B42,Рўйхат!V:V)</f>
        <v/>
      </c>
      <c r="V42" s="18">
        <f>+SUMIF(Рўйхат!$C:$C,$B42,Рўйхат!W:W)</f>
        <v/>
      </c>
      <c r="W42" s="18">
        <f>+SUMIF(Рўйхат!$C:$C,$B42,Рўйхат!X:X)</f>
        <v/>
      </c>
      <c r="X42" s="18">
        <f>+SUMIF(Рўйхат!$C:$C,$B42,Рўйхат!Y:Y)</f>
        <v/>
      </c>
      <c r="Y42" s="18">
        <f>+SUMIF(Рўйхат!$C:$C,$B42,Рўйхат!Z:Z)</f>
        <v/>
      </c>
      <c r="Z42" s="17">
        <f>+SUMIF(Рўйхат!$C:$C,$B42,Рўйхат!AA:AA)</f>
        <v/>
      </c>
      <c r="AA42" s="18">
        <f>+SUMIF(Рўйхат!$C:$C,$B42,Рўйхат!AB:AB)</f>
        <v/>
      </c>
      <c r="AB42" s="18">
        <f>+SUMIF(Рўйхат!$C:$C,$B42,Рўйхат!AC:AC)</f>
        <v/>
      </c>
      <c r="AC42" s="18">
        <f>+SUMIF(Рўйхат!$C:$C,$B42,Рўйхат!AD:AD)</f>
        <v/>
      </c>
      <c r="AD42" s="18">
        <f>+SUMIF(Рўйхат!$C:$C,$B42,Рўйхат!AE:AE)</f>
        <v/>
      </c>
      <c r="AE42" s="17">
        <f>+SUMIF(Рўйхат!$C:$C,$B42,Рўйхат!AF:AF)</f>
        <v/>
      </c>
      <c r="AF42" s="18">
        <f>+SUMIF(Рўйхат!$C:$C,$B42,Рўйхат!AG:AG)</f>
        <v/>
      </c>
      <c r="AG42" s="18">
        <f>+SUMIF(Рўйхат!$C:$C,$B42,Рўйхат!AH:AH)</f>
        <v/>
      </c>
      <c r="AH42" s="33">
        <f>+SUMIF(Рўйхат!$C:$C,$B42,Рўйхат!AI:AI)</f>
        <v/>
      </c>
      <c r="AI42" s="19">
        <f>+SUMIF(Рўйхат!$C:$C,$B42,Рўйхат!AJ:AJ)</f>
        <v/>
      </c>
    </row>
    <row r="43" ht="17" customHeight="1">
      <c r="A43" s="25">
        <f>+A42+1</f>
        <v/>
      </c>
      <c r="B43" s="26" t="inlineStr">
        <is>
          <t>Наманган вилояти ҳокимлиги</t>
        </is>
      </c>
      <c r="C43" s="28">
        <f>IF(IFERROR(VLOOKUP(B43,Рўйхат!C:E,2,0),"")="[NULL]","",IFERROR(VLOOKUP(B43,Рўйхат!C:E,2,0),""))</f>
        <v/>
      </c>
      <c r="D43" s="28">
        <f>IFERROR(VLOOKUP(B43,Рўйхат!C:E,3,0),"")</f>
        <v/>
      </c>
      <c r="E43" s="17">
        <f>+SUMIF(Рўйхат!$C:$C,$B43,Рўйхат!G:G)</f>
        <v/>
      </c>
      <c r="F43" s="18">
        <f>+SUMIF(Рўйхат!$C:$C,$B43,Рўйхат!H:H)</f>
        <v/>
      </c>
      <c r="G43" s="18">
        <f>M43</f>
        <v/>
      </c>
      <c r="H43" s="18">
        <f>R43+W43+AB43+AG43</f>
        <v/>
      </c>
      <c r="I43" s="18">
        <f>+SUMIF(Рўйхат!$C:$C,$B43,Рўйхат!J:J)</f>
        <v/>
      </c>
      <c r="J43" s="18">
        <f>+SUMIF(Рўйхат!$C:$C,$B43,Рўйхат!K:K)</f>
        <v/>
      </c>
      <c r="K43" s="17">
        <f>+SUMIF(Рўйхат!$C:$C,$B43,Рўйхат!L:L)</f>
        <v/>
      </c>
      <c r="L43" s="18">
        <f>+SUMIF(Рўйхат!$C:$C,$B43,Рўйхат!M:M)</f>
        <v/>
      </c>
      <c r="M43" s="18">
        <f>+SUMIF(Рўйхат!$C:$C,$B43,Рўйхат!N:N)</f>
        <v/>
      </c>
      <c r="N43" s="18">
        <f>+SUMIF(Рўйхат!$C:$C,$B43,Рўйхат!O:O)</f>
        <v/>
      </c>
      <c r="O43" s="18">
        <f>+SUMIF(Рўйхат!$C:$C,$B43,Рўйхат!P:P)</f>
        <v/>
      </c>
      <c r="P43" s="17">
        <f>+SUMIF(Рўйхат!$C:$C,$B43,Рўйхат!Q:Q)</f>
        <v/>
      </c>
      <c r="Q43" s="18">
        <f>+SUMIF(Рўйхат!$C:$C,$B43,Рўйхат!R:R)</f>
        <v/>
      </c>
      <c r="R43" s="18">
        <f>+SUMIF(Рўйхат!$C:$C,$B43,Рўйхат!S:S)</f>
        <v/>
      </c>
      <c r="S43" s="18">
        <f>+SUMIF(Рўйхат!$C:$C,$B43,Рўйхат!T:T)</f>
        <v/>
      </c>
      <c r="T43" s="18">
        <f>+SUMIF(Рўйхат!$C:$C,$B43,Рўйхат!U:U)</f>
        <v/>
      </c>
      <c r="U43" s="17">
        <f>+SUMIF(Рўйхат!$C:$C,$B43,Рўйхат!V:V)</f>
        <v/>
      </c>
      <c r="V43" s="18">
        <f>+SUMIF(Рўйхат!$C:$C,$B43,Рўйхат!W:W)</f>
        <v/>
      </c>
      <c r="W43" s="18">
        <f>+SUMIF(Рўйхат!$C:$C,$B43,Рўйхат!X:X)</f>
        <v/>
      </c>
      <c r="X43" s="18">
        <f>+SUMIF(Рўйхат!$C:$C,$B43,Рўйхат!Y:Y)</f>
        <v/>
      </c>
      <c r="Y43" s="18">
        <f>+SUMIF(Рўйхат!$C:$C,$B43,Рўйхат!Z:Z)</f>
        <v/>
      </c>
      <c r="Z43" s="17">
        <f>+SUMIF(Рўйхат!$C:$C,$B43,Рўйхат!AA:AA)</f>
        <v/>
      </c>
      <c r="AA43" s="18">
        <f>+SUMIF(Рўйхат!$C:$C,$B43,Рўйхат!AB:AB)</f>
        <v/>
      </c>
      <c r="AB43" s="18">
        <f>+SUMIF(Рўйхат!$C:$C,$B43,Рўйхат!AC:AC)</f>
        <v/>
      </c>
      <c r="AC43" s="18">
        <f>+SUMIF(Рўйхат!$C:$C,$B43,Рўйхат!AD:AD)</f>
        <v/>
      </c>
      <c r="AD43" s="18">
        <f>+SUMIF(Рўйхат!$C:$C,$B43,Рўйхат!AE:AE)</f>
        <v/>
      </c>
      <c r="AE43" s="17">
        <f>+SUMIF(Рўйхат!$C:$C,$B43,Рўйхат!AF:AF)</f>
        <v/>
      </c>
      <c r="AF43" s="18">
        <f>+SUMIF(Рўйхат!$C:$C,$B43,Рўйхат!AG:AG)</f>
        <v/>
      </c>
      <c r="AG43" s="18">
        <f>+SUMIF(Рўйхат!$C:$C,$B43,Рўйхат!AH:AH)</f>
        <v/>
      </c>
      <c r="AH43" s="33">
        <f>+SUMIF(Рўйхат!$C:$C,$B43,Рўйхат!AI:AI)</f>
        <v/>
      </c>
      <c r="AI43" s="19">
        <f>+SUMIF(Рўйхат!$C:$C,$B43,Рўйхат!AJ:AJ)</f>
        <v/>
      </c>
    </row>
    <row r="44" ht="17" customHeight="1">
      <c r="A44" s="25">
        <f>+A43+1</f>
        <v/>
      </c>
      <c r="B44" s="26" t="inlineStr">
        <is>
          <t>Қорақалпоғистон Республикаси Вазирлар Кенгаши</t>
        </is>
      </c>
      <c r="C44" s="28">
        <f>IF(IFERROR(VLOOKUP(B44,Рўйхат!C:E,2,0),"")="[NULL]","",IFERROR(VLOOKUP(B44,Рўйхат!C:E,2,0),""))</f>
        <v/>
      </c>
      <c r="D44" s="28">
        <f>IFERROR(VLOOKUP(B44,Рўйхат!C:E,3,0),"")</f>
        <v/>
      </c>
      <c r="E44" s="17">
        <f>+SUMIF(Рўйхат!$C:$C,$B44,Рўйхат!G:G)</f>
        <v/>
      </c>
      <c r="F44" s="18">
        <f>+SUMIF(Рўйхат!$C:$C,$B44,Рўйхат!H:H)</f>
        <v/>
      </c>
      <c r="G44" s="18">
        <f>M44</f>
        <v/>
      </c>
      <c r="H44" s="18">
        <f>R44+W44+AB44+AG44</f>
        <v/>
      </c>
      <c r="I44" s="18">
        <f>+SUMIF(Рўйхат!$C:$C,$B44,Рўйхат!J:J)</f>
        <v/>
      </c>
      <c r="J44" s="18">
        <f>+SUMIF(Рўйхат!$C:$C,$B44,Рўйхат!K:K)</f>
        <v/>
      </c>
      <c r="K44" s="17">
        <f>+SUMIF(Рўйхат!$C:$C,$B44,Рўйхат!L:L)</f>
        <v/>
      </c>
      <c r="L44" s="18">
        <f>+SUMIF(Рўйхат!$C:$C,$B44,Рўйхат!M:M)</f>
        <v/>
      </c>
      <c r="M44" s="18">
        <f>+SUMIF(Рўйхат!$C:$C,$B44,Рўйхат!N:N)</f>
        <v/>
      </c>
      <c r="N44" s="18">
        <f>+SUMIF(Рўйхат!$C:$C,$B44,Рўйхат!O:O)</f>
        <v/>
      </c>
      <c r="O44" s="18">
        <f>+SUMIF(Рўйхат!$C:$C,$B44,Рўйхат!P:P)</f>
        <v/>
      </c>
      <c r="P44" s="17">
        <f>+SUMIF(Рўйхат!$C:$C,$B44,Рўйхат!Q:Q)</f>
        <v/>
      </c>
      <c r="Q44" s="18">
        <f>+SUMIF(Рўйхат!$C:$C,$B44,Рўйхат!R:R)</f>
        <v/>
      </c>
      <c r="R44" s="18">
        <f>+SUMIF(Рўйхат!$C:$C,$B44,Рўйхат!S:S)</f>
        <v/>
      </c>
      <c r="S44" s="18">
        <f>+SUMIF(Рўйхат!$C:$C,$B44,Рўйхат!T:T)</f>
        <v/>
      </c>
      <c r="T44" s="18">
        <f>+SUMIF(Рўйхат!$C:$C,$B44,Рўйхат!U:U)</f>
        <v/>
      </c>
      <c r="U44" s="17">
        <f>+SUMIF(Рўйхат!$C:$C,$B44,Рўйхат!V:V)</f>
        <v/>
      </c>
      <c r="V44" s="18">
        <f>+SUMIF(Рўйхат!$C:$C,$B44,Рўйхат!W:W)</f>
        <v/>
      </c>
      <c r="W44" s="18">
        <f>+SUMIF(Рўйхат!$C:$C,$B44,Рўйхат!X:X)</f>
        <v/>
      </c>
      <c r="X44" s="18">
        <f>+SUMIF(Рўйхат!$C:$C,$B44,Рўйхат!Y:Y)</f>
        <v/>
      </c>
      <c r="Y44" s="18">
        <f>+SUMIF(Рўйхат!$C:$C,$B44,Рўйхат!Z:Z)</f>
        <v/>
      </c>
      <c r="Z44" s="17">
        <f>+SUMIF(Рўйхат!$C:$C,$B44,Рўйхат!AA:AA)</f>
        <v/>
      </c>
      <c r="AA44" s="18">
        <f>+SUMIF(Рўйхат!$C:$C,$B44,Рўйхат!AB:AB)</f>
        <v/>
      </c>
      <c r="AB44" s="18">
        <f>+SUMIF(Рўйхат!$C:$C,$B44,Рўйхат!AC:AC)</f>
        <v/>
      </c>
      <c r="AC44" s="18">
        <f>+SUMIF(Рўйхат!$C:$C,$B44,Рўйхат!AD:AD)</f>
        <v/>
      </c>
      <c r="AD44" s="18">
        <f>+SUMIF(Рўйхат!$C:$C,$B44,Рўйхат!AE:AE)</f>
        <v/>
      </c>
      <c r="AE44" s="17">
        <f>+SUMIF(Рўйхат!$C:$C,$B44,Рўйхат!AF:AF)</f>
        <v/>
      </c>
      <c r="AF44" s="18">
        <f>+SUMIF(Рўйхат!$C:$C,$B44,Рўйхат!AG:AG)</f>
        <v/>
      </c>
      <c r="AG44" s="18">
        <f>+SUMIF(Рўйхат!$C:$C,$B44,Рўйхат!AH:AH)</f>
        <v/>
      </c>
      <c r="AH44" s="33">
        <f>+SUMIF(Рўйхат!$C:$C,$B44,Рўйхат!AI:AI)</f>
        <v/>
      </c>
      <c r="AI44" s="19">
        <f>+SUMIF(Рўйхат!$C:$C,$B44,Рўйхат!AJ:AJ)</f>
        <v/>
      </c>
    </row>
    <row r="45" ht="17" customHeight="1">
      <c r="A45" s="25">
        <f>+A44+1</f>
        <v/>
      </c>
      <c r="B45" s="26" t="inlineStr">
        <is>
          <t>Инвестициялар, саноат ва савдо вазирлиги</t>
        </is>
      </c>
      <c r="C45" s="28">
        <f>IF(IFERROR(VLOOKUP(B45,Рўйхат!C:E,2,0),"")="[NULL]","",IFERROR(VLOOKUP(B45,Рўйхат!C:E,2,0),""))</f>
        <v/>
      </c>
      <c r="D45" s="28">
        <f>IFERROR(VLOOKUP(B45,Рўйхат!C:E,3,0),"")</f>
        <v/>
      </c>
      <c r="E45" s="17">
        <f>+SUMIF(Рўйхат!$C:$C,$B45,Рўйхат!G:G)</f>
        <v/>
      </c>
      <c r="F45" s="18">
        <f>+SUMIF(Рўйхат!$C:$C,$B45,Рўйхат!H:H)</f>
        <v/>
      </c>
      <c r="G45" s="18">
        <f>M45</f>
        <v/>
      </c>
      <c r="H45" s="18">
        <f>R45+W45+AB45+AG45</f>
        <v/>
      </c>
      <c r="I45" s="18">
        <f>+SUMIF(Рўйхат!$C:$C,$B45,Рўйхат!J:J)</f>
        <v/>
      </c>
      <c r="J45" s="18">
        <f>+SUMIF(Рўйхат!$C:$C,$B45,Рўйхат!K:K)</f>
        <v/>
      </c>
      <c r="K45" s="17">
        <f>+SUMIF(Рўйхат!$C:$C,$B45,Рўйхат!L:L)</f>
        <v/>
      </c>
      <c r="L45" s="18">
        <f>+SUMIF(Рўйхат!$C:$C,$B45,Рўйхат!M:M)</f>
        <v/>
      </c>
      <c r="M45" s="18">
        <f>+SUMIF(Рўйхат!$C:$C,$B45,Рўйхат!N:N)</f>
        <v/>
      </c>
      <c r="N45" s="18">
        <f>+SUMIF(Рўйхат!$C:$C,$B45,Рўйхат!O:O)</f>
        <v/>
      </c>
      <c r="O45" s="18">
        <f>+SUMIF(Рўйхат!$C:$C,$B45,Рўйхат!P:P)</f>
        <v/>
      </c>
      <c r="P45" s="17">
        <f>+SUMIF(Рўйхат!$C:$C,$B45,Рўйхат!Q:Q)</f>
        <v/>
      </c>
      <c r="Q45" s="18">
        <f>+SUMIF(Рўйхат!$C:$C,$B45,Рўйхат!R:R)</f>
        <v/>
      </c>
      <c r="R45" s="18">
        <f>+SUMIF(Рўйхат!$C:$C,$B45,Рўйхат!S:S)</f>
        <v/>
      </c>
      <c r="S45" s="18">
        <f>+SUMIF(Рўйхат!$C:$C,$B45,Рўйхат!T:T)</f>
        <v/>
      </c>
      <c r="T45" s="18">
        <f>+SUMIF(Рўйхат!$C:$C,$B45,Рўйхат!U:U)</f>
        <v/>
      </c>
      <c r="U45" s="17">
        <f>+SUMIF(Рўйхат!$C:$C,$B45,Рўйхат!V:V)</f>
        <v/>
      </c>
      <c r="V45" s="18">
        <f>+SUMIF(Рўйхат!$C:$C,$B45,Рўйхат!W:W)</f>
        <v/>
      </c>
      <c r="W45" s="18">
        <f>+SUMIF(Рўйхат!$C:$C,$B45,Рўйхат!X:X)</f>
        <v/>
      </c>
      <c r="X45" s="18">
        <f>+SUMIF(Рўйхат!$C:$C,$B45,Рўйхат!Y:Y)</f>
        <v/>
      </c>
      <c r="Y45" s="18">
        <f>+SUMIF(Рўйхат!$C:$C,$B45,Рўйхат!Z:Z)</f>
        <v/>
      </c>
      <c r="Z45" s="17">
        <f>+SUMIF(Рўйхат!$C:$C,$B45,Рўйхат!AA:AA)</f>
        <v/>
      </c>
      <c r="AA45" s="18">
        <f>+SUMIF(Рўйхат!$C:$C,$B45,Рўйхат!AB:AB)</f>
        <v/>
      </c>
      <c r="AB45" s="18">
        <f>+SUMIF(Рўйхат!$C:$C,$B45,Рўйхат!AC:AC)</f>
        <v/>
      </c>
      <c r="AC45" s="18">
        <f>+SUMIF(Рўйхат!$C:$C,$B45,Рўйхат!AD:AD)</f>
        <v/>
      </c>
      <c r="AD45" s="18">
        <f>+SUMIF(Рўйхат!$C:$C,$B45,Рўйхат!AE:AE)</f>
        <v/>
      </c>
      <c r="AE45" s="17">
        <f>+SUMIF(Рўйхат!$C:$C,$B45,Рўйхат!AF:AF)</f>
        <v/>
      </c>
      <c r="AF45" s="18">
        <f>+SUMIF(Рўйхат!$C:$C,$B45,Рўйхат!AG:AG)</f>
        <v/>
      </c>
      <c r="AG45" s="18">
        <f>+SUMIF(Рўйхат!$C:$C,$B45,Рўйхат!AH:AH)</f>
        <v/>
      </c>
      <c r="AH45" s="33">
        <f>+SUMIF(Рўйхат!$C:$C,$B45,Рўйхат!AI:AI)</f>
        <v/>
      </c>
      <c r="AI45" s="19">
        <f>+SUMIF(Рўйхат!$C:$C,$B45,Рўйхат!AJ:AJ)</f>
        <v/>
      </c>
    </row>
    <row r="46" ht="34" customHeight="1">
      <c r="A46" s="25">
        <f>+A45+1</f>
        <v/>
      </c>
      <c r="B46" s="26" t="inlineStr">
        <is>
          <t>Мажбурий ижро бюроси</t>
        </is>
      </c>
      <c r="C46" s="28">
        <f>IF(IFERROR(VLOOKUP(B46,Рўйхат!C:E,2,0),"")="[NULL]","",IFERROR(VLOOKUP(B46,Рўйхат!C:E,2,0),""))</f>
        <v/>
      </c>
      <c r="D46" s="28">
        <f>IFERROR(VLOOKUP(B46,Рўйхат!C:E,3,0),"")</f>
        <v/>
      </c>
      <c r="E46" s="17">
        <f>+SUMIF(Рўйхат!$C:$C,$B46,Рўйхат!G:G)</f>
        <v/>
      </c>
      <c r="F46" s="18">
        <f>+SUMIF(Рўйхат!$C:$C,$B46,Рўйхат!H:H)</f>
        <v/>
      </c>
      <c r="G46" s="18">
        <f>M46</f>
        <v/>
      </c>
      <c r="H46" s="18">
        <f>R46+W46+AB46+AG46</f>
        <v/>
      </c>
      <c r="I46" s="18">
        <f>+SUMIF(Рўйхат!$C:$C,$B46,Рўйхат!J:J)</f>
        <v/>
      </c>
      <c r="J46" s="18">
        <f>+SUMIF(Рўйхат!$C:$C,$B46,Рўйхат!K:K)</f>
        <v/>
      </c>
      <c r="K46" s="17">
        <f>+SUMIF(Рўйхат!$C:$C,$B46,Рўйхат!L:L)</f>
        <v/>
      </c>
      <c r="L46" s="18">
        <f>+SUMIF(Рўйхат!$C:$C,$B46,Рўйхат!M:M)</f>
        <v/>
      </c>
      <c r="M46" s="18">
        <f>+SUMIF(Рўйхат!$C:$C,$B46,Рўйхат!N:N)</f>
        <v/>
      </c>
      <c r="N46" s="18">
        <f>+SUMIF(Рўйхат!$C:$C,$B46,Рўйхат!O:O)</f>
        <v/>
      </c>
      <c r="O46" s="18">
        <f>+SUMIF(Рўйхат!$C:$C,$B46,Рўйхат!P:P)</f>
        <v/>
      </c>
      <c r="P46" s="17">
        <f>+SUMIF(Рўйхат!$C:$C,$B46,Рўйхат!Q:Q)</f>
        <v/>
      </c>
      <c r="Q46" s="18">
        <f>+SUMIF(Рўйхат!$C:$C,$B46,Рўйхат!R:R)</f>
        <v/>
      </c>
      <c r="R46" s="18">
        <f>+SUMIF(Рўйхат!$C:$C,$B46,Рўйхат!S:S)</f>
        <v/>
      </c>
      <c r="S46" s="18">
        <f>+SUMIF(Рўйхат!$C:$C,$B46,Рўйхат!T:T)</f>
        <v/>
      </c>
      <c r="T46" s="18">
        <f>+SUMIF(Рўйхат!$C:$C,$B46,Рўйхат!U:U)</f>
        <v/>
      </c>
      <c r="U46" s="17">
        <f>+SUMIF(Рўйхат!$C:$C,$B46,Рўйхат!V:V)</f>
        <v/>
      </c>
      <c r="V46" s="18">
        <f>+SUMIF(Рўйхат!$C:$C,$B46,Рўйхат!W:W)</f>
        <v/>
      </c>
      <c r="W46" s="18">
        <f>+SUMIF(Рўйхат!$C:$C,$B46,Рўйхат!X:X)</f>
        <v/>
      </c>
      <c r="X46" s="18">
        <f>+SUMIF(Рўйхат!$C:$C,$B46,Рўйхат!Y:Y)</f>
        <v/>
      </c>
      <c r="Y46" s="18">
        <f>+SUMIF(Рўйхат!$C:$C,$B46,Рўйхат!Z:Z)</f>
        <v/>
      </c>
      <c r="Z46" s="17">
        <f>+SUMIF(Рўйхат!$C:$C,$B46,Рўйхат!AA:AA)</f>
        <v/>
      </c>
      <c r="AA46" s="18">
        <f>+SUMIF(Рўйхат!$C:$C,$B46,Рўйхат!AB:AB)</f>
        <v/>
      </c>
      <c r="AB46" s="18">
        <f>+SUMIF(Рўйхат!$C:$C,$B46,Рўйхат!AC:AC)</f>
        <v/>
      </c>
      <c r="AC46" s="18">
        <f>+SUMIF(Рўйхат!$C:$C,$B46,Рўйхат!AD:AD)</f>
        <v/>
      </c>
      <c r="AD46" s="18">
        <f>+SUMIF(Рўйхат!$C:$C,$B46,Рўйхат!AE:AE)</f>
        <v/>
      </c>
      <c r="AE46" s="17">
        <f>+SUMIF(Рўйхат!$C:$C,$B46,Рўйхат!AF:AF)</f>
        <v/>
      </c>
      <c r="AF46" s="18">
        <f>+SUMIF(Рўйхат!$C:$C,$B46,Рўйхат!AG:AG)</f>
        <v/>
      </c>
      <c r="AG46" s="18">
        <f>+SUMIF(Рўйхат!$C:$C,$B46,Рўйхат!AH:AH)</f>
        <v/>
      </c>
      <c r="AH46" s="33">
        <f>+SUMIF(Рўйхат!$C:$C,$B46,Рўйхат!AI:AI)</f>
        <v/>
      </c>
      <c r="AI46" s="19">
        <f>+SUMIF(Рўйхат!$C:$C,$B46,Рўйхат!AJ:AJ)</f>
        <v/>
      </c>
    </row>
    <row r="47" ht="17" customHeight="1">
      <c r="A47" s="25">
        <f>+A46+1</f>
        <v/>
      </c>
      <c r="B47" s="26" t="inlineStr">
        <is>
          <t>Статистика агентлиги</t>
        </is>
      </c>
      <c r="C47" s="28">
        <f>IF(IFERROR(VLOOKUP(B47,Рўйхат!C:E,2,0),"")="[NULL]","",IFERROR(VLOOKUP(B47,Рўйхат!C:E,2,0),""))</f>
        <v/>
      </c>
      <c r="D47" s="28">
        <f>IFERROR(VLOOKUP(B47,Рўйхат!C:E,3,0),"")</f>
        <v/>
      </c>
      <c r="E47" s="17">
        <f>+SUMIF(Рўйхат!$C:$C,$B47,Рўйхат!G:G)</f>
        <v/>
      </c>
      <c r="F47" s="18">
        <f>+SUMIF(Рўйхат!$C:$C,$B47,Рўйхат!H:H)</f>
        <v/>
      </c>
      <c r="G47" s="18">
        <f>M47</f>
        <v/>
      </c>
      <c r="H47" s="18">
        <f>R47+W47+AB47+AG47</f>
        <v/>
      </c>
      <c r="I47" s="18">
        <f>+SUMIF(Рўйхат!$C:$C,$B47,Рўйхат!J:J)</f>
        <v/>
      </c>
      <c r="J47" s="18">
        <f>+SUMIF(Рўйхат!$C:$C,$B47,Рўйхат!K:K)</f>
        <v/>
      </c>
      <c r="K47" s="17">
        <f>+SUMIF(Рўйхат!$C:$C,$B47,Рўйхат!L:L)</f>
        <v/>
      </c>
      <c r="L47" s="18">
        <f>+SUMIF(Рўйхат!$C:$C,$B47,Рўйхат!M:M)</f>
        <v/>
      </c>
      <c r="M47" s="18">
        <f>+SUMIF(Рўйхат!$C:$C,$B47,Рўйхат!N:N)</f>
        <v/>
      </c>
      <c r="N47" s="18">
        <f>+SUMIF(Рўйхат!$C:$C,$B47,Рўйхат!O:O)</f>
        <v/>
      </c>
      <c r="O47" s="18">
        <f>+SUMIF(Рўйхат!$C:$C,$B47,Рўйхат!P:P)</f>
        <v/>
      </c>
      <c r="P47" s="17">
        <f>+SUMIF(Рўйхат!$C:$C,$B47,Рўйхат!Q:Q)</f>
        <v/>
      </c>
      <c r="Q47" s="18">
        <f>+SUMIF(Рўйхат!$C:$C,$B47,Рўйхат!R:R)</f>
        <v/>
      </c>
      <c r="R47" s="18">
        <f>+SUMIF(Рўйхат!$C:$C,$B47,Рўйхат!S:S)</f>
        <v/>
      </c>
      <c r="S47" s="18">
        <f>+SUMIF(Рўйхат!$C:$C,$B47,Рўйхат!T:T)</f>
        <v/>
      </c>
      <c r="T47" s="18">
        <f>+SUMIF(Рўйхат!$C:$C,$B47,Рўйхат!U:U)</f>
        <v/>
      </c>
      <c r="U47" s="17">
        <f>+SUMIF(Рўйхат!$C:$C,$B47,Рўйхат!V:V)</f>
        <v/>
      </c>
      <c r="V47" s="18">
        <f>+SUMIF(Рўйхат!$C:$C,$B47,Рўйхат!W:W)</f>
        <v/>
      </c>
      <c r="W47" s="18">
        <f>+SUMIF(Рўйхат!$C:$C,$B47,Рўйхат!X:X)</f>
        <v/>
      </c>
      <c r="X47" s="18">
        <f>+SUMIF(Рўйхат!$C:$C,$B47,Рўйхат!Y:Y)</f>
        <v/>
      </c>
      <c r="Y47" s="18">
        <f>+SUMIF(Рўйхат!$C:$C,$B47,Рўйхат!Z:Z)</f>
        <v/>
      </c>
      <c r="Z47" s="17">
        <f>+SUMIF(Рўйхат!$C:$C,$B47,Рўйхат!AA:AA)</f>
        <v/>
      </c>
      <c r="AA47" s="18">
        <f>+SUMIF(Рўйхат!$C:$C,$B47,Рўйхат!AB:AB)</f>
        <v/>
      </c>
      <c r="AB47" s="18">
        <f>+SUMIF(Рўйхат!$C:$C,$B47,Рўйхат!AC:AC)</f>
        <v/>
      </c>
      <c r="AC47" s="18">
        <f>+SUMIF(Рўйхат!$C:$C,$B47,Рўйхат!AD:AD)</f>
        <v/>
      </c>
      <c r="AD47" s="18">
        <f>+SUMIF(Рўйхат!$C:$C,$B47,Рўйхат!AE:AE)</f>
        <v/>
      </c>
      <c r="AE47" s="17">
        <f>+SUMIF(Рўйхат!$C:$C,$B47,Рўйхат!AF:AF)</f>
        <v/>
      </c>
      <c r="AF47" s="18">
        <f>+SUMIF(Рўйхат!$C:$C,$B47,Рўйхат!AG:AG)</f>
        <v/>
      </c>
      <c r="AG47" s="18">
        <f>+SUMIF(Рўйхат!$C:$C,$B47,Рўйхат!AH:AH)</f>
        <v/>
      </c>
      <c r="AH47" s="33">
        <f>+SUMIF(Рўйхат!$C:$C,$B47,Рўйхат!AI:AI)</f>
        <v/>
      </c>
      <c r="AI47" s="19">
        <f>+SUMIF(Рўйхат!$C:$C,$B47,Рўйхат!AJ:AJ)</f>
        <v/>
      </c>
    </row>
    <row r="48" ht="17" customHeight="1">
      <c r="A48" s="25">
        <f>+A47+1</f>
        <v/>
      </c>
      <c r="B48" s="26" t="inlineStr">
        <is>
          <t>Фарғона вилояти ҳокимлиги</t>
        </is>
      </c>
      <c r="C48" s="28">
        <f>IF(IFERROR(VLOOKUP(B48,Рўйхат!C:E,2,0),"")="[NULL]","",IFERROR(VLOOKUP(B48,Рўйхат!C:E,2,0),""))</f>
        <v/>
      </c>
      <c r="D48" s="28">
        <f>IFERROR(VLOOKUP(B48,Рўйхат!C:E,3,0),"")</f>
        <v/>
      </c>
      <c r="E48" s="17">
        <f>+SUMIF(Рўйхат!$C:$C,$B48,Рўйхат!G:G)</f>
        <v/>
      </c>
      <c r="F48" s="18">
        <f>+SUMIF(Рўйхат!$C:$C,$B48,Рўйхат!H:H)</f>
        <v/>
      </c>
      <c r="G48" s="18">
        <f>M48</f>
        <v/>
      </c>
      <c r="H48" s="18">
        <f>R48+W48+AB48+AG48</f>
        <v/>
      </c>
      <c r="I48" s="18">
        <f>+SUMIF(Рўйхат!$C:$C,$B48,Рўйхат!J:J)</f>
        <v/>
      </c>
      <c r="J48" s="18">
        <f>+SUMIF(Рўйхат!$C:$C,$B48,Рўйхат!K:K)</f>
        <v/>
      </c>
      <c r="K48" s="17">
        <f>+SUMIF(Рўйхат!$C:$C,$B48,Рўйхат!L:L)</f>
        <v/>
      </c>
      <c r="L48" s="18">
        <f>+SUMIF(Рўйхат!$C:$C,$B48,Рўйхат!M:M)</f>
        <v/>
      </c>
      <c r="M48" s="18">
        <f>+SUMIF(Рўйхат!$C:$C,$B48,Рўйхат!N:N)</f>
        <v/>
      </c>
      <c r="N48" s="18">
        <f>+SUMIF(Рўйхат!$C:$C,$B48,Рўйхат!O:O)</f>
        <v/>
      </c>
      <c r="O48" s="18">
        <f>+SUMIF(Рўйхат!$C:$C,$B48,Рўйхат!P:P)</f>
        <v/>
      </c>
      <c r="P48" s="17">
        <f>+SUMIF(Рўйхат!$C:$C,$B48,Рўйхат!Q:Q)</f>
        <v/>
      </c>
      <c r="Q48" s="18">
        <f>+SUMIF(Рўйхат!$C:$C,$B48,Рўйхат!R:R)</f>
        <v/>
      </c>
      <c r="R48" s="18">
        <f>+SUMIF(Рўйхат!$C:$C,$B48,Рўйхат!S:S)</f>
        <v/>
      </c>
      <c r="S48" s="18">
        <f>+SUMIF(Рўйхат!$C:$C,$B48,Рўйхат!T:T)</f>
        <v/>
      </c>
      <c r="T48" s="18">
        <f>+SUMIF(Рўйхат!$C:$C,$B48,Рўйхат!U:U)</f>
        <v/>
      </c>
      <c r="U48" s="17">
        <f>+SUMIF(Рўйхат!$C:$C,$B48,Рўйхат!V:V)</f>
        <v/>
      </c>
      <c r="V48" s="18">
        <f>+SUMIF(Рўйхат!$C:$C,$B48,Рўйхат!W:W)</f>
        <v/>
      </c>
      <c r="W48" s="18">
        <f>+SUMIF(Рўйхат!$C:$C,$B48,Рўйхат!X:X)</f>
        <v/>
      </c>
      <c r="X48" s="18">
        <f>+SUMIF(Рўйхат!$C:$C,$B48,Рўйхат!Y:Y)</f>
        <v/>
      </c>
      <c r="Y48" s="18">
        <f>+SUMIF(Рўйхат!$C:$C,$B48,Рўйхат!Z:Z)</f>
        <v/>
      </c>
      <c r="Z48" s="17">
        <f>+SUMIF(Рўйхат!$C:$C,$B48,Рўйхат!AA:AA)</f>
        <v/>
      </c>
      <c r="AA48" s="18">
        <f>+SUMIF(Рўйхат!$C:$C,$B48,Рўйхат!AB:AB)</f>
        <v/>
      </c>
      <c r="AB48" s="18">
        <f>+SUMIF(Рўйхат!$C:$C,$B48,Рўйхат!AC:AC)</f>
        <v/>
      </c>
      <c r="AC48" s="18">
        <f>+SUMIF(Рўйхат!$C:$C,$B48,Рўйхат!AD:AD)</f>
        <v/>
      </c>
      <c r="AD48" s="18">
        <f>+SUMIF(Рўйхат!$C:$C,$B48,Рўйхат!AE:AE)</f>
        <v/>
      </c>
      <c r="AE48" s="17">
        <f>+SUMIF(Рўйхат!$C:$C,$B48,Рўйхат!AF:AF)</f>
        <v/>
      </c>
      <c r="AF48" s="18">
        <f>+SUMIF(Рўйхат!$C:$C,$B48,Рўйхат!AG:AG)</f>
        <v/>
      </c>
      <c r="AG48" s="18">
        <f>+SUMIF(Рўйхат!$C:$C,$B48,Рўйхат!AH:AH)</f>
        <v/>
      </c>
      <c r="AH48" s="33">
        <f>+SUMIF(Рўйхат!$C:$C,$B48,Рўйхат!AI:AI)</f>
        <v/>
      </c>
      <c r="AI48" s="19">
        <f>+SUMIF(Рўйхат!$C:$C,$B48,Рўйхат!AJ:AJ)</f>
        <v/>
      </c>
    </row>
    <row r="49" ht="34" customHeight="1">
      <c r="A49" s="25">
        <f>+A48+1</f>
        <v/>
      </c>
      <c r="B49" s="26" t="inlineStr">
        <is>
          <t>“Ўзметкомбинат” АЖ</t>
        </is>
      </c>
      <c r="C49" s="28">
        <f>IF(IFERROR(VLOOKUP(B49,Рўйхат!C:E,2,0),"")="[NULL]","",IFERROR(VLOOKUP(B49,Рўйхат!C:E,2,0),""))</f>
        <v/>
      </c>
      <c r="D49" s="28">
        <f>IFERROR(VLOOKUP(B49,Рўйхат!C:E,3,0),"")</f>
        <v/>
      </c>
      <c r="E49" s="17">
        <f>+SUMIF(Рўйхат!$C:$C,$B49,Рўйхат!G:G)</f>
        <v/>
      </c>
      <c r="F49" s="18">
        <f>+SUMIF(Рўйхат!$C:$C,$B49,Рўйхат!H:H)</f>
        <v/>
      </c>
      <c r="G49" s="18">
        <f>M49</f>
        <v/>
      </c>
      <c r="H49" s="18">
        <f>R49+W49+AB49+AG49</f>
        <v/>
      </c>
      <c r="I49" s="18">
        <f>+SUMIF(Рўйхат!$C:$C,$B49,Рўйхат!J:J)</f>
        <v/>
      </c>
      <c r="J49" s="18">
        <f>+SUMIF(Рўйхат!$C:$C,$B49,Рўйхат!K:K)</f>
        <v/>
      </c>
      <c r="K49" s="17">
        <f>+SUMIF(Рўйхат!$C:$C,$B49,Рўйхат!L:L)</f>
        <v/>
      </c>
      <c r="L49" s="18">
        <f>+SUMIF(Рўйхат!$C:$C,$B49,Рўйхат!M:M)</f>
        <v/>
      </c>
      <c r="M49" s="18">
        <f>+SUMIF(Рўйхат!$C:$C,$B49,Рўйхат!N:N)</f>
        <v/>
      </c>
      <c r="N49" s="18">
        <f>+SUMIF(Рўйхат!$C:$C,$B49,Рўйхат!O:O)</f>
        <v/>
      </c>
      <c r="O49" s="18">
        <f>+SUMIF(Рўйхат!$C:$C,$B49,Рўйхат!P:P)</f>
        <v/>
      </c>
      <c r="P49" s="17">
        <f>+SUMIF(Рўйхат!$C:$C,$B49,Рўйхат!Q:Q)</f>
        <v/>
      </c>
      <c r="Q49" s="18">
        <f>+SUMIF(Рўйхат!$C:$C,$B49,Рўйхат!R:R)</f>
        <v/>
      </c>
      <c r="R49" s="18">
        <f>+SUMIF(Рўйхат!$C:$C,$B49,Рўйхат!S:S)</f>
        <v/>
      </c>
      <c r="S49" s="18">
        <f>+SUMIF(Рўйхат!$C:$C,$B49,Рўйхат!T:T)</f>
        <v/>
      </c>
      <c r="T49" s="18">
        <f>+SUMIF(Рўйхат!$C:$C,$B49,Рўйхат!U:U)</f>
        <v/>
      </c>
      <c r="U49" s="17">
        <f>+SUMIF(Рўйхат!$C:$C,$B49,Рўйхат!V:V)</f>
        <v/>
      </c>
      <c r="V49" s="18">
        <f>+SUMIF(Рўйхат!$C:$C,$B49,Рўйхат!W:W)</f>
        <v/>
      </c>
      <c r="W49" s="18">
        <f>+SUMIF(Рўйхат!$C:$C,$B49,Рўйхат!X:X)</f>
        <v/>
      </c>
      <c r="X49" s="18">
        <f>+SUMIF(Рўйхат!$C:$C,$B49,Рўйхат!Y:Y)</f>
        <v/>
      </c>
      <c r="Y49" s="18">
        <f>+SUMIF(Рўйхат!$C:$C,$B49,Рўйхат!Z:Z)</f>
        <v/>
      </c>
      <c r="Z49" s="17">
        <f>+SUMIF(Рўйхат!$C:$C,$B49,Рўйхат!AA:AA)</f>
        <v/>
      </c>
      <c r="AA49" s="18">
        <f>+SUMIF(Рўйхат!$C:$C,$B49,Рўйхат!AB:AB)</f>
        <v/>
      </c>
      <c r="AB49" s="18">
        <f>+SUMIF(Рўйхат!$C:$C,$B49,Рўйхат!AC:AC)</f>
        <v/>
      </c>
      <c r="AC49" s="18">
        <f>+SUMIF(Рўйхат!$C:$C,$B49,Рўйхат!AD:AD)</f>
        <v/>
      </c>
      <c r="AD49" s="18">
        <f>+SUMIF(Рўйхат!$C:$C,$B49,Рўйхат!AE:AE)</f>
        <v/>
      </c>
      <c r="AE49" s="17">
        <f>+SUMIF(Рўйхат!$C:$C,$B49,Рўйхат!AF:AF)</f>
        <v/>
      </c>
      <c r="AF49" s="18">
        <f>+SUMIF(Рўйхат!$C:$C,$B49,Рўйхат!AG:AG)</f>
        <v/>
      </c>
      <c r="AG49" s="18">
        <f>+SUMIF(Рўйхат!$C:$C,$B49,Рўйхат!AH:AH)</f>
        <v/>
      </c>
      <c r="AH49" s="33">
        <f>+SUMIF(Рўйхат!$C:$C,$B49,Рўйхат!AI:AI)</f>
        <v/>
      </c>
      <c r="AI49" s="19">
        <f>+SUMIF(Рўйхат!$C:$C,$B49,Рўйхат!AJ:AJ)</f>
        <v/>
      </c>
    </row>
    <row r="50" ht="17" customHeight="1">
      <c r="A50" s="25">
        <f>+A49+1</f>
        <v/>
      </c>
      <c r="B50" s="26" t="inlineStr">
        <is>
          <t>Давлат активларини бошқариш агентлиги</t>
        </is>
      </c>
      <c r="C50" s="28">
        <f>IF(IFERROR(VLOOKUP(B50,Рўйхат!C:E,2,0),"")="[NULL]","",IFERROR(VLOOKUP(B50,Рўйхат!C:E,2,0),""))</f>
        <v/>
      </c>
      <c r="D50" s="28">
        <f>IFERROR(VLOOKUP(B50,Рўйхат!C:E,3,0),"")</f>
        <v/>
      </c>
      <c r="E50" s="17">
        <f>+SUMIF(Рўйхат!$C:$C,$B50,Рўйхат!G:G)</f>
        <v/>
      </c>
      <c r="F50" s="18">
        <f>+SUMIF(Рўйхат!$C:$C,$B50,Рўйхат!H:H)</f>
        <v/>
      </c>
      <c r="G50" s="18">
        <f>M50</f>
        <v/>
      </c>
      <c r="H50" s="18">
        <f>R50+W50+AB50+AG50</f>
        <v/>
      </c>
      <c r="I50" s="18">
        <f>+SUMIF(Рўйхат!$C:$C,$B50,Рўйхат!J:J)</f>
        <v/>
      </c>
      <c r="J50" s="18">
        <f>+SUMIF(Рўйхат!$C:$C,$B50,Рўйхат!K:K)</f>
        <v/>
      </c>
      <c r="K50" s="17">
        <f>+SUMIF(Рўйхат!$C:$C,$B50,Рўйхат!L:L)</f>
        <v/>
      </c>
      <c r="L50" s="18">
        <f>+SUMIF(Рўйхат!$C:$C,$B50,Рўйхат!M:M)</f>
        <v/>
      </c>
      <c r="M50" s="18">
        <f>+SUMIF(Рўйхат!$C:$C,$B50,Рўйхат!N:N)</f>
        <v/>
      </c>
      <c r="N50" s="18">
        <f>+SUMIF(Рўйхат!$C:$C,$B50,Рўйхат!O:O)</f>
        <v/>
      </c>
      <c r="O50" s="18">
        <f>+SUMIF(Рўйхат!$C:$C,$B50,Рўйхат!P:P)</f>
        <v/>
      </c>
      <c r="P50" s="17">
        <f>+SUMIF(Рўйхат!$C:$C,$B50,Рўйхат!Q:Q)</f>
        <v/>
      </c>
      <c r="Q50" s="18">
        <f>+SUMIF(Рўйхат!$C:$C,$B50,Рўйхат!R:R)</f>
        <v/>
      </c>
      <c r="R50" s="18">
        <f>+SUMIF(Рўйхат!$C:$C,$B50,Рўйхат!S:S)</f>
        <v/>
      </c>
      <c r="S50" s="18">
        <f>+SUMIF(Рўйхат!$C:$C,$B50,Рўйхат!T:T)</f>
        <v/>
      </c>
      <c r="T50" s="18">
        <f>+SUMIF(Рўйхат!$C:$C,$B50,Рўйхат!U:U)</f>
        <v/>
      </c>
      <c r="U50" s="17">
        <f>+SUMIF(Рўйхат!$C:$C,$B50,Рўйхат!V:V)</f>
        <v/>
      </c>
      <c r="V50" s="18">
        <f>+SUMIF(Рўйхат!$C:$C,$B50,Рўйхат!W:W)</f>
        <v/>
      </c>
      <c r="W50" s="18">
        <f>+SUMIF(Рўйхат!$C:$C,$B50,Рўйхат!X:X)</f>
        <v/>
      </c>
      <c r="X50" s="18">
        <f>+SUMIF(Рўйхат!$C:$C,$B50,Рўйхат!Y:Y)</f>
        <v/>
      </c>
      <c r="Y50" s="18">
        <f>+SUMIF(Рўйхат!$C:$C,$B50,Рўйхат!Z:Z)</f>
        <v/>
      </c>
      <c r="Z50" s="17">
        <f>+SUMIF(Рўйхат!$C:$C,$B50,Рўйхат!AA:AA)</f>
        <v/>
      </c>
      <c r="AA50" s="18">
        <f>+SUMIF(Рўйхат!$C:$C,$B50,Рўйхат!AB:AB)</f>
        <v/>
      </c>
      <c r="AB50" s="18">
        <f>+SUMIF(Рўйхат!$C:$C,$B50,Рўйхат!AC:AC)</f>
        <v/>
      </c>
      <c r="AC50" s="18">
        <f>+SUMIF(Рўйхат!$C:$C,$B50,Рўйхат!AD:AD)</f>
        <v/>
      </c>
      <c r="AD50" s="18">
        <f>+SUMIF(Рўйхат!$C:$C,$B50,Рўйхат!AE:AE)</f>
        <v/>
      </c>
      <c r="AE50" s="17">
        <f>+SUMIF(Рўйхат!$C:$C,$B50,Рўйхат!AF:AF)</f>
        <v/>
      </c>
      <c r="AF50" s="18">
        <f>+SUMIF(Рўйхат!$C:$C,$B50,Рўйхат!AG:AG)</f>
        <v/>
      </c>
      <c r="AG50" s="18">
        <f>+SUMIF(Рўйхат!$C:$C,$B50,Рўйхат!AH:AH)</f>
        <v/>
      </c>
      <c r="AH50" s="33">
        <f>+SUMIF(Рўйхат!$C:$C,$B50,Рўйхат!AI:AI)</f>
        <v/>
      </c>
      <c r="AI50" s="19">
        <f>+SUMIF(Рўйхат!$C:$C,$B50,Рўйхат!AJ:AJ)</f>
        <v/>
      </c>
    </row>
    <row r="51" ht="34" customHeight="1">
      <c r="A51" s="25">
        <f>+A50+1</f>
        <v/>
      </c>
      <c r="B51" s="26" t="inlineStr">
        <is>
          <t>Кадастр агентлиги</t>
        </is>
      </c>
      <c r="C51" s="28">
        <f>IF(IFERROR(VLOOKUP(B51,Рўйхат!C:E,2,0),"")="[NULL]","",IFERROR(VLOOKUP(B51,Рўйхат!C:E,2,0),""))</f>
        <v/>
      </c>
      <c r="D51" s="28">
        <f>IFERROR(VLOOKUP(B51,Рўйхат!C:E,3,0),"")</f>
        <v/>
      </c>
      <c r="E51" s="17">
        <f>+SUMIF(Рўйхат!$C:$C,$B51,Рўйхат!G:G)</f>
        <v/>
      </c>
      <c r="F51" s="18">
        <f>+SUMIF(Рўйхат!$C:$C,$B51,Рўйхат!H:H)</f>
        <v/>
      </c>
      <c r="G51" s="18">
        <f>M51</f>
        <v/>
      </c>
      <c r="H51" s="18">
        <f>R51+W51+AB51+AG51</f>
        <v/>
      </c>
      <c r="I51" s="18">
        <f>+SUMIF(Рўйхат!$C:$C,$B51,Рўйхат!J:J)</f>
        <v/>
      </c>
      <c r="J51" s="18">
        <f>+SUMIF(Рўйхат!$C:$C,$B51,Рўйхат!K:K)</f>
        <v/>
      </c>
      <c r="K51" s="17">
        <f>+SUMIF(Рўйхат!$C:$C,$B51,Рўйхат!L:L)</f>
        <v/>
      </c>
      <c r="L51" s="18">
        <f>+SUMIF(Рўйхат!$C:$C,$B51,Рўйхат!M:M)</f>
        <v/>
      </c>
      <c r="M51" s="18">
        <f>+SUMIF(Рўйхат!$C:$C,$B51,Рўйхат!N:N)</f>
        <v/>
      </c>
      <c r="N51" s="18">
        <f>+SUMIF(Рўйхат!$C:$C,$B51,Рўйхат!O:O)</f>
        <v/>
      </c>
      <c r="O51" s="18">
        <f>+SUMIF(Рўйхат!$C:$C,$B51,Рўйхат!P:P)</f>
        <v/>
      </c>
      <c r="P51" s="17">
        <f>+SUMIF(Рўйхат!$C:$C,$B51,Рўйхат!Q:Q)</f>
        <v/>
      </c>
      <c r="Q51" s="18">
        <f>+SUMIF(Рўйхат!$C:$C,$B51,Рўйхат!R:R)</f>
        <v/>
      </c>
      <c r="R51" s="18">
        <f>+SUMIF(Рўйхат!$C:$C,$B51,Рўйхат!S:S)</f>
        <v/>
      </c>
      <c r="S51" s="18">
        <f>+SUMIF(Рўйхат!$C:$C,$B51,Рўйхат!T:T)</f>
        <v/>
      </c>
      <c r="T51" s="18">
        <f>+SUMIF(Рўйхат!$C:$C,$B51,Рўйхат!U:U)</f>
        <v/>
      </c>
      <c r="U51" s="17">
        <f>+SUMIF(Рўйхат!$C:$C,$B51,Рўйхат!V:V)</f>
        <v/>
      </c>
      <c r="V51" s="18">
        <f>+SUMIF(Рўйхат!$C:$C,$B51,Рўйхат!W:W)</f>
        <v/>
      </c>
      <c r="W51" s="18">
        <f>+SUMIF(Рўйхат!$C:$C,$B51,Рўйхат!X:X)</f>
        <v/>
      </c>
      <c r="X51" s="18">
        <f>+SUMIF(Рўйхат!$C:$C,$B51,Рўйхат!Y:Y)</f>
        <v/>
      </c>
      <c r="Y51" s="18">
        <f>+SUMIF(Рўйхат!$C:$C,$B51,Рўйхат!Z:Z)</f>
        <v/>
      </c>
      <c r="Z51" s="17">
        <f>+SUMIF(Рўйхат!$C:$C,$B51,Рўйхат!AA:AA)</f>
        <v/>
      </c>
      <c r="AA51" s="18">
        <f>+SUMIF(Рўйхат!$C:$C,$B51,Рўйхат!AB:AB)</f>
        <v/>
      </c>
      <c r="AB51" s="18">
        <f>+SUMIF(Рўйхат!$C:$C,$B51,Рўйхат!AC:AC)</f>
        <v/>
      </c>
      <c r="AC51" s="18">
        <f>+SUMIF(Рўйхат!$C:$C,$B51,Рўйхат!AD:AD)</f>
        <v/>
      </c>
      <c r="AD51" s="18">
        <f>+SUMIF(Рўйхат!$C:$C,$B51,Рўйхат!AE:AE)</f>
        <v/>
      </c>
      <c r="AE51" s="17">
        <f>+SUMIF(Рўйхат!$C:$C,$B51,Рўйхат!AF:AF)</f>
        <v/>
      </c>
      <c r="AF51" s="18">
        <f>+SUMIF(Рўйхат!$C:$C,$B51,Рўйхат!AG:AG)</f>
        <v/>
      </c>
      <c r="AG51" s="18">
        <f>+SUMIF(Рўйхат!$C:$C,$B51,Рўйхат!AH:AH)</f>
        <v/>
      </c>
      <c r="AH51" s="33">
        <f>+SUMIF(Рўйхат!$C:$C,$B51,Рўйхат!AI:AI)</f>
        <v/>
      </c>
      <c r="AI51" s="19">
        <f>+SUMIF(Рўйхат!$C:$C,$B51,Рўйхат!AJ:AJ)</f>
        <v/>
      </c>
    </row>
    <row r="52" ht="34" customHeight="1">
      <c r="A52" s="25">
        <f>+A51+1</f>
        <v/>
      </c>
      <c r="B52" s="26" t="inlineStr">
        <is>
          <t>Ташқи ишлар вазирлиги</t>
        </is>
      </c>
      <c r="C52" s="28">
        <f>IF(IFERROR(VLOOKUP(B52,Рўйхат!C:E,2,0),"")="[NULL]","",IFERROR(VLOOKUP(B52,Рўйхат!C:E,2,0),""))</f>
        <v/>
      </c>
      <c r="D52" s="28">
        <f>IFERROR(VLOOKUP(B52,Рўйхат!C:E,3,0),"")</f>
        <v/>
      </c>
      <c r="E52" s="17">
        <f>+SUMIF(Рўйхат!$C:$C,$B52,Рўйхат!G:G)</f>
        <v/>
      </c>
      <c r="F52" s="18">
        <f>+SUMIF(Рўйхат!$C:$C,$B52,Рўйхат!H:H)</f>
        <v/>
      </c>
      <c r="G52" s="18">
        <f>M52</f>
        <v/>
      </c>
      <c r="H52" s="18">
        <f>R52+W52+AB52+AG52</f>
        <v/>
      </c>
      <c r="I52" s="18">
        <f>+SUMIF(Рўйхат!$C:$C,$B52,Рўйхат!J:J)</f>
        <v/>
      </c>
      <c r="J52" s="18">
        <f>+SUMIF(Рўйхат!$C:$C,$B52,Рўйхат!K:K)</f>
        <v/>
      </c>
      <c r="K52" s="17">
        <f>+SUMIF(Рўйхат!$C:$C,$B52,Рўйхат!L:L)</f>
        <v/>
      </c>
      <c r="L52" s="18">
        <f>+SUMIF(Рўйхат!$C:$C,$B52,Рўйхат!M:M)</f>
        <v/>
      </c>
      <c r="M52" s="18">
        <f>+SUMIF(Рўйхат!$C:$C,$B52,Рўйхат!N:N)</f>
        <v/>
      </c>
      <c r="N52" s="18">
        <f>+SUMIF(Рўйхат!$C:$C,$B52,Рўйхат!O:O)</f>
        <v/>
      </c>
      <c r="O52" s="18">
        <f>+SUMIF(Рўйхат!$C:$C,$B52,Рўйхат!P:P)</f>
        <v/>
      </c>
      <c r="P52" s="17">
        <f>+SUMIF(Рўйхат!$C:$C,$B52,Рўйхат!Q:Q)</f>
        <v/>
      </c>
      <c r="Q52" s="18">
        <f>+SUMIF(Рўйхат!$C:$C,$B52,Рўйхат!R:R)</f>
        <v/>
      </c>
      <c r="R52" s="18">
        <f>+SUMIF(Рўйхат!$C:$C,$B52,Рўйхат!S:S)</f>
        <v/>
      </c>
      <c r="S52" s="18">
        <f>+SUMIF(Рўйхат!$C:$C,$B52,Рўйхат!T:T)</f>
        <v/>
      </c>
      <c r="T52" s="18">
        <f>+SUMIF(Рўйхат!$C:$C,$B52,Рўйхат!U:U)</f>
        <v/>
      </c>
      <c r="U52" s="17">
        <f>+SUMIF(Рўйхат!$C:$C,$B52,Рўйхат!V:V)</f>
        <v/>
      </c>
      <c r="V52" s="18">
        <f>+SUMIF(Рўйхат!$C:$C,$B52,Рўйхат!W:W)</f>
        <v/>
      </c>
      <c r="W52" s="18">
        <f>+SUMIF(Рўйхат!$C:$C,$B52,Рўйхат!X:X)</f>
        <v/>
      </c>
      <c r="X52" s="18">
        <f>+SUMIF(Рўйхат!$C:$C,$B52,Рўйхат!Y:Y)</f>
        <v/>
      </c>
      <c r="Y52" s="18">
        <f>+SUMIF(Рўйхат!$C:$C,$B52,Рўйхат!Z:Z)</f>
        <v/>
      </c>
      <c r="Z52" s="17">
        <f>+SUMIF(Рўйхат!$C:$C,$B52,Рўйхат!AA:AA)</f>
        <v/>
      </c>
      <c r="AA52" s="18">
        <f>+SUMIF(Рўйхат!$C:$C,$B52,Рўйхат!AB:AB)</f>
        <v/>
      </c>
      <c r="AB52" s="18">
        <f>+SUMIF(Рўйхат!$C:$C,$B52,Рўйхат!AC:AC)</f>
        <v/>
      </c>
      <c r="AC52" s="18">
        <f>+SUMIF(Рўйхат!$C:$C,$B52,Рўйхат!AD:AD)</f>
        <v/>
      </c>
      <c r="AD52" s="18">
        <f>+SUMIF(Рўйхат!$C:$C,$B52,Рўйхат!AE:AE)</f>
        <v/>
      </c>
      <c r="AE52" s="17">
        <f>+SUMIF(Рўйхат!$C:$C,$B52,Рўйхат!AF:AF)</f>
        <v/>
      </c>
      <c r="AF52" s="18">
        <f>+SUMIF(Рўйхат!$C:$C,$B52,Рўйхат!AG:AG)</f>
        <v/>
      </c>
      <c r="AG52" s="18">
        <f>+SUMIF(Рўйхат!$C:$C,$B52,Рўйхат!AH:AH)</f>
        <v/>
      </c>
      <c r="AH52" s="33">
        <f>+SUMIF(Рўйхат!$C:$C,$B52,Рўйхат!AI:AI)</f>
        <v/>
      </c>
      <c r="AI52" s="19">
        <f>+SUMIF(Рўйхат!$C:$C,$B52,Рўйхат!AJ:AJ)</f>
        <v/>
      </c>
    </row>
    <row r="53" ht="17" customHeight="1">
      <c r="A53" s="25">
        <f>+A52+1</f>
        <v/>
      </c>
      <c r="B53" s="26" t="inlineStr">
        <is>
          <t>Ўзбекистон Республикаси Фанлар Академияси</t>
        </is>
      </c>
      <c r="C53" s="28">
        <f>IF(IFERROR(VLOOKUP(B53,Рўйхат!C:E,2,0),"")="[NULL]","",IFERROR(VLOOKUP(B53,Рўйхат!C:E,2,0),""))</f>
        <v/>
      </c>
      <c r="D53" s="28">
        <f>IFERROR(VLOOKUP(B53,Рўйхат!C:E,3,0),"")</f>
        <v/>
      </c>
      <c r="E53" s="17">
        <f>+SUMIF(Рўйхат!$C:$C,$B53,Рўйхат!G:G)</f>
        <v/>
      </c>
      <c r="F53" s="18">
        <f>+SUMIF(Рўйхат!$C:$C,$B53,Рўйхат!H:H)</f>
        <v/>
      </c>
      <c r="G53" s="18">
        <f>M53</f>
        <v/>
      </c>
      <c r="H53" s="18">
        <f>R53+W53+AB53+AG53</f>
        <v/>
      </c>
      <c r="I53" s="18">
        <f>+SUMIF(Рўйхат!$C:$C,$B53,Рўйхат!J:J)</f>
        <v/>
      </c>
      <c r="J53" s="18">
        <f>+SUMIF(Рўйхат!$C:$C,$B53,Рўйхат!K:K)</f>
        <v/>
      </c>
      <c r="K53" s="17">
        <f>+SUMIF(Рўйхат!$C:$C,$B53,Рўйхат!L:L)</f>
        <v/>
      </c>
      <c r="L53" s="18">
        <f>+SUMIF(Рўйхат!$C:$C,$B53,Рўйхат!M:M)</f>
        <v/>
      </c>
      <c r="M53" s="18">
        <f>+SUMIF(Рўйхат!$C:$C,$B53,Рўйхат!N:N)</f>
        <v/>
      </c>
      <c r="N53" s="18">
        <f>+SUMIF(Рўйхат!$C:$C,$B53,Рўйхат!O:O)</f>
        <v/>
      </c>
      <c r="O53" s="18">
        <f>+SUMIF(Рўйхат!$C:$C,$B53,Рўйхат!P:P)</f>
        <v/>
      </c>
      <c r="P53" s="17">
        <f>+SUMIF(Рўйхат!$C:$C,$B53,Рўйхат!Q:Q)</f>
        <v/>
      </c>
      <c r="Q53" s="18">
        <f>+SUMIF(Рўйхат!$C:$C,$B53,Рўйхат!R:R)</f>
        <v/>
      </c>
      <c r="R53" s="18">
        <f>+SUMIF(Рўйхат!$C:$C,$B53,Рўйхат!S:S)</f>
        <v/>
      </c>
      <c r="S53" s="18">
        <f>+SUMIF(Рўйхат!$C:$C,$B53,Рўйхат!T:T)</f>
        <v/>
      </c>
      <c r="T53" s="18">
        <f>+SUMIF(Рўйхат!$C:$C,$B53,Рўйхат!U:U)</f>
        <v/>
      </c>
      <c r="U53" s="17">
        <f>+SUMIF(Рўйхат!$C:$C,$B53,Рўйхат!V:V)</f>
        <v/>
      </c>
      <c r="V53" s="18">
        <f>+SUMIF(Рўйхат!$C:$C,$B53,Рўйхат!W:W)</f>
        <v/>
      </c>
      <c r="W53" s="18">
        <f>+SUMIF(Рўйхат!$C:$C,$B53,Рўйхат!X:X)</f>
        <v/>
      </c>
      <c r="X53" s="18">
        <f>+SUMIF(Рўйхат!$C:$C,$B53,Рўйхат!Y:Y)</f>
        <v/>
      </c>
      <c r="Y53" s="18">
        <f>+SUMIF(Рўйхат!$C:$C,$B53,Рўйхат!Z:Z)</f>
        <v/>
      </c>
      <c r="Z53" s="17">
        <f>+SUMIF(Рўйхат!$C:$C,$B53,Рўйхат!AA:AA)</f>
        <v/>
      </c>
      <c r="AA53" s="18">
        <f>+SUMIF(Рўйхат!$C:$C,$B53,Рўйхат!AB:AB)</f>
        <v/>
      </c>
      <c r="AB53" s="18">
        <f>+SUMIF(Рўйхат!$C:$C,$B53,Рўйхат!AC:AC)</f>
        <v/>
      </c>
      <c r="AC53" s="18">
        <f>+SUMIF(Рўйхат!$C:$C,$B53,Рўйхат!AD:AD)</f>
        <v/>
      </c>
      <c r="AD53" s="18">
        <f>+SUMIF(Рўйхат!$C:$C,$B53,Рўйхат!AE:AE)</f>
        <v/>
      </c>
      <c r="AE53" s="17">
        <f>+SUMIF(Рўйхат!$C:$C,$B53,Рўйхат!AF:AF)</f>
        <v/>
      </c>
      <c r="AF53" s="18">
        <f>+SUMIF(Рўйхат!$C:$C,$B53,Рўйхат!AG:AG)</f>
        <v/>
      </c>
      <c r="AG53" s="18">
        <f>+SUMIF(Рўйхат!$C:$C,$B53,Рўйхат!AH:AH)</f>
        <v/>
      </c>
      <c r="AH53" s="33">
        <f>+SUMIF(Рўйхат!$C:$C,$B53,Рўйхат!AI:AI)</f>
        <v/>
      </c>
      <c r="AI53" s="19">
        <f>+SUMIF(Рўйхат!$C:$C,$B53,Рўйхат!AJ:AJ)</f>
        <v/>
      </c>
    </row>
    <row r="54" ht="17" customHeight="1">
      <c r="A54" s="25">
        <f>+A53+1</f>
        <v/>
      </c>
      <c r="B54" s="26" t="inlineStr">
        <is>
          <t>Фавқулодда вазиятлар вазирлиги</t>
        </is>
      </c>
      <c r="C54" s="28">
        <f>IF(IFERROR(VLOOKUP(B54,Рўйхат!C:E,2,0),"")="[NULL]","",IFERROR(VLOOKUP(B54,Рўйхат!C:E,2,0),""))</f>
        <v/>
      </c>
      <c r="D54" s="28">
        <f>IFERROR(VLOOKUP(B54,Рўйхат!C:E,3,0),"")</f>
        <v/>
      </c>
      <c r="E54" s="17">
        <f>+SUMIF(Рўйхат!$C:$C,$B54,Рўйхат!G:G)</f>
        <v/>
      </c>
      <c r="F54" s="18">
        <f>+SUMIF(Рўйхат!$C:$C,$B54,Рўйхат!H:H)</f>
        <v/>
      </c>
      <c r="G54" s="18">
        <f>M54</f>
        <v/>
      </c>
      <c r="H54" s="18">
        <f>R54+W54+AB54+AG54</f>
        <v/>
      </c>
      <c r="I54" s="18">
        <f>+SUMIF(Рўйхат!$C:$C,$B54,Рўйхат!J:J)</f>
        <v/>
      </c>
      <c r="J54" s="18">
        <f>+SUMIF(Рўйхат!$C:$C,$B54,Рўйхат!K:K)</f>
        <v/>
      </c>
      <c r="K54" s="17">
        <f>+SUMIF(Рўйхат!$C:$C,$B54,Рўйхат!L:L)</f>
        <v/>
      </c>
      <c r="L54" s="18">
        <f>+SUMIF(Рўйхат!$C:$C,$B54,Рўйхат!M:M)</f>
        <v/>
      </c>
      <c r="M54" s="18">
        <f>+SUMIF(Рўйхат!$C:$C,$B54,Рўйхат!N:N)</f>
        <v/>
      </c>
      <c r="N54" s="18">
        <f>+SUMIF(Рўйхат!$C:$C,$B54,Рўйхат!O:O)</f>
        <v/>
      </c>
      <c r="O54" s="18">
        <f>+SUMIF(Рўйхат!$C:$C,$B54,Рўйхат!P:P)</f>
        <v/>
      </c>
      <c r="P54" s="17">
        <f>+SUMIF(Рўйхат!$C:$C,$B54,Рўйхат!Q:Q)</f>
        <v/>
      </c>
      <c r="Q54" s="18">
        <f>+SUMIF(Рўйхат!$C:$C,$B54,Рўйхат!R:R)</f>
        <v/>
      </c>
      <c r="R54" s="18">
        <f>+SUMIF(Рўйхат!$C:$C,$B54,Рўйхат!S:S)</f>
        <v/>
      </c>
      <c r="S54" s="18">
        <f>+SUMIF(Рўйхат!$C:$C,$B54,Рўйхат!T:T)</f>
        <v/>
      </c>
      <c r="T54" s="18">
        <f>+SUMIF(Рўйхат!$C:$C,$B54,Рўйхат!U:U)</f>
        <v/>
      </c>
      <c r="U54" s="17">
        <f>+SUMIF(Рўйхат!$C:$C,$B54,Рўйхат!V:V)</f>
        <v/>
      </c>
      <c r="V54" s="18">
        <f>+SUMIF(Рўйхат!$C:$C,$B54,Рўйхат!W:W)</f>
        <v/>
      </c>
      <c r="W54" s="18">
        <f>+SUMIF(Рўйхат!$C:$C,$B54,Рўйхат!X:X)</f>
        <v/>
      </c>
      <c r="X54" s="18">
        <f>+SUMIF(Рўйхат!$C:$C,$B54,Рўйхат!Y:Y)</f>
        <v/>
      </c>
      <c r="Y54" s="18">
        <f>+SUMIF(Рўйхат!$C:$C,$B54,Рўйхат!Z:Z)</f>
        <v/>
      </c>
      <c r="Z54" s="17">
        <f>+SUMIF(Рўйхат!$C:$C,$B54,Рўйхат!AA:AA)</f>
        <v/>
      </c>
      <c r="AA54" s="18">
        <f>+SUMIF(Рўйхат!$C:$C,$B54,Рўйхат!AB:AB)</f>
        <v/>
      </c>
      <c r="AB54" s="18">
        <f>+SUMIF(Рўйхат!$C:$C,$B54,Рўйхат!AC:AC)</f>
        <v/>
      </c>
      <c r="AC54" s="18">
        <f>+SUMIF(Рўйхат!$C:$C,$B54,Рўйхат!AD:AD)</f>
        <v/>
      </c>
      <c r="AD54" s="18">
        <f>+SUMIF(Рўйхат!$C:$C,$B54,Рўйхат!AE:AE)</f>
        <v/>
      </c>
      <c r="AE54" s="17">
        <f>+SUMIF(Рўйхат!$C:$C,$B54,Рўйхат!AF:AF)</f>
        <v/>
      </c>
      <c r="AF54" s="18">
        <f>+SUMIF(Рўйхат!$C:$C,$B54,Рўйхат!AG:AG)</f>
        <v/>
      </c>
      <c r="AG54" s="18">
        <f>+SUMIF(Рўйхат!$C:$C,$B54,Рўйхат!AH:AH)</f>
        <v/>
      </c>
      <c r="AH54" s="33">
        <f>+SUMIF(Рўйхат!$C:$C,$B54,Рўйхат!AI:AI)</f>
        <v/>
      </c>
      <c r="AI54" s="19">
        <f>+SUMIF(Рўйхат!$C:$C,$B54,Рўйхат!AJ:AJ)</f>
        <v/>
      </c>
    </row>
    <row r="55" ht="34" customHeight="1">
      <c r="A55" s="25">
        <f>+A54+1</f>
        <v/>
      </c>
      <c r="B55" s="26" t="inlineStr">
        <is>
          <t xml:space="preserve">Рақобатни ривожлантириш ва истеъмолчилар ҳуқуқларини ҳимоя қилиш қўмитаси </t>
        </is>
      </c>
      <c r="C55" s="28">
        <f>IF(IFERROR(VLOOKUP(B55,Рўйхат!C:E,2,0),"")="[NULL]","",IFERROR(VLOOKUP(B55,Рўйхат!C:E,2,0),""))</f>
        <v/>
      </c>
      <c r="D55" s="28">
        <f>IFERROR(VLOOKUP(B55,Рўйхат!C:E,3,0),"")</f>
        <v/>
      </c>
      <c r="E55" s="17">
        <f>+SUMIF(Рўйхат!$C:$C,$B55,Рўйхат!G:G)</f>
        <v/>
      </c>
      <c r="F55" s="18">
        <f>+SUMIF(Рўйхат!$C:$C,$B55,Рўйхат!H:H)</f>
        <v/>
      </c>
      <c r="G55" s="18">
        <f>M55</f>
        <v/>
      </c>
      <c r="H55" s="18">
        <f>R55+W55+AB55+AG55</f>
        <v/>
      </c>
      <c r="I55" s="18">
        <f>+SUMIF(Рўйхат!$C:$C,$B55,Рўйхат!J:J)</f>
        <v/>
      </c>
      <c r="J55" s="18">
        <f>+SUMIF(Рўйхат!$C:$C,$B55,Рўйхат!K:K)</f>
        <v/>
      </c>
      <c r="K55" s="17">
        <f>+SUMIF(Рўйхат!$C:$C,$B55,Рўйхат!L:L)</f>
        <v/>
      </c>
      <c r="L55" s="18">
        <f>+SUMIF(Рўйхат!$C:$C,$B55,Рўйхат!M:M)</f>
        <v/>
      </c>
      <c r="M55" s="18">
        <f>+SUMIF(Рўйхат!$C:$C,$B55,Рўйхат!N:N)</f>
        <v/>
      </c>
      <c r="N55" s="18">
        <f>+SUMIF(Рўйхат!$C:$C,$B55,Рўйхат!O:O)</f>
        <v/>
      </c>
      <c r="O55" s="18">
        <f>+SUMIF(Рўйхат!$C:$C,$B55,Рўйхат!P:P)</f>
        <v/>
      </c>
      <c r="P55" s="17">
        <f>+SUMIF(Рўйхат!$C:$C,$B55,Рўйхат!Q:Q)</f>
        <v/>
      </c>
      <c r="Q55" s="18">
        <f>+SUMIF(Рўйхат!$C:$C,$B55,Рўйхат!R:R)</f>
        <v/>
      </c>
      <c r="R55" s="18">
        <f>+SUMIF(Рўйхат!$C:$C,$B55,Рўйхат!S:S)</f>
        <v/>
      </c>
      <c r="S55" s="18">
        <f>+SUMIF(Рўйхат!$C:$C,$B55,Рўйхат!T:T)</f>
        <v/>
      </c>
      <c r="T55" s="18">
        <f>+SUMIF(Рўйхат!$C:$C,$B55,Рўйхат!U:U)</f>
        <v/>
      </c>
      <c r="U55" s="17">
        <f>+SUMIF(Рўйхат!$C:$C,$B55,Рўйхат!V:V)</f>
        <v/>
      </c>
      <c r="V55" s="18">
        <f>+SUMIF(Рўйхат!$C:$C,$B55,Рўйхат!W:W)</f>
        <v/>
      </c>
      <c r="W55" s="18">
        <f>+SUMIF(Рўйхат!$C:$C,$B55,Рўйхат!X:X)</f>
        <v/>
      </c>
      <c r="X55" s="18">
        <f>+SUMIF(Рўйхат!$C:$C,$B55,Рўйхат!Y:Y)</f>
        <v/>
      </c>
      <c r="Y55" s="18">
        <f>+SUMIF(Рўйхат!$C:$C,$B55,Рўйхат!Z:Z)</f>
        <v/>
      </c>
      <c r="Z55" s="17">
        <f>+SUMIF(Рўйхат!$C:$C,$B55,Рўйхат!AA:AA)</f>
        <v/>
      </c>
      <c r="AA55" s="18">
        <f>+SUMIF(Рўйхат!$C:$C,$B55,Рўйхат!AB:AB)</f>
        <v/>
      </c>
      <c r="AB55" s="18">
        <f>+SUMIF(Рўйхат!$C:$C,$B55,Рўйхат!AC:AC)</f>
        <v/>
      </c>
      <c r="AC55" s="18">
        <f>+SUMIF(Рўйхат!$C:$C,$B55,Рўйхат!AD:AD)</f>
        <v/>
      </c>
      <c r="AD55" s="18">
        <f>+SUMIF(Рўйхат!$C:$C,$B55,Рўйхат!AE:AE)</f>
        <v/>
      </c>
      <c r="AE55" s="17">
        <f>+SUMIF(Рўйхат!$C:$C,$B55,Рўйхат!AF:AF)</f>
        <v/>
      </c>
      <c r="AF55" s="18">
        <f>+SUMIF(Рўйхат!$C:$C,$B55,Рўйхат!AG:AG)</f>
        <v/>
      </c>
      <c r="AG55" s="18">
        <f>+SUMIF(Рўйхат!$C:$C,$B55,Рўйхат!AH:AH)</f>
        <v/>
      </c>
      <c r="AH55" s="33">
        <f>+SUMIF(Рўйхат!$C:$C,$B55,Рўйхат!AI:AI)</f>
        <v/>
      </c>
      <c r="AI55" s="19">
        <f>+SUMIF(Рўйхат!$C:$C,$B55,Рўйхат!AJ:AJ)</f>
        <v/>
      </c>
    </row>
    <row r="56" ht="17" customHeight="1">
      <c r="A56" s="25">
        <f>+A55+1</f>
        <v/>
      </c>
      <c r="B56" s="26" t="inlineStr">
        <is>
          <t>Ўзбекистон Ресрубликаси Бош прокуратураси</t>
        </is>
      </c>
      <c r="C56" s="28">
        <f>IF(IFERROR(VLOOKUP(B56,Рўйхат!C:E,2,0),"")="[NULL]","",IFERROR(VLOOKUP(B56,Рўйхат!C:E,2,0),""))</f>
        <v/>
      </c>
      <c r="D56" s="28">
        <f>IFERROR(VLOOKUP(B56,Рўйхат!C:E,3,0),"")</f>
        <v/>
      </c>
      <c r="E56" s="17">
        <f>+SUMIF(Рўйхат!$C:$C,$B56,Рўйхат!G:G)</f>
        <v/>
      </c>
      <c r="F56" s="18">
        <f>+SUMIF(Рўйхат!$C:$C,$B56,Рўйхат!H:H)</f>
        <v/>
      </c>
      <c r="G56" s="18">
        <f>M56</f>
        <v/>
      </c>
      <c r="H56" s="18">
        <f>R56+W56+AB56+AG56</f>
        <v/>
      </c>
      <c r="I56" s="18">
        <f>+SUMIF(Рўйхат!$C:$C,$B56,Рўйхат!J:J)</f>
        <v/>
      </c>
      <c r="J56" s="18">
        <f>+SUMIF(Рўйхат!$C:$C,$B56,Рўйхат!K:K)</f>
        <v/>
      </c>
      <c r="K56" s="17">
        <f>+SUMIF(Рўйхат!$C:$C,$B56,Рўйхат!L:L)</f>
        <v/>
      </c>
      <c r="L56" s="18">
        <f>+SUMIF(Рўйхат!$C:$C,$B56,Рўйхат!M:M)</f>
        <v/>
      </c>
      <c r="M56" s="18">
        <f>+SUMIF(Рўйхат!$C:$C,$B56,Рўйхат!N:N)</f>
        <v/>
      </c>
      <c r="N56" s="18">
        <f>+SUMIF(Рўйхат!$C:$C,$B56,Рўйхат!O:O)</f>
        <v/>
      </c>
      <c r="O56" s="18">
        <f>+SUMIF(Рўйхат!$C:$C,$B56,Рўйхат!P:P)</f>
        <v/>
      </c>
      <c r="P56" s="17">
        <f>+SUMIF(Рўйхат!$C:$C,$B56,Рўйхат!Q:Q)</f>
        <v/>
      </c>
      <c r="Q56" s="18">
        <f>+SUMIF(Рўйхат!$C:$C,$B56,Рўйхат!R:R)</f>
        <v/>
      </c>
      <c r="R56" s="18">
        <f>+SUMIF(Рўйхат!$C:$C,$B56,Рўйхат!S:S)</f>
        <v/>
      </c>
      <c r="S56" s="18">
        <f>+SUMIF(Рўйхат!$C:$C,$B56,Рўйхат!T:T)</f>
        <v/>
      </c>
      <c r="T56" s="18">
        <f>+SUMIF(Рўйхат!$C:$C,$B56,Рўйхат!U:U)</f>
        <v/>
      </c>
      <c r="U56" s="17">
        <f>+SUMIF(Рўйхат!$C:$C,$B56,Рўйхат!V:V)</f>
        <v/>
      </c>
      <c r="V56" s="18">
        <f>+SUMIF(Рўйхат!$C:$C,$B56,Рўйхат!W:W)</f>
        <v/>
      </c>
      <c r="W56" s="18">
        <f>+SUMIF(Рўйхат!$C:$C,$B56,Рўйхат!X:X)</f>
        <v/>
      </c>
      <c r="X56" s="18">
        <f>+SUMIF(Рўйхат!$C:$C,$B56,Рўйхат!Y:Y)</f>
        <v/>
      </c>
      <c r="Y56" s="18">
        <f>+SUMIF(Рўйхат!$C:$C,$B56,Рўйхат!Z:Z)</f>
        <v/>
      </c>
      <c r="Z56" s="17">
        <f>+SUMIF(Рўйхат!$C:$C,$B56,Рўйхат!AA:AA)</f>
        <v/>
      </c>
      <c r="AA56" s="18">
        <f>+SUMIF(Рўйхат!$C:$C,$B56,Рўйхат!AB:AB)</f>
        <v/>
      </c>
      <c r="AB56" s="18">
        <f>+SUMIF(Рўйхат!$C:$C,$B56,Рўйхат!AC:AC)</f>
        <v/>
      </c>
      <c r="AC56" s="18">
        <f>+SUMIF(Рўйхат!$C:$C,$B56,Рўйхат!AD:AD)</f>
        <v/>
      </c>
      <c r="AD56" s="18">
        <f>+SUMIF(Рўйхат!$C:$C,$B56,Рўйхат!AE:AE)</f>
        <v/>
      </c>
      <c r="AE56" s="17">
        <f>+SUMIF(Рўйхат!$C:$C,$B56,Рўйхат!AF:AF)</f>
        <v/>
      </c>
      <c r="AF56" s="18">
        <f>+SUMIF(Рўйхат!$C:$C,$B56,Рўйхат!AG:AG)</f>
        <v/>
      </c>
      <c r="AG56" s="18">
        <f>+SUMIF(Рўйхат!$C:$C,$B56,Рўйхат!AH:AH)</f>
        <v/>
      </c>
      <c r="AH56" s="33">
        <f>+SUMIF(Рўйхат!$C:$C,$B56,Рўйхат!AI:AI)</f>
        <v/>
      </c>
      <c r="AI56" s="19">
        <f>+SUMIF(Рўйхат!$C:$C,$B56,Рўйхат!AJ:AJ)</f>
        <v/>
      </c>
    </row>
    <row r="57" ht="34" customHeight="1">
      <c r="A57" s="25">
        <f>+A56+1</f>
        <v/>
      </c>
      <c r="B57" s="26" t="inlineStr">
        <is>
          <t>Ўзбекистон техник жиҳатдан тартибга солиш агентлиги</t>
        </is>
      </c>
      <c r="C57" s="28">
        <f>IF(IFERROR(VLOOKUP(B57,Рўйхат!C:E,2,0),"")="[NULL]","",IFERROR(VLOOKUP(B57,Рўйхат!C:E,2,0),""))</f>
        <v/>
      </c>
      <c r="D57" s="28">
        <f>IFERROR(VLOOKUP(B57,Рўйхат!C:E,3,0),"")</f>
        <v/>
      </c>
      <c r="E57" s="17">
        <f>+SUMIF(Рўйхат!$C:$C,$B57,Рўйхат!G:G)</f>
        <v/>
      </c>
      <c r="F57" s="18">
        <f>+SUMIF(Рўйхат!$C:$C,$B57,Рўйхат!H:H)</f>
        <v/>
      </c>
      <c r="G57" s="18">
        <f>M57</f>
        <v/>
      </c>
      <c r="H57" s="18">
        <f>R57+W57+AB57+AG57</f>
        <v/>
      </c>
      <c r="I57" s="18">
        <f>+SUMIF(Рўйхат!$C:$C,$B57,Рўйхат!J:J)</f>
        <v/>
      </c>
      <c r="J57" s="18">
        <f>+SUMIF(Рўйхат!$C:$C,$B57,Рўйхат!K:K)</f>
        <v/>
      </c>
      <c r="K57" s="17">
        <f>+SUMIF(Рўйхат!$C:$C,$B57,Рўйхат!L:L)</f>
        <v/>
      </c>
      <c r="L57" s="18">
        <f>+SUMIF(Рўйхат!$C:$C,$B57,Рўйхат!M:M)</f>
        <v/>
      </c>
      <c r="M57" s="18">
        <f>+SUMIF(Рўйхат!$C:$C,$B57,Рўйхат!N:N)</f>
        <v/>
      </c>
      <c r="N57" s="18">
        <f>+SUMIF(Рўйхат!$C:$C,$B57,Рўйхат!O:O)</f>
        <v/>
      </c>
      <c r="O57" s="18">
        <f>+SUMIF(Рўйхат!$C:$C,$B57,Рўйхат!P:P)</f>
        <v/>
      </c>
      <c r="P57" s="17">
        <f>+SUMIF(Рўйхат!$C:$C,$B57,Рўйхат!Q:Q)</f>
        <v/>
      </c>
      <c r="Q57" s="18">
        <f>+SUMIF(Рўйхат!$C:$C,$B57,Рўйхат!R:R)</f>
        <v/>
      </c>
      <c r="R57" s="18">
        <f>+SUMIF(Рўйхат!$C:$C,$B57,Рўйхат!S:S)</f>
        <v/>
      </c>
      <c r="S57" s="18">
        <f>+SUMIF(Рўйхат!$C:$C,$B57,Рўйхат!T:T)</f>
        <v/>
      </c>
      <c r="T57" s="18">
        <f>+SUMIF(Рўйхат!$C:$C,$B57,Рўйхат!U:U)</f>
        <v/>
      </c>
      <c r="U57" s="17">
        <f>+SUMIF(Рўйхат!$C:$C,$B57,Рўйхат!V:V)</f>
        <v/>
      </c>
      <c r="V57" s="18">
        <f>+SUMIF(Рўйхат!$C:$C,$B57,Рўйхат!W:W)</f>
        <v/>
      </c>
      <c r="W57" s="18">
        <f>+SUMIF(Рўйхат!$C:$C,$B57,Рўйхат!X:X)</f>
        <v/>
      </c>
      <c r="X57" s="18">
        <f>+SUMIF(Рўйхат!$C:$C,$B57,Рўйхат!Y:Y)</f>
        <v/>
      </c>
      <c r="Y57" s="18">
        <f>+SUMIF(Рўйхат!$C:$C,$B57,Рўйхат!Z:Z)</f>
        <v/>
      </c>
      <c r="Z57" s="17">
        <f>+SUMIF(Рўйхат!$C:$C,$B57,Рўйхат!AA:AA)</f>
        <v/>
      </c>
      <c r="AA57" s="18">
        <f>+SUMIF(Рўйхат!$C:$C,$B57,Рўйхат!AB:AB)</f>
        <v/>
      </c>
      <c r="AB57" s="18">
        <f>+SUMIF(Рўйхат!$C:$C,$B57,Рўйхат!AC:AC)</f>
        <v/>
      </c>
      <c r="AC57" s="18">
        <f>+SUMIF(Рўйхат!$C:$C,$B57,Рўйхат!AD:AD)</f>
        <v/>
      </c>
      <c r="AD57" s="18">
        <f>+SUMIF(Рўйхат!$C:$C,$B57,Рўйхат!AE:AE)</f>
        <v/>
      </c>
      <c r="AE57" s="17">
        <f>+SUMIF(Рўйхат!$C:$C,$B57,Рўйхат!AF:AF)</f>
        <v/>
      </c>
      <c r="AF57" s="18">
        <f>+SUMIF(Рўйхат!$C:$C,$B57,Рўйхат!AG:AG)</f>
        <v/>
      </c>
      <c r="AG57" s="18">
        <f>+SUMIF(Рўйхат!$C:$C,$B57,Рўйхат!AH:AH)</f>
        <v/>
      </c>
      <c r="AH57" s="33">
        <f>+SUMIF(Рўйхат!$C:$C,$B57,Рўйхат!AI:AI)</f>
        <v/>
      </c>
      <c r="AI57" s="19">
        <f>+SUMIF(Рўйхат!$C:$C,$B57,Рўйхат!AJ:AJ)</f>
        <v/>
      </c>
    </row>
    <row r="58" ht="34" customHeight="1">
      <c r="A58" s="25">
        <f>+A57+1</f>
        <v/>
      </c>
      <c r="B58" s="26" t="inlineStr">
        <is>
          <t>Олий суд ҳузуридаги Судлар фаолиятини таъминлаш департаменти</t>
        </is>
      </c>
      <c r="C58" s="28">
        <f>IF(IFERROR(VLOOKUP(B58,Рўйхат!C:E,2,0),"")="[NULL]","",IFERROR(VLOOKUP(B58,Рўйхат!C:E,2,0),""))</f>
        <v/>
      </c>
      <c r="D58" s="28">
        <f>IFERROR(VLOOKUP(B58,Рўйхат!C:E,3,0),"")</f>
        <v/>
      </c>
      <c r="E58" s="17">
        <f>+SUMIF(Рўйхат!$C:$C,$B58,Рўйхат!G:G)</f>
        <v/>
      </c>
      <c r="F58" s="18">
        <f>+SUMIF(Рўйхат!$C:$C,$B58,Рўйхат!H:H)</f>
        <v/>
      </c>
      <c r="G58" s="18">
        <f>M58</f>
        <v/>
      </c>
      <c r="H58" s="18">
        <f>R58+W58+AB58+AG58</f>
        <v/>
      </c>
      <c r="I58" s="18">
        <f>+SUMIF(Рўйхат!$C:$C,$B58,Рўйхат!J:J)</f>
        <v/>
      </c>
      <c r="J58" s="18">
        <f>+SUMIF(Рўйхат!$C:$C,$B58,Рўйхат!K:K)</f>
        <v/>
      </c>
      <c r="K58" s="17">
        <f>+SUMIF(Рўйхат!$C:$C,$B58,Рўйхат!L:L)</f>
        <v/>
      </c>
      <c r="L58" s="18">
        <f>+SUMIF(Рўйхат!$C:$C,$B58,Рўйхат!M:M)</f>
        <v/>
      </c>
      <c r="M58" s="18">
        <f>+SUMIF(Рўйхат!$C:$C,$B58,Рўйхат!N:N)</f>
        <v/>
      </c>
      <c r="N58" s="18">
        <f>+SUMIF(Рўйхат!$C:$C,$B58,Рўйхат!O:O)</f>
        <v/>
      </c>
      <c r="O58" s="18">
        <f>+SUMIF(Рўйхат!$C:$C,$B58,Рўйхат!P:P)</f>
        <v/>
      </c>
      <c r="P58" s="17">
        <f>+SUMIF(Рўйхат!$C:$C,$B58,Рўйхат!Q:Q)</f>
        <v/>
      </c>
      <c r="Q58" s="18">
        <f>+SUMIF(Рўйхат!$C:$C,$B58,Рўйхат!R:R)</f>
        <v/>
      </c>
      <c r="R58" s="18">
        <f>+SUMIF(Рўйхат!$C:$C,$B58,Рўйхат!S:S)</f>
        <v/>
      </c>
      <c r="S58" s="18">
        <f>+SUMIF(Рўйхат!$C:$C,$B58,Рўйхат!T:T)</f>
        <v/>
      </c>
      <c r="T58" s="18">
        <f>+SUMIF(Рўйхат!$C:$C,$B58,Рўйхат!U:U)</f>
        <v/>
      </c>
      <c r="U58" s="17">
        <f>+SUMIF(Рўйхат!$C:$C,$B58,Рўйхат!V:V)</f>
        <v/>
      </c>
      <c r="V58" s="18">
        <f>+SUMIF(Рўйхат!$C:$C,$B58,Рўйхат!W:W)</f>
        <v/>
      </c>
      <c r="W58" s="18">
        <f>+SUMIF(Рўйхат!$C:$C,$B58,Рўйхат!X:X)</f>
        <v/>
      </c>
      <c r="X58" s="18">
        <f>+SUMIF(Рўйхат!$C:$C,$B58,Рўйхат!Y:Y)</f>
        <v/>
      </c>
      <c r="Y58" s="18">
        <f>+SUMIF(Рўйхат!$C:$C,$B58,Рўйхат!Z:Z)</f>
        <v/>
      </c>
      <c r="Z58" s="17">
        <f>+SUMIF(Рўйхат!$C:$C,$B58,Рўйхат!AA:AA)</f>
        <v/>
      </c>
      <c r="AA58" s="18">
        <f>+SUMIF(Рўйхат!$C:$C,$B58,Рўйхат!AB:AB)</f>
        <v/>
      </c>
      <c r="AB58" s="18">
        <f>+SUMIF(Рўйхат!$C:$C,$B58,Рўйхат!AC:AC)</f>
        <v/>
      </c>
      <c r="AC58" s="18">
        <f>+SUMIF(Рўйхат!$C:$C,$B58,Рўйхат!AD:AD)</f>
        <v/>
      </c>
      <c r="AD58" s="18">
        <f>+SUMIF(Рўйхат!$C:$C,$B58,Рўйхат!AE:AE)</f>
        <v/>
      </c>
      <c r="AE58" s="17">
        <f>+SUMIF(Рўйхат!$C:$C,$B58,Рўйхат!AF:AF)</f>
        <v/>
      </c>
      <c r="AF58" s="18">
        <f>+SUMIF(Рўйхат!$C:$C,$B58,Рўйхат!AG:AG)</f>
        <v/>
      </c>
      <c r="AG58" s="18">
        <f>+SUMIF(Рўйхат!$C:$C,$B58,Рўйхат!AH:AH)</f>
        <v/>
      </c>
      <c r="AH58" s="33">
        <f>+SUMIF(Рўйхат!$C:$C,$B58,Рўйхат!AI:AI)</f>
        <v/>
      </c>
      <c r="AI58" s="19">
        <f>+SUMIF(Рўйхат!$C:$C,$B58,Рўйхат!AJ:AJ)</f>
        <v/>
      </c>
    </row>
    <row r="59" ht="34" customHeight="1">
      <c r="A59" s="25">
        <f>+A58+1</f>
        <v/>
      </c>
      <c r="B59" s="26" t="inlineStr">
        <is>
          <t>Дин ишлари бўйича қўмита</t>
        </is>
      </c>
      <c r="C59" s="28">
        <f>IF(IFERROR(VLOOKUP(B59,Рўйхат!C:E,2,0),"")="[NULL]","",IFERROR(VLOOKUP(B59,Рўйхат!C:E,2,0),""))</f>
        <v/>
      </c>
      <c r="D59" s="28">
        <f>IFERROR(VLOOKUP(B59,Рўйхат!C:E,3,0),"")</f>
        <v/>
      </c>
      <c r="E59" s="17">
        <f>+SUMIF(Рўйхат!$C:$C,$B59,Рўйхат!G:G)</f>
        <v/>
      </c>
      <c r="F59" s="18">
        <f>+SUMIF(Рўйхат!$C:$C,$B59,Рўйхат!H:H)</f>
        <v/>
      </c>
      <c r="G59" s="18">
        <f>M59</f>
        <v/>
      </c>
      <c r="H59" s="18">
        <f>R59+W59+AB59+AG59</f>
        <v/>
      </c>
      <c r="I59" s="18">
        <f>+SUMIF(Рўйхат!$C:$C,$B59,Рўйхат!J:J)</f>
        <v/>
      </c>
      <c r="J59" s="18">
        <f>+SUMIF(Рўйхат!$C:$C,$B59,Рўйхат!K:K)</f>
        <v/>
      </c>
      <c r="K59" s="17">
        <f>+SUMIF(Рўйхат!$C:$C,$B59,Рўйхат!L:L)</f>
        <v/>
      </c>
      <c r="L59" s="18">
        <f>+SUMIF(Рўйхат!$C:$C,$B59,Рўйхат!M:M)</f>
        <v/>
      </c>
      <c r="M59" s="18">
        <f>+SUMIF(Рўйхат!$C:$C,$B59,Рўйхат!N:N)</f>
        <v/>
      </c>
      <c r="N59" s="18">
        <f>+SUMIF(Рўйхат!$C:$C,$B59,Рўйхат!O:O)</f>
        <v/>
      </c>
      <c r="O59" s="18">
        <f>+SUMIF(Рўйхат!$C:$C,$B59,Рўйхат!P:P)</f>
        <v/>
      </c>
      <c r="P59" s="17">
        <f>+SUMIF(Рўйхат!$C:$C,$B59,Рўйхат!Q:Q)</f>
        <v/>
      </c>
      <c r="Q59" s="18">
        <f>+SUMIF(Рўйхат!$C:$C,$B59,Рўйхат!R:R)</f>
        <v/>
      </c>
      <c r="R59" s="18">
        <f>+SUMIF(Рўйхат!$C:$C,$B59,Рўйхат!S:S)</f>
        <v/>
      </c>
      <c r="S59" s="18">
        <f>+SUMIF(Рўйхат!$C:$C,$B59,Рўйхат!T:T)</f>
        <v/>
      </c>
      <c r="T59" s="18">
        <f>+SUMIF(Рўйхат!$C:$C,$B59,Рўйхат!U:U)</f>
        <v/>
      </c>
      <c r="U59" s="17">
        <f>+SUMIF(Рўйхат!$C:$C,$B59,Рўйхат!V:V)</f>
        <v/>
      </c>
      <c r="V59" s="18">
        <f>+SUMIF(Рўйхат!$C:$C,$B59,Рўйхат!W:W)</f>
        <v/>
      </c>
      <c r="W59" s="18">
        <f>+SUMIF(Рўйхат!$C:$C,$B59,Рўйхат!X:X)</f>
        <v/>
      </c>
      <c r="X59" s="18">
        <f>+SUMIF(Рўйхат!$C:$C,$B59,Рўйхат!Y:Y)</f>
        <v/>
      </c>
      <c r="Y59" s="18">
        <f>+SUMIF(Рўйхат!$C:$C,$B59,Рўйхат!Z:Z)</f>
        <v/>
      </c>
      <c r="Z59" s="17">
        <f>+SUMIF(Рўйхат!$C:$C,$B59,Рўйхат!AA:AA)</f>
        <v/>
      </c>
      <c r="AA59" s="18">
        <f>+SUMIF(Рўйхат!$C:$C,$B59,Рўйхат!AB:AB)</f>
        <v/>
      </c>
      <c r="AB59" s="18">
        <f>+SUMIF(Рўйхат!$C:$C,$B59,Рўйхат!AC:AC)</f>
        <v/>
      </c>
      <c r="AC59" s="18">
        <f>+SUMIF(Рўйхат!$C:$C,$B59,Рўйхат!AD:AD)</f>
        <v/>
      </c>
      <c r="AD59" s="18">
        <f>+SUMIF(Рўйхат!$C:$C,$B59,Рўйхат!AE:AE)</f>
        <v/>
      </c>
      <c r="AE59" s="17">
        <f>+SUMIF(Рўйхат!$C:$C,$B59,Рўйхат!AF:AF)</f>
        <v/>
      </c>
      <c r="AF59" s="18">
        <f>+SUMIF(Рўйхат!$C:$C,$B59,Рўйхат!AG:AG)</f>
        <v/>
      </c>
      <c r="AG59" s="18">
        <f>+SUMIF(Рўйхат!$C:$C,$B59,Рўйхат!AH:AH)</f>
        <v/>
      </c>
      <c r="AH59" s="33">
        <f>+SUMIF(Рўйхат!$C:$C,$B59,Рўйхат!AI:AI)</f>
        <v/>
      </c>
      <c r="AI59" s="19">
        <f>+SUMIF(Рўйхат!$C:$C,$B59,Рўйхат!AJ:AJ)</f>
        <v/>
      </c>
    </row>
    <row r="60" ht="34" customHeight="1">
      <c r="A60" s="25">
        <f>+A59+1</f>
        <v/>
      </c>
      <c r="B60" s="26" t="inlineStr">
        <is>
          <t>Ўзагросуғурта АЖ</t>
        </is>
      </c>
      <c r="C60" s="28">
        <f>IF(IFERROR(VLOOKUP(B60,Рўйхат!C:E,2,0),"")="[NULL]","",IFERROR(VLOOKUP(B60,Рўйхат!C:E,2,0),""))</f>
        <v/>
      </c>
      <c r="D60" s="28">
        <f>IFERROR(VLOOKUP(B60,Рўйхат!C:E,3,0),"")</f>
        <v/>
      </c>
      <c r="E60" s="17">
        <f>+SUMIF(Рўйхат!$C:$C,$B60,Рўйхат!G:G)</f>
        <v/>
      </c>
      <c r="F60" s="18">
        <f>+SUMIF(Рўйхат!$C:$C,$B60,Рўйхат!H:H)</f>
        <v/>
      </c>
      <c r="G60" s="18">
        <f>M60</f>
        <v/>
      </c>
      <c r="H60" s="18">
        <f>R60+W60+AB60+AG60</f>
        <v/>
      </c>
      <c r="I60" s="18">
        <f>+SUMIF(Рўйхат!$C:$C,$B60,Рўйхат!J:J)</f>
        <v/>
      </c>
      <c r="J60" s="18">
        <f>+SUMIF(Рўйхат!$C:$C,$B60,Рўйхат!K:K)</f>
        <v/>
      </c>
      <c r="K60" s="17">
        <f>+SUMIF(Рўйхат!$C:$C,$B60,Рўйхат!L:L)</f>
        <v/>
      </c>
      <c r="L60" s="18">
        <f>+SUMIF(Рўйхат!$C:$C,$B60,Рўйхат!M:M)</f>
        <v/>
      </c>
      <c r="M60" s="18">
        <f>+SUMIF(Рўйхат!$C:$C,$B60,Рўйхат!N:N)</f>
        <v/>
      </c>
      <c r="N60" s="18">
        <f>+SUMIF(Рўйхат!$C:$C,$B60,Рўйхат!O:O)</f>
        <v/>
      </c>
      <c r="O60" s="18">
        <f>+SUMIF(Рўйхат!$C:$C,$B60,Рўйхат!P:P)</f>
        <v/>
      </c>
      <c r="P60" s="17">
        <f>+SUMIF(Рўйхат!$C:$C,$B60,Рўйхат!Q:Q)</f>
        <v/>
      </c>
      <c r="Q60" s="18">
        <f>+SUMIF(Рўйхат!$C:$C,$B60,Рўйхат!R:R)</f>
        <v/>
      </c>
      <c r="R60" s="18">
        <f>+SUMIF(Рўйхат!$C:$C,$B60,Рўйхат!S:S)</f>
        <v/>
      </c>
      <c r="S60" s="18">
        <f>+SUMIF(Рўйхат!$C:$C,$B60,Рўйхат!T:T)</f>
        <v/>
      </c>
      <c r="T60" s="18">
        <f>+SUMIF(Рўйхат!$C:$C,$B60,Рўйхат!U:U)</f>
        <v/>
      </c>
      <c r="U60" s="17">
        <f>+SUMIF(Рўйхат!$C:$C,$B60,Рўйхат!V:V)</f>
        <v/>
      </c>
      <c r="V60" s="18">
        <f>+SUMIF(Рўйхат!$C:$C,$B60,Рўйхат!W:W)</f>
        <v/>
      </c>
      <c r="W60" s="18">
        <f>+SUMIF(Рўйхат!$C:$C,$B60,Рўйхат!X:X)</f>
        <v/>
      </c>
      <c r="X60" s="18">
        <f>+SUMIF(Рўйхат!$C:$C,$B60,Рўйхат!Y:Y)</f>
        <v/>
      </c>
      <c r="Y60" s="18">
        <f>+SUMIF(Рўйхат!$C:$C,$B60,Рўйхат!Z:Z)</f>
        <v/>
      </c>
      <c r="Z60" s="17">
        <f>+SUMIF(Рўйхат!$C:$C,$B60,Рўйхат!AA:AA)</f>
        <v/>
      </c>
      <c r="AA60" s="18">
        <f>+SUMIF(Рўйхат!$C:$C,$B60,Рўйхат!AB:AB)</f>
        <v/>
      </c>
      <c r="AB60" s="18">
        <f>+SUMIF(Рўйхат!$C:$C,$B60,Рўйхат!AC:AC)</f>
        <v/>
      </c>
      <c r="AC60" s="18">
        <f>+SUMIF(Рўйхат!$C:$C,$B60,Рўйхат!AD:AD)</f>
        <v/>
      </c>
      <c r="AD60" s="18">
        <f>+SUMIF(Рўйхат!$C:$C,$B60,Рўйхат!AE:AE)</f>
        <v/>
      </c>
      <c r="AE60" s="17">
        <f>+SUMIF(Рўйхат!$C:$C,$B60,Рўйхат!AF:AF)</f>
        <v/>
      </c>
      <c r="AF60" s="18">
        <f>+SUMIF(Рўйхат!$C:$C,$B60,Рўйхат!AG:AG)</f>
        <v/>
      </c>
      <c r="AG60" s="18">
        <f>+SUMIF(Рўйхат!$C:$C,$B60,Рўйхат!AH:AH)</f>
        <v/>
      </c>
      <c r="AH60" s="33">
        <f>+SUMIF(Рўйхат!$C:$C,$B60,Рўйхат!AI:AI)</f>
        <v/>
      </c>
      <c r="AI60" s="19">
        <f>+SUMIF(Рўйхат!$C:$C,$B60,Рўйхат!AJ:AJ)</f>
        <v/>
      </c>
    </row>
    <row r="61" ht="17" customHeight="1">
      <c r="A61" s="25">
        <f>+A60+1</f>
        <v/>
      </c>
      <c r="B61" s="26" t="inlineStr">
        <is>
          <t>Бухоро нефтини қайта ишлаш заводи МЧЖ</t>
        </is>
      </c>
      <c r="C61" s="28">
        <f>IF(IFERROR(VLOOKUP(B61,Рўйхат!C:E,2,0),"")="[NULL]","",IFERROR(VLOOKUP(B61,Рўйхат!C:E,2,0),""))</f>
        <v/>
      </c>
      <c r="D61" s="28">
        <f>IFERROR(VLOOKUP(B61,Рўйхат!C:E,3,0),"")</f>
        <v/>
      </c>
      <c r="E61" s="17">
        <f>+SUMIF(Рўйхат!$C:$C,$B61,Рўйхат!G:G)</f>
        <v/>
      </c>
      <c r="F61" s="18">
        <f>+SUMIF(Рўйхат!$C:$C,$B61,Рўйхат!H:H)</f>
        <v/>
      </c>
      <c r="G61" s="18">
        <f>M61</f>
        <v/>
      </c>
      <c r="H61" s="18">
        <f>R61+W61+AB61+AG61</f>
        <v/>
      </c>
      <c r="I61" s="18">
        <f>+SUMIF(Рўйхат!$C:$C,$B61,Рўйхат!J:J)</f>
        <v/>
      </c>
      <c r="J61" s="18">
        <f>+SUMIF(Рўйхат!$C:$C,$B61,Рўйхат!K:K)</f>
        <v/>
      </c>
      <c r="K61" s="17">
        <f>+SUMIF(Рўйхат!$C:$C,$B61,Рўйхат!L:L)</f>
        <v/>
      </c>
      <c r="L61" s="18">
        <f>+SUMIF(Рўйхат!$C:$C,$B61,Рўйхат!M:M)</f>
        <v/>
      </c>
      <c r="M61" s="18">
        <f>+SUMIF(Рўйхат!$C:$C,$B61,Рўйхат!N:N)</f>
        <v/>
      </c>
      <c r="N61" s="18">
        <f>+SUMIF(Рўйхат!$C:$C,$B61,Рўйхат!O:O)</f>
        <v/>
      </c>
      <c r="O61" s="18">
        <f>+SUMIF(Рўйхат!$C:$C,$B61,Рўйхат!P:P)</f>
        <v/>
      </c>
      <c r="P61" s="17">
        <f>+SUMIF(Рўйхат!$C:$C,$B61,Рўйхат!Q:Q)</f>
        <v/>
      </c>
      <c r="Q61" s="18">
        <f>+SUMIF(Рўйхат!$C:$C,$B61,Рўйхат!R:R)</f>
        <v/>
      </c>
      <c r="R61" s="18">
        <f>+SUMIF(Рўйхат!$C:$C,$B61,Рўйхат!S:S)</f>
        <v/>
      </c>
      <c r="S61" s="18">
        <f>+SUMIF(Рўйхат!$C:$C,$B61,Рўйхат!T:T)</f>
        <v/>
      </c>
      <c r="T61" s="18">
        <f>+SUMIF(Рўйхат!$C:$C,$B61,Рўйхат!U:U)</f>
        <v/>
      </c>
      <c r="U61" s="17">
        <f>+SUMIF(Рўйхат!$C:$C,$B61,Рўйхат!V:V)</f>
        <v/>
      </c>
      <c r="V61" s="18">
        <f>+SUMIF(Рўйхат!$C:$C,$B61,Рўйхат!W:W)</f>
        <v/>
      </c>
      <c r="W61" s="18">
        <f>+SUMIF(Рўйхат!$C:$C,$B61,Рўйхат!X:X)</f>
        <v/>
      </c>
      <c r="X61" s="18">
        <f>+SUMIF(Рўйхат!$C:$C,$B61,Рўйхат!Y:Y)</f>
        <v/>
      </c>
      <c r="Y61" s="18">
        <f>+SUMIF(Рўйхат!$C:$C,$B61,Рўйхат!Z:Z)</f>
        <v/>
      </c>
      <c r="Z61" s="17">
        <f>+SUMIF(Рўйхат!$C:$C,$B61,Рўйхат!AA:AA)</f>
        <v/>
      </c>
      <c r="AA61" s="18">
        <f>+SUMIF(Рўйхат!$C:$C,$B61,Рўйхат!AB:AB)</f>
        <v/>
      </c>
      <c r="AB61" s="18">
        <f>+SUMIF(Рўйхат!$C:$C,$B61,Рўйхат!AC:AC)</f>
        <v/>
      </c>
      <c r="AC61" s="18">
        <f>+SUMIF(Рўйхат!$C:$C,$B61,Рўйхат!AD:AD)</f>
        <v/>
      </c>
      <c r="AD61" s="18">
        <f>+SUMIF(Рўйхат!$C:$C,$B61,Рўйхат!AE:AE)</f>
        <v/>
      </c>
      <c r="AE61" s="17">
        <f>+SUMIF(Рўйхат!$C:$C,$B61,Рўйхат!AF:AF)</f>
        <v/>
      </c>
      <c r="AF61" s="18">
        <f>+SUMIF(Рўйхат!$C:$C,$B61,Рўйхат!AG:AG)</f>
        <v/>
      </c>
      <c r="AG61" s="18">
        <f>+SUMIF(Рўйхат!$C:$C,$B61,Рўйхат!AH:AH)</f>
        <v/>
      </c>
      <c r="AH61" s="33">
        <f>+SUMIF(Рўйхат!$C:$C,$B61,Рўйхат!AI:AI)</f>
        <v/>
      </c>
      <c r="AI61" s="19">
        <f>+SUMIF(Рўйхат!$C:$C,$B61,Рўйхат!AJ:AJ)</f>
        <v/>
      </c>
    </row>
    <row r="62" ht="17" customHeight="1">
      <c r="A62" s="25">
        <f>+A61+1</f>
        <v/>
      </c>
      <c r="B62" s="26" t="inlineStr">
        <is>
          <t>Мудофаа вазирлиги</t>
        </is>
      </c>
      <c r="C62" s="28">
        <f>IF(IFERROR(VLOOKUP(B62,Рўйхат!C:E,2,0),"")="[NULL]","",IFERROR(VLOOKUP(B62,Рўйхат!C:E,2,0),""))</f>
        <v/>
      </c>
      <c r="D62" s="28">
        <f>IFERROR(VLOOKUP(B62,Рўйхат!C:E,3,0),"")</f>
        <v/>
      </c>
      <c r="E62" s="17">
        <f>+SUMIF(Рўйхат!$C:$C,$B62,Рўйхат!G:G)</f>
        <v/>
      </c>
      <c r="F62" s="18">
        <f>+SUMIF(Рўйхат!$C:$C,$B62,Рўйхат!H:H)</f>
        <v/>
      </c>
      <c r="G62" s="18">
        <f>M62</f>
        <v/>
      </c>
      <c r="H62" s="18">
        <f>R62+W62+AB62+AG62</f>
        <v/>
      </c>
      <c r="I62" s="18">
        <f>+SUMIF(Рўйхат!$C:$C,$B62,Рўйхат!J:J)</f>
        <v/>
      </c>
      <c r="J62" s="18">
        <f>+SUMIF(Рўйхат!$C:$C,$B62,Рўйхат!K:K)</f>
        <v/>
      </c>
      <c r="K62" s="17">
        <f>+SUMIF(Рўйхат!$C:$C,$B62,Рўйхат!L:L)</f>
        <v/>
      </c>
      <c r="L62" s="18">
        <f>+SUMIF(Рўйхат!$C:$C,$B62,Рўйхат!M:M)</f>
        <v/>
      </c>
      <c r="M62" s="18">
        <f>+SUMIF(Рўйхат!$C:$C,$B62,Рўйхат!N:N)</f>
        <v/>
      </c>
      <c r="N62" s="18">
        <f>+SUMIF(Рўйхат!$C:$C,$B62,Рўйхат!O:O)</f>
        <v/>
      </c>
      <c r="O62" s="18">
        <f>+SUMIF(Рўйхат!$C:$C,$B62,Рўйхат!P:P)</f>
        <v/>
      </c>
      <c r="P62" s="17">
        <f>+SUMIF(Рўйхат!$C:$C,$B62,Рўйхат!Q:Q)</f>
        <v/>
      </c>
      <c r="Q62" s="18">
        <f>+SUMIF(Рўйхат!$C:$C,$B62,Рўйхат!R:R)</f>
        <v/>
      </c>
      <c r="R62" s="18">
        <f>+SUMIF(Рўйхат!$C:$C,$B62,Рўйхат!S:S)</f>
        <v/>
      </c>
      <c r="S62" s="18">
        <f>+SUMIF(Рўйхат!$C:$C,$B62,Рўйхат!T:T)</f>
        <v/>
      </c>
      <c r="T62" s="18">
        <f>+SUMIF(Рўйхат!$C:$C,$B62,Рўйхат!U:U)</f>
        <v/>
      </c>
      <c r="U62" s="17">
        <f>+SUMIF(Рўйхат!$C:$C,$B62,Рўйхат!V:V)</f>
        <v/>
      </c>
      <c r="V62" s="18">
        <f>+SUMIF(Рўйхат!$C:$C,$B62,Рўйхат!W:W)</f>
        <v/>
      </c>
      <c r="W62" s="18">
        <f>+SUMIF(Рўйхат!$C:$C,$B62,Рўйхат!X:X)</f>
        <v/>
      </c>
      <c r="X62" s="18">
        <f>+SUMIF(Рўйхат!$C:$C,$B62,Рўйхат!Y:Y)</f>
        <v/>
      </c>
      <c r="Y62" s="18">
        <f>+SUMIF(Рўйхат!$C:$C,$B62,Рўйхат!Z:Z)</f>
        <v/>
      </c>
      <c r="Z62" s="17">
        <f>+SUMIF(Рўйхат!$C:$C,$B62,Рўйхат!AA:AA)</f>
        <v/>
      </c>
      <c r="AA62" s="18">
        <f>+SUMIF(Рўйхат!$C:$C,$B62,Рўйхат!AB:AB)</f>
        <v/>
      </c>
      <c r="AB62" s="18">
        <f>+SUMIF(Рўйхат!$C:$C,$B62,Рўйхат!AC:AC)</f>
        <v/>
      </c>
      <c r="AC62" s="18">
        <f>+SUMIF(Рўйхат!$C:$C,$B62,Рўйхат!AD:AD)</f>
        <v/>
      </c>
      <c r="AD62" s="18">
        <f>+SUMIF(Рўйхат!$C:$C,$B62,Рўйхат!AE:AE)</f>
        <v/>
      </c>
      <c r="AE62" s="17">
        <f>+SUMIF(Рўйхат!$C:$C,$B62,Рўйхат!AF:AF)</f>
        <v/>
      </c>
      <c r="AF62" s="18">
        <f>+SUMIF(Рўйхат!$C:$C,$B62,Рўйхат!AG:AG)</f>
        <v/>
      </c>
      <c r="AG62" s="18">
        <f>+SUMIF(Рўйхат!$C:$C,$B62,Рўйхат!AH:AH)</f>
        <v/>
      </c>
      <c r="AH62" s="33">
        <f>+SUMIF(Рўйхат!$C:$C,$B62,Рўйхат!AI:AI)</f>
        <v/>
      </c>
      <c r="AI62" s="19">
        <f>+SUMIF(Рўйхат!$C:$C,$B62,Рўйхат!AJ:AJ)</f>
        <v/>
      </c>
    </row>
    <row r="63" ht="17" customHeight="1">
      <c r="A63" s="25">
        <f>+A62+1</f>
        <v/>
      </c>
      <c r="B63" s="26" t="inlineStr">
        <is>
          <t>Ёшлар ишлари агентлиги ДМ</t>
        </is>
      </c>
      <c r="C63" s="28">
        <f>IF(IFERROR(VLOOKUP(B63,Рўйхат!C:E,2,0),"")="[NULL]","",IFERROR(VLOOKUP(B63,Рўйхат!C:E,2,0),""))</f>
        <v/>
      </c>
      <c r="D63" s="28">
        <f>IFERROR(VLOOKUP(B63,Рўйхат!C:E,3,0),"")</f>
        <v/>
      </c>
      <c r="E63" s="17">
        <f>+SUMIF(Рўйхат!$C:$C,$B63,Рўйхат!G:G)</f>
        <v/>
      </c>
      <c r="F63" s="18">
        <f>+SUMIF(Рўйхат!$C:$C,$B63,Рўйхат!H:H)</f>
        <v/>
      </c>
      <c r="G63" s="18">
        <f>M63</f>
        <v/>
      </c>
      <c r="H63" s="18">
        <f>R63+W63+AB63+AG63</f>
        <v/>
      </c>
      <c r="I63" s="18">
        <f>+SUMIF(Рўйхат!$C:$C,$B63,Рўйхат!J:J)</f>
        <v/>
      </c>
      <c r="J63" s="18">
        <f>+SUMIF(Рўйхат!$C:$C,$B63,Рўйхат!K:K)</f>
        <v/>
      </c>
      <c r="K63" s="17">
        <f>+SUMIF(Рўйхат!$C:$C,$B63,Рўйхат!L:L)</f>
        <v/>
      </c>
      <c r="L63" s="18">
        <f>+SUMIF(Рўйхат!$C:$C,$B63,Рўйхат!M:M)</f>
        <v/>
      </c>
      <c r="M63" s="18">
        <f>+SUMIF(Рўйхат!$C:$C,$B63,Рўйхат!N:N)</f>
        <v/>
      </c>
      <c r="N63" s="18">
        <f>+SUMIF(Рўйхат!$C:$C,$B63,Рўйхат!O:O)</f>
        <v/>
      </c>
      <c r="O63" s="18">
        <f>+SUMIF(Рўйхат!$C:$C,$B63,Рўйхат!P:P)</f>
        <v/>
      </c>
      <c r="P63" s="17">
        <f>+SUMIF(Рўйхат!$C:$C,$B63,Рўйхат!Q:Q)</f>
        <v/>
      </c>
      <c r="Q63" s="18">
        <f>+SUMIF(Рўйхат!$C:$C,$B63,Рўйхат!R:R)</f>
        <v/>
      </c>
      <c r="R63" s="18">
        <f>+SUMIF(Рўйхат!$C:$C,$B63,Рўйхат!S:S)</f>
        <v/>
      </c>
      <c r="S63" s="18">
        <f>+SUMIF(Рўйхат!$C:$C,$B63,Рўйхат!T:T)</f>
        <v/>
      </c>
      <c r="T63" s="18">
        <f>+SUMIF(Рўйхат!$C:$C,$B63,Рўйхат!U:U)</f>
        <v/>
      </c>
      <c r="U63" s="17">
        <f>+SUMIF(Рўйхат!$C:$C,$B63,Рўйхат!V:V)</f>
        <v/>
      </c>
      <c r="V63" s="18">
        <f>+SUMIF(Рўйхат!$C:$C,$B63,Рўйхат!W:W)</f>
        <v/>
      </c>
      <c r="W63" s="18">
        <f>+SUMIF(Рўйхат!$C:$C,$B63,Рўйхат!X:X)</f>
        <v/>
      </c>
      <c r="X63" s="18">
        <f>+SUMIF(Рўйхат!$C:$C,$B63,Рўйхат!Y:Y)</f>
        <v/>
      </c>
      <c r="Y63" s="18">
        <f>+SUMIF(Рўйхат!$C:$C,$B63,Рўйхат!Z:Z)</f>
        <v/>
      </c>
      <c r="Z63" s="17">
        <f>+SUMIF(Рўйхат!$C:$C,$B63,Рўйхат!AA:AA)</f>
        <v/>
      </c>
      <c r="AA63" s="18">
        <f>+SUMIF(Рўйхат!$C:$C,$B63,Рўйхат!AB:AB)</f>
        <v/>
      </c>
      <c r="AB63" s="18">
        <f>+SUMIF(Рўйхат!$C:$C,$B63,Рўйхат!AC:AC)</f>
        <v/>
      </c>
      <c r="AC63" s="18">
        <f>+SUMIF(Рўйхат!$C:$C,$B63,Рўйхат!AD:AD)</f>
        <v/>
      </c>
      <c r="AD63" s="18">
        <f>+SUMIF(Рўйхат!$C:$C,$B63,Рўйхат!AE:AE)</f>
        <v/>
      </c>
      <c r="AE63" s="17">
        <f>+SUMIF(Рўйхат!$C:$C,$B63,Рўйхат!AF:AF)</f>
        <v/>
      </c>
      <c r="AF63" s="18">
        <f>+SUMIF(Рўйхат!$C:$C,$B63,Рўйхат!AG:AG)</f>
        <v/>
      </c>
      <c r="AG63" s="18">
        <f>+SUMIF(Рўйхат!$C:$C,$B63,Рўйхат!AH:AH)</f>
        <v/>
      </c>
      <c r="AH63" s="33">
        <f>+SUMIF(Рўйхат!$C:$C,$B63,Рўйхат!AI:AI)</f>
        <v/>
      </c>
      <c r="AI63" s="19">
        <f>+SUMIF(Рўйхат!$C:$C,$B63,Рўйхат!AJ:AJ)</f>
        <v/>
      </c>
    </row>
    <row r="64" ht="34" customHeight="1">
      <c r="A64" s="25">
        <f>+A63+1</f>
        <v/>
      </c>
      <c r="B64" s="26" t="inlineStr">
        <is>
          <t>Ўзбекистон Республикаси Президенти Администрацияси Маъмурий бинолардан фойдаланиш бошқармаси ДМ</t>
        </is>
      </c>
      <c r="C64" s="28">
        <f>IF(IFERROR(VLOOKUP(B64,Рўйхат!C:E,2,0),"")="[NULL]","",IFERROR(VLOOKUP(B64,Рўйхат!C:E,2,0),""))</f>
        <v/>
      </c>
      <c r="D64" s="28">
        <f>IFERROR(VLOOKUP(B64,Рўйхат!C:E,3,0),"")</f>
        <v/>
      </c>
      <c r="E64" s="17">
        <f>+SUMIF(Рўйхат!$C:$C,$B64,Рўйхат!G:G)</f>
        <v/>
      </c>
      <c r="F64" s="18">
        <f>+SUMIF(Рўйхат!$C:$C,$B64,Рўйхат!H:H)</f>
        <v/>
      </c>
      <c r="G64" s="18">
        <f>M64</f>
        <v/>
      </c>
      <c r="H64" s="18">
        <f>R64+W64+AB64+AG64</f>
        <v/>
      </c>
      <c r="I64" s="18">
        <f>+SUMIF(Рўйхат!$C:$C,$B64,Рўйхат!J:J)</f>
        <v/>
      </c>
      <c r="J64" s="18">
        <f>+SUMIF(Рўйхат!$C:$C,$B64,Рўйхат!K:K)</f>
        <v/>
      </c>
      <c r="K64" s="17">
        <f>+SUMIF(Рўйхат!$C:$C,$B64,Рўйхат!L:L)</f>
        <v/>
      </c>
      <c r="L64" s="18">
        <f>+SUMIF(Рўйхат!$C:$C,$B64,Рўйхат!M:M)</f>
        <v/>
      </c>
      <c r="M64" s="18">
        <f>+SUMIF(Рўйхат!$C:$C,$B64,Рўйхат!N:N)</f>
        <v/>
      </c>
      <c r="N64" s="18">
        <f>+SUMIF(Рўйхат!$C:$C,$B64,Рўйхат!O:O)</f>
        <v/>
      </c>
      <c r="O64" s="18">
        <f>+SUMIF(Рўйхат!$C:$C,$B64,Рўйхат!P:P)</f>
        <v/>
      </c>
      <c r="P64" s="17">
        <f>+SUMIF(Рўйхат!$C:$C,$B64,Рўйхат!Q:Q)</f>
        <v/>
      </c>
      <c r="Q64" s="18">
        <f>+SUMIF(Рўйхат!$C:$C,$B64,Рўйхат!R:R)</f>
        <v/>
      </c>
      <c r="R64" s="18">
        <f>+SUMIF(Рўйхат!$C:$C,$B64,Рўйхат!S:S)</f>
        <v/>
      </c>
      <c r="S64" s="18">
        <f>+SUMIF(Рўйхат!$C:$C,$B64,Рўйхат!T:T)</f>
        <v/>
      </c>
      <c r="T64" s="18">
        <f>+SUMIF(Рўйхат!$C:$C,$B64,Рўйхат!U:U)</f>
        <v/>
      </c>
      <c r="U64" s="17">
        <f>+SUMIF(Рўйхат!$C:$C,$B64,Рўйхат!V:V)</f>
        <v/>
      </c>
      <c r="V64" s="18">
        <f>+SUMIF(Рўйхат!$C:$C,$B64,Рўйхат!W:W)</f>
        <v/>
      </c>
      <c r="W64" s="18">
        <f>+SUMIF(Рўйхат!$C:$C,$B64,Рўйхат!X:X)</f>
        <v/>
      </c>
      <c r="X64" s="18">
        <f>+SUMIF(Рўйхат!$C:$C,$B64,Рўйхат!Y:Y)</f>
        <v/>
      </c>
      <c r="Y64" s="18">
        <f>+SUMIF(Рўйхат!$C:$C,$B64,Рўйхат!Z:Z)</f>
        <v/>
      </c>
      <c r="Z64" s="17">
        <f>+SUMIF(Рўйхат!$C:$C,$B64,Рўйхат!AA:AA)</f>
        <v/>
      </c>
      <c r="AA64" s="18">
        <f>+SUMIF(Рўйхат!$C:$C,$B64,Рўйхат!AB:AB)</f>
        <v/>
      </c>
      <c r="AB64" s="18">
        <f>+SUMIF(Рўйхат!$C:$C,$B64,Рўйхат!AC:AC)</f>
        <v/>
      </c>
      <c r="AC64" s="18">
        <f>+SUMIF(Рўйхат!$C:$C,$B64,Рўйхат!AD:AD)</f>
        <v/>
      </c>
      <c r="AD64" s="18">
        <f>+SUMIF(Рўйхат!$C:$C,$B64,Рўйхат!AE:AE)</f>
        <v/>
      </c>
      <c r="AE64" s="17">
        <f>+SUMIF(Рўйхат!$C:$C,$B64,Рўйхат!AF:AF)</f>
        <v/>
      </c>
      <c r="AF64" s="18">
        <f>+SUMIF(Рўйхат!$C:$C,$B64,Рўйхат!AG:AG)</f>
        <v/>
      </c>
      <c r="AG64" s="18">
        <f>+SUMIF(Рўйхат!$C:$C,$B64,Рўйхат!AH:AH)</f>
        <v/>
      </c>
      <c r="AH64" s="33">
        <f>+SUMIF(Рўйхат!$C:$C,$B64,Рўйхат!AI:AI)</f>
        <v/>
      </c>
      <c r="AI64" s="19">
        <f>+SUMIF(Рўйхат!$C:$C,$B64,Рўйхат!AJ:AJ)</f>
        <v/>
      </c>
    </row>
    <row r="65" ht="34" customHeight="1">
      <c r="A65" s="25">
        <f>+A64+1</f>
        <v/>
      </c>
      <c r="B65" s="26" t="inlineStr">
        <is>
          <t>Микрокредитбанк АТБ</t>
        </is>
      </c>
      <c r="C65" s="28">
        <f>IF(IFERROR(VLOOKUP(B65,Рўйхат!C:E,2,0),"")="[NULL]","",IFERROR(VLOOKUP(B65,Рўйхат!C:E,2,0),""))</f>
        <v/>
      </c>
      <c r="D65" s="28">
        <f>IFERROR(VLOOKUP(B65,Рўйхат!C:E,3,0),"")</f>
        <v/>
      </c>
      <c r="E65" s="17">
        <f>+SUMIF(Рўйхат!$C:$C,$B65,Рўйхат!G:G)</f>
        <v/>
      </c>
      <c r="F65" s="18">
        <f>+SUMIF(Рўйхат!$C:$C,$B65,Рўйхат!H:H)</f>
        <v/>
      </c>
      <c r="G65" s="18">
        <f>M65</f>
        <v/>
      </c>
      <c r="H65" s="18">
        <f>R65+W65+AB65+AG65</f>
        <v/>
      </c>
      <c r="I65" s="18">
        <f>+SUMIF(Рўйхат!$C:$C,$B65,Рўйхат!J:J)</f>
        <v/>
      </c>
      <c r="J65" s="18">
        <f>+SUMIF(Рўйхат!$C:$C,$B65,Рўйхат!K:K)</f>
        <v/>
      </c>
      <c r="K65" s="17">
        <f>+SUMIF(Рўйхат!$C:$C,$B65,Рўйхат!L:L)</f>
        <v/>
      </c>
      <c r="L65" s="18">
        <f>+SUMIF(Рўйхат!$C:$C,$B65,Рўйхат!M:M)</f>
        <v/>
      </c>
      <c r="M65" s="18">
        <f>+SUMIF(Рўйхат!$C:$C,$B65,Рўйхат!N:N)</f>
        <v/>
      </c>
      <c r="N65" s="18">
        <f>+SUMIF(Рўйхат!$C:$C,$B65,Рўйхат!O:O)</f>
        <v/>
      </c>
      <c r="O65" s="18">
        <f>+SUMIF(Рўйхат!$C:$C,$B65,Рўйхат!P:P)</f>
        <v/>
      </c>
      <c r="P65" s="17">
        <f>+SUMIF(Рўйхат!$C:$C,$B65,Рўйхат!Q:Q)</f>
        <v/>
      </c>
      <c r="Q65" s="18">
        <f>+SUMIF(Рўйхат!$C:$C,$B65,Рўйхат!R:R)</f>
        <v/>
      </c>
      <c r="R65" s="18">
        <f>+SUMIF(Рўйхат!$C:$C,$B65,Рўйхат!S:S)</f>
        <v/>
      </c>
      <c r="S65" s="18">
        <f>+SUMIF(Рўйхат!$C:$C,$B65,Рўйхат!T:T)</f>
        <v/>
      </c>
      <c r="T65" s="18">
        <f>+SUMIF(Рўйхат!$C:$C,$B65,Рўйхат!U:U)</f>
        <v/>
      </c>
      <c r="U65" s="17">
        <f>+SUMIF(Рўйхат!$C:$C,$B65,Рўйхат!V:V)</f>
        <v/>
      </c>
      <c r="V65" s="18">
        <f>+SUMIF(Рўйхат!$C:$C,$B65,Рўйхат!W:W)</f>
        <v/>
      </c>
      <c r="W65" s="18">
        <f>+SUMIF(Рўйхат!$C:$C,$B65,Рўйхат!X:X)</f>
        <v/>
      </c>
      <c r="X65" s="18">
        <f>+SUMIF(Рўйхат!$C:$C,$B65,Рўйхат!Y:Y)</f>
        <v/>
      </c>
      <c r="Y65" s="18">
        <f>+SUMIF(Рўйхат!$C:$C,$B65,Рўйхат!Z:Z)</f>
        <v/>
      </c>
      <c r="Z65" s="17">
        <f>+SUMIF(Рўйхат!$C:$C,$B65,Рўйхат!AA:AA)</f>
        <v/>
      </c>
      <c r="AA65" s="18">
        <f>+SUMIF(Рўйхат!$C:$C,$B65,Рўйхат!AB:AB)</f>
        <v/>
      </c>
      <c r="AB65" s="18">
        <f>+SUMIF(Рўйхат!$C:$C,$B65,Рўйхат!AC:AC)</f>
        <v/>
      </c>
      <c r="AC65" s="18">
        <f>+SUMIF(Рўйхат!$C:$C,$B65,Рўйхат!AD:AD)</f>
        <v/>
      </c>
      <c r="AD65" s="18">
        <f>+SUMIF(Рўйхат!$C:$C,$B65,Рўйхат!AE:AE)</f>
        <v/>
      </c>
      <c r="AE65" s="17">
        <f>+SUMIF(Рўйхат!$C:$C,$B65,Рўйхат!AF:AF)</f>
        <v/>
      </c>
      <c r="AF65" s="18">
        <f>+SUMIF(Рўйхат!$C:$C,$B65,Рўйхат!AG:AG)</f>
        <v/>
      </c>
      <c r="AG65" s="18">
        <f>+SUMIF(Рўйхат!$C:$C,$B65,Рўйхат!AH:AH)</f>
        <v/>
      </c>
      <c r="AH65" s="33">
        <f>+SUMIF(Рўйхат!$C:$C,$B65,Рўйхат!AI:AI)</f>
        <v/>
      </c>
      <c r="AI65" s="19">
        <f>+SUMIF(Рўйхат!$C:$C,$B65,Рўйхат!AJ:AJ)</f>
        <v/>
      </c>
    </row>
    <row r="66" ht="34" customHeight="1">
      <c r="A66" s="25">
        <f>+A65+1</f>
        <v/>
      </c>
      <c r="B66" s="26" t="inlineStr">
        <is>
          <t>Рақамли технологиялар вазирлиги</t>
        </is>
      </c>
      <c r="C66" s="28">
        <f>IF(IFERROR(VLOOKUP(B66,Рўйхат!C:E,2,0),"")="[NULL]","",IFERROR(VLOOKUP(B66,Рўйхат!C:E,2,0),""))</f>
        <v/>
      </c>
      <c r="D66" s="28">
        <f>IFERROR(VLOOKUP(B66,Рўйхат!C:E,3,0),"")</f>
        <v/>
      </c>
      <c r="E66" s="17">
        <f>+SUMIF(Рўйхат!$C:$C,$B66,Рўйхат!G:G)</f>
        <v/>
      </c>
      <c r="F66" s="18">
        <f>+SUMIF(Рўйхат!$C:$C,$B66,Рўйхат!H:H)</f>
        <v/>
      </c>
      <c r="G66" s="18">
        <f>M66</f>
        <v/>
      </c>
      <c r="H66" s="18">
        <f>R66+W66+AB66+AG66</f>
        <v/>
      </c>
      <c r="I66" s="18">
        <f>+SUMIF(Рўйхат!$C:$C,$B66,Рўйхат!J:J)</f>
        <v/>
      </c>
      <c r="J66" s="18">
        <f>+SUMIF(Рўйхат!$C:$C,$B66,Рўйхат!K:K)</f>
        <v/>
      </c>
      <c r="K66" s="17">
        <f>+SUMIF(Рўйхат!$C:$C,$B66,Рўйхат!L:L)</f>
        <v/>
      </c>
      <c r="L66" s="18">
        <f>+SUMIF(Рўйхат!$C:$C,$B66,Рўйхат!M:M)</f>
        <v/>
      </c>
      <c r="M66" s="18">
        <f>+SUMIF(Рўйхат!$C:$C,$B66,Рўйхат!N:N)</f>
        <v/>
      </c>
      <c r="N66" s="18">
        <f>+SUMIF(Рўйхат!$C:$C,$B66,Рўйхат!O:O)</f>
        <v/>
      </c>
      <c r="O66" s="18">
        <f>+SUMIF(Рўйхат!$C:$C,$B66,Рўйхат!P:P)</f>
        <v/>
      </c>
      <c r="P66" s="17">
        <f>+SUMIF(Рўйхат!$C:$C,$B66,Рўйхат!Q:Q)</f>
        <v/>
      </c>
      <c r="Q66" s="18">
        <f>+SUMIF(Рўйхат!$C:$C,$B66,Рўйхат!R:R)</f>
        <v/>
      </c>
      <c r="R66" s="18">
        <f>+SUMIF(Рўйхат!$C:$C,$B66,Рўйхат!S:S)</f>
        <v/>
      </c>
      <c r="S66" s="18">
        <f>+SUMIF(Рўйхат!$C:$C,$B66,Рўйхат!T:T)</f>
        <v/>
      </c>
      <c r="T66" s="18">
        <f>+SUMIF(Рўйхат!$C:$C,$B66,Рўйхат!U:U)</f>
        <v/>
      </c>
      <c r="U66" s="17">
        <f>+SUMIF(Рўйхат!$C:$C,$B66,Рўйхат!V:V)</f>
        <v/>
      </c>
      <c r="V66" s="18">
        <f>+SUMIF(Рўйхат!$C:$C,$B66,Рўйхат!W:W)</f>
        <v/>
      </c>
      <c r="W66" s="18">
        <f>+SUMIF(Рўйхат!$C:$C,$B66,Рўйхат!X:X)</f>
        <v/>
      </c>
      <c r="X66" s="18">
        <f>+SUMIF(Рўйхат!$C:$C,$B66,Рўйхат!Y:Y)</f>
        <v/>
      </c>
      <c r="Y66" s="18">
        <f>+SUMIF(Рўйхат!$C:$C,$B66,Рўйхат!Z:Z)</f>
        <v/>
      </c>
      <c r="Z66" s="17">
        <f>+SUMIF(Рўйхат!$C:$C,$B66,Рўйхат!AA:AA)</f>
        <v/>
      </c>
      <c r="AA66" s="18">
        <f>+SUMIF(Рўйхат!$C:$C,$B66,Рўйхат!AB:AB)</f>
        <v/>
      </c>
      <c r="AB66" s="18">
        <f>+SUMIF(Рўйхат!$C:$C,$B66,Рўйхат!AC:AC)</f>
        <v/>
      </c>
      <c r="AC66" s="18">
        <f>+SUMIF(Рўйхат!$C:$C,$B66,Рўйхат!AD:AD)</f>
        <v/>
      </c>
      <c r="AD66" s="18">
        <f>+SUMIF(Рўйхат!$C:$C,$B66,Рўйхат!AE:AE)</f>
        <v/>
      </c>
      <c r="AE66" s="17">
        <f>+SUMIF(Рўйхат!$C:$C,$B66,Рўйхат!AF:AF)</f>
        <v/>
      </c>
      <c r="AF66" s="18">
        <f>+SUMIF(Рўйхат!$C:$C,$B66,Рўйхат!AG:AG)</f>
        <v/>
      </c>
      <c r="AG66" s="18">
        <f>+SUMIF(Рўйхат!$C:$C,$B66,Рўйхат!AH:AH)</f>
        <v/>
      </c>
      <c r="AH66" s="33">
        <f>+SUMIF(Рўйхат!$C:$C,$B66,Рўйхат!AI:AI)</f>
        <v/>
      </c>
      <c r="AI66" s="19">
        <f>+SUMIF(Рўйхат!$C:$C,$B66,Рўйхат!AJ:AJ)</f>
        <v/>
      </c>
    </row>
    <row r="67" ht="17" customHeight="1">
      <c r="A67" s="25">
        <f>+A66+1</f>
        <v/>
      </c>
      <c r="B67" s="26" t="inlineStr">
        <is>
          <t>Эл-юрт умиди жамғармаси</t>
        </is>
      </c>
      <c r="C67" s="28">
        <f>IF(IFERROR(VLOOKUP(B67,Рўйхат!C:E,2,0),"")="[NULL]","",IFERROR(VLOOKUP(B67,Рўйхат!C:E,2,0),""))</f>
        <v/>
      </c>
      <c r="D67" s="28">
        <f>IFERROR(VLOOKUP(B67,Рўйхат!C:E,3,0),"")</f>
        <v/>
      </c>
      <c r="E67" s="17">
        <f>+SUMIF(Рўйхат!$C:$C,$B67,Рўйхат!G:G)</f>
        <v/>
      </c>
      <c r="F67" s="18">
        <f>+SUMIF(Рўйхат!$C:$C,$B67,Рўйхат!H:H)</f>
        <v/>
      </c>
      <c r="G67" s="18">
        <f>M67</f>
        <v/>
      </c>
      <c r="H67" s="18">
        <f>R67+W67+AB67+AG67</f>
        <v/>
      </c>
      <c r="I67" s="18">
        <f>+SUMIF(Рўйхат!$C:$C,$B67,Рўйхат!J:J)</f>
        <v/>
      </c>
      <c r="J67" s="18">
        <f>+SUMIF(Рўйхат!$C:$C,$B67,Рўйхат!K:K)</f>
        <v/>
      </c>
      <c r="K67" s="17">
        <f>+SUMIF(Рўйхат!$C:$C,$B67,Рўйхат!L:L)</f>
        <v/>
      </c>
      <c r="L67" s="18">
        <f>+SUMIF(Рўйхат!$C:$C,$B67,Рўйхат!M:M)</f>
        <v/>
      </c>
      <c r="M67" s="18">
        <f>+SUMIF(Рўйхат!$C:$C,$B67,Рўйхат!N:N)</f>
        <v/>
      </c>
      <c r="N67" s="18">
        <f>+SUMIF(Рўйхат!$C:$C,$B67,Рўйхат!O:O)</f>
        <v/>
      </c>
      <c r="O67" s="18">
        <f>+SUMIF(Рўйхат!$C:$C,$B67,Рўйхат!P:P)</f>
        <v/>
      </c>
      <c r="P67" s="17">
        <f>+SUMIF(Рўйхат!$C:$C,$B67,Рўйхат!Q:Q)</f>
        <v/>
      </c>
      <c r="Q67" s="18">
        <f>+SUMIF(Рўйхат!$C:$C,$B67,Рўйхат!R:R)</f>
        <v/>
      </c>
      <c r="R67" s="18">
        <f>+SUMIF(Рўйхат!$C:$C,$B67,Рўйхат!S:S)</f>
        <v/>
      </c>
      <c r="S67" s="18">
        <f>+SUMIF(Рўйхат!$C:$C,$B67,Рўйхат!T:T)</f>
        <v/>
      </c>
      <c r="T67" s="18">
        <f>+SUMIF(Рўйхат!$C:$C,$B67,Рўйхат!U:U)</f>
        <v/>
      </c>
      <c r="U67" s="17">
        <f>+SUMIF(Рўйхат!$C:$C,$B67,Рўйхат!V:V)</f>
        <v/>
      </c>
      <c r="V67" s="18">
        <f>+SUMIF(Рўйхат!$C:$C,$B67,Рўйхат!W:W)</f>
        <v/>
      </c>
      <c r="W67" s="18">
        <f>+SUMIF(Рўйхат!$C:$C,$B67,Рўйхат!X:X)</f>
        <v/>
      </c>
      <c r="X67" s="18">
        <f>+SUMIF(Рўйхат!$C:$C,$B67,Рўйхат!Y:Y)</f>
        <v/>
      </c>
      <c r="Y67" s="18">
        <f>+SUMIF(Рўйхат!$C:$C,$B67,Рўйхат!Z:Z)</f>
        <v/>
      </c>
      <c r="Z67" s="17">
        <f>+SUMIF(Рўйхат!$C:$C,$B67,Рўйхат!AA:AA)</f>
        <v/>
      </c>
      <c r="AA67" s="18">
        <f>+SUMIF(Рўйхат!$C:$C,$B67,Рўйхат!AB:AB)</f>
        <v/>
      </c>
      <c r="AB67" s="18">
        <f>+SUMIF(Рўйхат!$C:$C,$B67,Рўйхат!AC:AC)</f>
        <v/>
      </c>
      <c r="AC67" s="18">
        <f>+SUMIF(Рўйхат!$C:$C,$B67,Рўйхат!AD:AD)</f>
        <v/>
      </c>
      <c r="AD67" s="18">
        <f>+SUMIF(Рўйхат!$C:$C,$B67,Рўйхат!AE:AE)</f>
        <v/>
      </c>
      <c r="AE67" s="17">
        <f>+SUMIF(Рўйхат!$C:$C,$B67,Рўйхат!AF:AF)</f>
        <v/>
      </c>
      <c r="AF67" s="18">
        <f>+SUMIF(Рўйхат!$C:$C,$B67,Рўйхат!AG:AG)</f>
        <v/>
      </c>
      <c r="AG67" s="18">
        <f>+SUMIF(Рўйхат!$C:$C,$B67,Рўйхат!AH:AH)</f>
        <v/>
      </c>
      <c r="AH67" s="33">
        <f>+SUMIF(Рўйхат!$C:$C,$B67,Рўйхат!AI:AI)</f>
        <v/>
      </c>
      <c r="AI67" s="19">
        <f>+SUMIF(Рўйхат!$C:$C,$B67,Рўйхат!AJ:AJ)</f>
        <v/>
      </c>
    </row>
    <row r="68" ht="34" customHeight="1">
      <c r="A68" s="25">
        <f>+A67+1</f>
        <v/>
      </c>
      <c r="B68" s="26" t="inlineStr">
        <is>
          <t>Ўзбекинвест экспорт-импорт суғурта компанияси АЖ</t>
        </is>
      </c>
      <c r="C68" s="28">
        <f>IF(IFERROR(VLOOKUP(B68,Рўйхат!C:E,2,0),"")="[NULL]","",IFERROR(VLOOKUP(B68,Рўйхат!C:E,2,0),""))</f>
        <v/>
      </c>
      <c r="D68" s="28">
        <f>IFERROR(VLOOKUP(B68,Рўйхат!C:E,3,0),"")</f>
        <v/>
      </c>
      <c r="E68" s="17">
        <f>+SUMIF(Рўйхат!$C:$C,$B68,Рўйхат!G:G)</f>
        <v/>
      </c>
      <c r="F68" s="18">
        <f>+SUMIF(Рўйхат!$C:$C,$B68,Рўйхат!H:H)</f>
        <v/>
      </c>
      <c r="G68" s="18">
        <f>M68</f>
        <v/>
      </c>
      <c r="H68" s="18">
        <f>R68+W68+AB68+AG68</f>
        <v/>
      </c>
      <c r="I68" s="18">
        <f>+SUMIF(Рўйхат!$C:$C,$B68,Рўйхат!J:J)</f>
        <v/>
      </c>
      <c r="J68" s="18">
        <f>+SUMIF(Рўйхат!$C:$C,$B68,Рўйхат!K:K)</f>
        <v/>
      </c>
      <c r="K68" s="17">
        <f>+SUMIF(Рўйхат!$C:$C,$B68,Рўйхат!L:L)</f>
        <v/>
      </c>
      <c r="L68" s="18">
        <f>+SUMIF(Рўйхат!$C:$C,$B68,Рўйхат!M:M)</f>
        <v/>
      </c>
      <c r="M68" s="18">
        <f>+SUMIF(Рўйхат!$C:$C,$B68,Рўйхат!N:N)</f>
        <v/>
      </c>
      <c r="N68" s="18">
        <f>+SUMIF(Рўйхат!$C:$C,$B68,Рўйхат!O:O)</f>
        <v/>
      </c>
      <c r="O68" s="18">
        <f>+SUMIF(Рўйхат!$C:$C,$B68,Рўйхат!P:P)</f>
        <v/>
      </c>
      <c r="P68" s="17">
        <f>+SUMIF(Рўйхат!$C:$C,$B68,Рўйхат!Q:Q)</f>
        <v/>
      </c>
      <c r="Q68" s="18">
        <f>+SUMIF(Рўйхат!$C:$C,$B68,Рўйхат!R:R)</f>
        <v/>
      </c>
      <c r="R68" s="18">
        <f>+SUMIF(Рўйхат!$C:$C,$B68,Рўйхат!S:S)</f>
        <v/>
      </c>
      <c r="S68" s="18">
        <f>+SUMIF(Рўйхат!$C:$C,$B68,Рўйхат!T:T)</f>
        <v/>
      </c>
      <c r="T68" s="18">
        <f>+SUMIF(Рўйхат!$C:$C,$B68,Рўйхат!U:U)</f>
        <v/>
      </c>
      <c r="U68" s="17">
        <f>+SUMIF(Рўйхат!$C:$C,$B68,Рўйхат!V:V)</f>
        <v/>
      </c>
      <c r="V68" s="18">
        <f>+SUMIF(Рўйхат!$C:$C,$B68,Рўйхат!W:W)</f>
        <v/>
      </c>
      <c r="W68" s="18">
        <f>+SUMIF(Рўйхат!$C:$C,$B68,Рўйхат!X:X)</f>
        <v/>
      </c>
      <c r="X68" s="18">
        <f>+SUMIF(Рўйхат!$C:$C,$B68,Рўйхат!Y:Y)</f>
        <v/>
      </c>
      <c r="Y68" s="18">
        <f>+SUMIF(Рўйхат!$C:$C,$B68,Рўйхат!Z:Z)</f>
        <v/>
      </c>
      <c r="Z68" s="17">
        <f>+SUMIF(Рўйхат!$C:$C,$B68,Рўйхат!AA:AA)</f>
        <v/>
      </c>
      <c r="AA68" s="18">
        <f>+SUMIF(Рўйхат!$C:$C,$B68,Рўйхат!AB:AB)</f>
        <v/>
      </c>
      <c r="AB68" s="18">
        <f>+SUMIF(Рўйхат!$C:$C,$B68,Рўйхат!AC:AC)</f>
        <v/>
      </c>
      <c r="AC68" s="18">
        <f>+SUMIF(Рўйхат!$C:$C,$B68,Рўйхат!AD:AD)</f>
        <v/>
      </c>
      <c r="AD68" s="18">
        <f>+SUMIF(Рўйхат!$C:$C,$B68,Рўйхат!AE:AE)</f>
        <v/>
      </c>
      <c r="AE68" s="17">
        <f>+SUMIF(Рўйхат!$C:$C,$B68,Рўйхат!AF:AF)</f>
        <v/>
      </c>
      <c r="AF68" s="18">
        <f>+SUMIF(Рўйхат!$C:$C,$B68,Рўйхат!AG:AG)</f>
        <v/>
      </c>
      <c r="AG68" s="18">
        <f>+SUMIF(Рўйхат!$C:$C,$B68,Рўйхат!AH:AH)</f>
        <v/>
      </c>
      <c r="AH68" s="33">
        <f>+SUMIF(Рўйхат!$C:$C,$B68,Рўйхат!AI:AI)</f>
        <v/>
      </c>
      <c r="AI68" s="19">
        <f>+SUMIF(Рўйхат!$C:$C,$B68,Рўйхат!AJ:AJ)</f>
        <v/>
      </c>
    </row>
    <row r="69" ht="17" customHeight="1">
      <c r="A69" s="25">
        <f>+A68+1</f>
        <v/>
      </c>
      <c r="B69" s="26" t="inlineStr">
        <is>
          <t>Ўзбекистон Республикаси Миллий антидопинг агентлиги</t>
        </is>
      </c>
      <c r="C69" s="28">
        <f>IF(IFERROR(VLOOKUP(B69,Рўйхат!C:E,2,0),"")="[NULL]","",IFERROR(VLOOKUP(B69,Рўйхат!C:E,2,0),""))</f>
        <v/>
      </c>
      <c r="D69" s="28">
        <f>IFERROR(VLOOKUP(B69,Рўйхат!C:E,3,0),"")</f>
        <v/>
      </c>
      <c r="E69" s="17">
        <f>+SUMIF(Рўйхат!$C:$C,$B69,Рўйхат!G:G)</f>
        <v/>
      </c>
      <c r="F69" s="18">
        <f>+SUMIF(Рўйхат!$C:$C,$B69,Рўйхат!H:H)</f>
        <v/>
      </c>
      <c r="G69" s="18">
        <f>M69</f>
        <v/>
      </c>
      <c r="H69" s="18">
        <f>R69+W69+AB69+AG69</f>
        <v/>
      </c>
      <c r="I69" s="18">
        <f>+SUMIF(Рўйхат!$C:$C,$B69,Рўйхат!J:J)</f>
        <v/>
      </c>
      <c r="J69" s="18">
        <f>+SUMIF(Рўйхат!$C:$C,$B69,Рўйхат!K:K)</f>
        <v/>
      </c>
      <c r="K69" s="17">
        <f>+SUMIF(Рўйхат!$C:$C,$B69,Рўйхат!L:L)</f>
        <v/>
      </c>
      <c r="L69" s="18">
        <f>+SUMIF(Рўйхат!$C:$C,$B69,Рўйхат!M:M)</f>
        <v/>
      </c>
      <c r="M69" s="18">
        <f>+SUMIF(Рўйхат!$C:$C,$B69,Рўйхат!N:N)</f>
        <v/>
      </c>
      <c r="N69" s="18">
        <f>+SUMIF(Рўйхат!$C:$C,$B69,Рўйхат!O:O)</f>
        <v/>
      </c>
      <c r="O69" s="18">
        <f>+SUMIF(Рўйхат!$C:$C,$B69,Рўйхат!P:P)</f>
        <v/>
      </c>
      <c r="P69" s="17">
        <f>+SUMIF(Рўйхат!$C:$C,$B69,Рўйхат!Q:Q)</f>
        <v/>
      </c>
      <c r="Q69" s="18">
        <f>+SUMIF(Рўйхат!$C:$C,$B69,Рўйхат!R:R)</f>
        <v/>
      </c>
      <c r="R69" s="18">
        <f>+SUMIF(Рўйхат!$C:$C,$B69,Рўйхат!S:S)</f>
        <v/>
      </c>
      <c r="S69" s="18">
        <f>+SUMIF(Рўйхат!$C:$C,$B69,Рўйхат!T:T)</f>
        <v/>
      </c>
      <c r="T69" s="18">
        <f>+SUMIF(Рўйхат!$C:$C,$B69,Рўйхат!U:U)</f>
        <v/>
      </c>
      <c r="U69" s="17">
        <f>+SUMIF(Рўйхат!$C:$C,$B69,Рўйхат!V:V)</f>
        <v/>
      </c>
      <c r="V69" s="18">
        <f>+SUMIF(Рўйхат!$C:$C,$B69,Рўйхат!W:W)</f>
        <v/>
      </c>
      <c r="W69" s="18">
        <f>+SUMIF(Рўйхат!$C:$C,$B69,Рўйхат!X:X)</f>
        <v/>
      </c>
      <c r="X69" s="18">
        <f>+SUMIF(Рўйхат!$C:$C,$B69,Рўйхат!Y:Y)</f>
        <v/>
      </c>
      <c r="Y69" s="18">
        <f>+SUMIF(Рўйхат!$C:$C,$B69,Рўйхат!Z:Z)</f>
        <v/>
      </c>
      <c r="Z69" s="17">
        <f>+SUMIF(Рўйхат!$C:$C,$B69,Рўйхат!AA:AA)</f>
        <v/>
      </c>
      <c r="AA69" s="18">
        <f>+SUMIF(Рўйхат!$C:$C,$B69,Рўйхат!AB:AB)</f>
        <v/>
      </c>
      <c r="AB69" s="18">
        <f>+SUMIF(Рўйхат!$C:$C,$B69,Рўйхат!AC:AC)</f>
        <v/>
      </c>
      <c r="AC69" s="18">
        <f>+SUMIF(Рўйхат!$C:$C,$B69,Рўйхат!AD:AD)</f>
        <v/>
      </c>
      <c r="AD69" s="18">
        <f>+SUMIF(Рўйхат!$C:$C,$B69,Рўйхат!AE:AE)</f>
        <v/>
      </c>
      <c r="AE69" s="17">
        <f>+SUMIF(Рўйхат!$C:$C,$B69,Рўйхат!AF:AF)</f>
        <v/>
      </c>
      <c r="AF69" s="18">
        <f>+SUMIF(Рўйхат!$C:$C,$B69,Рўйхат!AG:AG)</f>
        <v/>
      </c>
      <c r="AG69" s="18">
        <f>+SUMIF(Рўйхат!$C:$C,$B69,Рўйхат!AH:AH)</f>
        <v/>
      </c>
      <c r="AH69" s="33">
        <f>+SUMIF(Рўйхат!$C:$C,$B69,Рўйхат!AI:AI)</f>
        <v/>
      </c>
      <c r="AI69" s="19">
        <f>+SUMIF(Рўйхат!$C:$C,$B69,Рўйхат!AJ:AJ)</f>
        <v/>
      </c>
    </row>
    <row r="70" ht="17" customHeight="1">
      <c r="A70" s="25">
        <f>+A69+1</f>
        <v/>
      </c>
      <c r="B70" s="26" t="inlineStr">
        <is>
          <t>Ички Ишлар Вазирлиги</t>
        </is>
      </c>
      <c r="C70" s="28">
        <f>IF(IFERROR(VLOOKUP(B70,Рўйхат!C:E,2,0),"")="[NULL]","",IFERROR(VLOOKUP(B70,Рўйхат!C:E,2,0),""))</f>
        <v/>
      </c>
      <c r="D70" s="28">
        <f>IFERROR(VLOOKUP(B70,Рўйхат!C:E,3,0),"")</f>
        <v/>
      </c>
      <c r="E70" s="17">
        <f>+SUMIF(Рўйхат!$C:$C,$B70,Рўйхат!G:G)</f>
        <v/>
      </c>
      <c r="F70" s="18">
        <f>+SUMIF(Рўйхат!$C:$C,$B70,Рўйхат!H:H)</f>
        <v/>
      </c>
      <c r="G70" s="18">
        <f>M70</f>
        <v/>
      </c>
      <c r="H70" s="18">
        <f>R70+W70+AB70+AG70</f>
        <v/>
      </c>
      <c r="I70" s="18">
        <f>+SUMIF(Рўйхат!$C:$C,$B70,Рўйхат!J:J)</f>
        <v/>
      </c>
      <c r="J70" s="18">
        <f>+SUMIF(Рўйхат!$C:$C,$B70,Рўйхат!K:K)</f>
        <v/>
      </c>
      <c r="K70" s="17">
        <f>+SUMIF(Рўйхат!$C:$C,$B70,Рўйхат!L:L)</f>
        <v/>
      </c>
      <c r="L70" s="18">
        <f>+SUMIF(Рўйхат!$C:$C,$B70,Рўйхат!M:M)</f>
        <v/>
      </c>
      <c r="M70" s="18">
        <f>+SUMIF(Рўйхат!$C:$C,$B70,Рўйхат!N:N)</f>
        <v/>
      </c>
      <c r="N70" s="18">
        <f>+SUMIF(Рўйхат!$C:$C,$B70,Рўйхат!O:O)</f>
        <v/>
      </c>
      <c r="O70" s="18">
        <f>+SUMIF(Рўйхат!$C:$C,$B70,Рўйхат!P:P)</f>
        <v/>
      </c>
      <c r="P70" s="17">
        <f>+SUMIF(Рўйхат!$C:$C,$B70,Рўйхат!Q:Q)</f>
        <v/>
      </c>
      <c r="Q70" s="18">
        <f>+SUMIF(Рўйхат!$C:$C,$B70,Рўйхат!R:R)</f>
        <v/>
      </c>
      <c r="R70" s="18">
        <f>+SUMIF(Рўйхат!$C:$C,$B70,Рўйхат!S:S)</f>
        <v/>
      </c>
      <c r="S70" s="18">
        <f>+SUMIF(Рўйхат!$C:$C,$B70,Рўйхат!T:T)</f>
        <v/>
      </c>
      <c r="T70" s="18">
        <f>+SUMIF(Рўйхат!$C:$C,$B70,Рўйхат!U:U)</f>
        <v/>
      </c>
      <c r="U70" s="17">
        <f>+SUMIF(Рўйхат!$C:$C,$B70,Рўйхат!V:V)</f>
        <v/>
      </c>
      <c r="V70" s="18">
        <f>+SUMIF(Рўйхат!$C:$C,$B70,Рўйхат!W:W)</f>
        <v/>
      </c>
      <c r="W70" s="18">
        <f>+SUMIF(Рўйхат!$C:$C,$B70,Рўйхат!X:X)</f>
        <v/>
      </c>
      <c r="X70" s="18">
        <f>+SUMIF(Рўйхат!$C:$C,$B70,Рўйхат!Y:Y)</f>
        <v/>
      </c>
      <c r="Y70" s="18">
        <f>+SUMIF(Рўйхат!$C:$C,$B70,Рўйхат!Z:Z)</f>
        <v/>
      </c>
      <c r="Z70" s="17">
        <f>+SUMIF(Рўйхат!$C:$C,$B70,Рўйхат!AA:AA)</f>
        <v/>
      </c>
      <c r="AA70" s="18">
        <f>+SUMIF(Рўйхат!$C:$C,$B70,Рўйхат!AB:AB)</f>
        <v/>
      </c>
      <c r="AB70" s="18">
        <f>+SUMIF(Рўйхат!$C:$C,$B70,Рўйхат!AC:AC)</f>
        <v/>
      </c>
      <c r="AC70" s="18">
        <f>+SUMIF(Рўйхат!$C:$C,$B70,Рўйхат!AD:AD)</f>
        <v/>
      </c>
      <c r="AD70" s="18">
        <f>+SUMIF(Рўйхат!$C:$C,$B70,Рўйхат!AE:AE)</f>
        <v/>
      </c>
      <c r="AE70" s="17">
        <f>+SUMIF(Рўйхат!$C:$C,$B70,Рўйхат!AF:AF)</f>
        <v/>
      </c>
      <c r="AF70" s="18">
        <f>+SUMIF(Рўйхат!$C:$C,$B70,Рўйхат!AG:AG)</f>
        <v/>
      </c>
      <c r="AG70" s="18">
        <f>+SUMIF(Рўйхат!$C:$C,$B70,Рўйхат!AH:AH)</f>
        <v/>
      </c>
      <c r="AH70" s="33">
        <f>+SUMIF(Рўйхат!$C:$C,$B70,Рўйхат!AI:AI)</f>
        <v/>
      </c>
      <c r="AI70" s="19">
        <f>+SUMIF(Рўйхат!$C:$C,$B70,Рўйхат!AJ:AJ)</f>
        <v/>
      </c>
    </row>
    <row r="71" ht="17" customHeight="1">
      <c r="A71" s="25">
        <f>+A70+1</f>
        <v/>
      </c>
      <c r="B71" s="47" t="inlineStr">
        <is>
          <t>“Ўзсувтаъминот” АЖ</t>
        </is>
      </c>
      <c r="C71" s="28">
        <f>IF(IFERROR(VLOOKUP(B71,Рўйхат!C:E,2,0),"")="[NULL]","",IFERROR(VLOOKUP(B71,Рўйхат!C:E,2,0),""))</f>
        <v/>
      </c>
      <c r="D71" s="28">
        <f>IFERROR(VLOOKUP(B71,Рўйхат!C:E,3,0),"")</f>
        <v/>
      </c>
      <c r="E71" s="17">
        <f>+SUMIF(Рўйхат!$C:$C,$B71,Рўйхат!G:G)</f>
        <v/>
      </c>
      <c r="F71" s="18">
        <f>+SUMIF(Рўйхат!$C:$C,$B71,Рўйхат!H:H)</f>
        <v/>
      </c>
      <c r="G71" s="18">
        <f>M71</f>
        <v/>
      </c>
      <c r="H71" s="18">
        <f>R71+W71+AB71+AG71</f>
        <v/>
      </c>
      <c r="I71" s="18">
        <f>+SUMIF(Рўйхат!$C:$C,$B71,Рўйхат!J:J)</f>
        <v/>
      </c>
      <c r="J71" s="18">
        <f>+SUMIF(Рўйхат!$C:$C,$B71,Рўйхат!K:K)</f>
        <v/>
      </c>
      <c r="K71" s="17">
        <f>+SUMIF(Рўйхат!$C:$C,$B71,Рўйхат!L:L)</f>
        <v/>
      </c>
      <c r="L71" s="18">
        <f>+SUMIF(Рўйхат!$C:$C,$B71,Рўйхат!M:M)</f>
        <v/>
      </c>
      <c r="M71" s="18">
        <f>+SUMIF(Рўйхат!$C:$C,$B71,Рўйхат!N:N)</f>
        <v/>
      </c>
      <c r="N71" s="18">
        <f>+SUMIF(Рўйхат!$C:$C,$B71,Рўйхат!O:O)</f>
        <v/>
      </c>
      <c r="O71" s="18">
        <f>+SUMIF(Рўйхат!$C:$C,$B71,Рўйхат!P:P)</f>
        <v/>
      </c>
      <c r="P71" s="17">
        <f>+SUMIF(Рўйхат!$C:$C,$B71,Рўйхат!Q:Q)</f>
        <v/>
      </c>
      <c r="Q71" s="18">
        <f>+SUMIF(Рўйхат!$C:$C,$B71,Рўйхат!R:R)</f>
        <v/>
      </c>
      <c r="R71" s="18">
        <f>+SUMIF(Рўйхат!$C:$C,$B71,Рўйхат!S:S)</f>
        <v/>
      </c>
      <c r="S71" s="18">
        <f>+SUMIF(Рўйхат!$C:$C,$B71,Рўйхат!T:T)</f>
        <v/>
      </c>
      <c r="T71" s="18">
        <f>+SUMIF(Рўйхат!$C:$C,$B71,Рўйхат!U:U)</f>
        <v/>
      </c>
      <c r="U71" s="17">
        <f>+SUMIF(Рўйхат!$C:$C,$B71,Рўйхат!V:V)</f>
        <v/>
      </c>
      <c r="V71" s="18">
        <f>+SUMIF(Рўйхат!$C:$C,$B71,Рўйхат!W:W)</f>
        <v/>
      </c>
      <c r="W71" s="18">
        <f>+SUMIF(Рўйхат!$C:$C,$B71,Рўйхат!X:X)</f>
        <v/>
      </c>
      <c r="X71" s="18">
        <f>+SUMIF(Рўйхат!$C:$C,$B71,Рўйхат!Y:Y)</f>
        <v/>
      </c>
      <c r="Y71" s="18">
        <f>+SUMIF(Рўйхат!$C:$C,$B71,Рўйхат!Z:Z)</f>
        <v/>
      </c>
      <c r="Z71" s="17">
        <f>+SUMIF(Рўйхат!$C:$C,$B71,Рўйхат!AA:AA)</f>
        <v/>
      </c>
      <c r="AA71" s="18">
        <f>+SUMIF(Рўйхат!$C:$C,$B71,Рўйхат!AB:AB)</f>
        <v/>
      </c>
      <c r="AB71" s="18">
        <f>+SUMIF(Рўйхат!$C:$C,$B71,Рўйхат!AC:AC)</f>
        <v/>
      </c>
      <c r="AC71" s="18">
        <f>+SUMIF(Рўйхат!$C:$C,$B71,Рўйхат!AD:AD)</f>
        <v/>
      </c>
      <c r="AD71" s="18">
        <f>+SUMIF(Рўйхат!$C:$C,$B71,Рўйхат!AE:AE)</f>
        <v/>
      </c>
      <c r="AE71" s="17">
        <f>+SUMIF(Рўйхат!$C:$C,$B71,Рўйхат!AF:AF)</f>
        <v/>
      </c>
      <c r="AF71" s="18">
        <f>+SUMIF(Рўйхат!$C:$C,$B71,Рўйхат!AG:AG)</f>
        <v/>
      </c>
      <c r="AG71" s="18">
        <f>+SUMIF(Рўйхат!$C:$C,$B71,Рўйхат!AH:AH)</f>
        <v/>
      </c>
      <c r="AH71" s="33">
        <f>+SUMIF(Рўйхат!$C:$C,$B71,Рўйхат!AI:AI)</f>
        <v/>
      </c>
      <c r="AI71" s="19">
        <f>+SUMIF(Рўйхат!$C:$C,$B71,Рўйхат!AJ:AJ)</f>
        <v/>
      </c>
    </row>
    <row r="72" ht="34" customHeight="1">
      <c r="A72" s="25">
        <f>+A71+1</f>
        <v/>
      </c>
      <c r="B72" s="47" t="inlineStr">
        <is>
          <t>ЭЛEКТР ЭНEРГИЯСИ НЕФТЬ МАҲСУЛОТЛАРИ ВА ГАЗДАН ФОЙДАЛАНИШНИ НАЗОРАТ ҚИЛИШ ИНСПEКЦИЯСИ</t>
        </is>
      </c>
      <c r="C72" s="28">
        <f>IF(IFERROR(VLOOKUP(B72,Рўйхат!C:E,2,0),"")="[NULL]","",IFERROR(VLOOKUP(B72,Рўйхат!C:E,2,0),""))</f>
        <v/>
      </c>
      <c r="D72" s="28">
        <f>IFERROR(VLOOKUP(B72,Рўйхат!C:E,3,0),"")</f>
        <v/>
      </c>
      <c r="E72" s="17">
        <f>+SUMIF(Рўйхат!$C:$C,$B72,Рўйхат!G:G)</f>
        <v/>
      </c>
      <c r="F72" s="18">
        <f>+SUMIF(Рўйхат!$C:$C,$B72,Рўйхат!H:H)</f>
        <v/>
      </c>
      <c r="G72" s="18">
        <f>M72</f>
        <v/>
      </c>
      <c r="H72" s="18">
        <f>R72+W72+AB72+AG72</f>
        <v/>
      </c>
      <c r="I72" s="18">
        <f>+SUMIF(Рўйхат!$C:$C,$B72,Рўйхат!J:J)</f>
        <v/>
      </c>
      <c r="J72" s="18">
        <f>+SUMIF(Рўйхат!$C:$C,$B72,Рўйхат!K:K)</f>
        <v/>
      </c>
      <c r="K72" s="17">
        <f>+SUMIF(Рўйхат!$C:$C,$B72,Рўйхат!L:L)</f>
        <v/>
      </c>
      <c r="L72" s="18">
        <f>+SUMIF(Рўйхат!$C:$C,$B72,Рўйхат!M:M)</f>
        <v/>
      </c>
      <c r="M72" s="18">
        <f>+SUMIF(Рўйхат!$C:$C,$B72,Рўйхат!N:N)</f>
        <v/>
      </c>
      <c r="N72" s="18">
        <f>+SUMIF(Рўйхат!$C:$C,$B72,Рўйхат!O:O)</f>
        <v/>
      </c>
      <c r="O72" s="18">
        <f>+SUMIF(Рўйхат!$C:$C,$B72,Рўйхат!P:P)</f>
        <v/>
      </c>
      <c r="P72" s="17">
        <f>+SUMIF(Рўйхат!$C:$C,$B72,Рўйхат!Q:Q)</f>
        <v/>
      </c>
      <c r="Q72" s="18">
        <f>+SUMIF(Рўйхат!$C:$C,$B72,Рўйхат!R:R)</f>
        <v/>
      </c>
      <c r="R72" s="18">
        <f>+SUMIF(Рўйхат!$C:$C,$B72,Рўйхат!S:S)</f>
        <v/>
      </c>
      <c r="S72" s="18">
        <f>+SUMIF(Рўйхат!$C:$C,$B72,Рўйхат!T:T)</f>
        <v/>
      </c>
      <c r="T72" s="18">
        <f>+SUMIF(Рўйхат!$C:$C,$B72,Рўйхат!U:U)</f>
        <v/>
      </c>
      <c r="U72" s="17">
        <f>+SUMIF(Рўйхат!$C:$C,$B72,Рўйхат!V:V)</f>
        <v/>
      </c>
      <c r="V72" s="18">
        <f>+SUMIF(Рўйхат!$C:$C,$B72,Рўйхат!W:W)</f>
        <v/>
      </c>
      <c r="W72" s="18">
        <f>+SUMIF(Рўйхат!$C:$C,$B72,Рўйхат!X:X)</f>
        <v/>
      </c>
      <c r="X72" s="18">
        <f>+SUMIF(Рўйхат!$C:$C,$B72,Рўйхат!Y:Y)</f>
        <v/>
      </c>
      <c r="Y72" s="18">
        <f>+SUMIF(Рўйхат!$C:$C,$B72,Рўйхат!Z:Z)</f>
        <v/>
      </c>
      <c r="Z72" s="17">
        <f>+SUMIF(Рўйхат!$C:$C,$B72,Рўйхат!AA:AA)</f>
        <v/>
      </c>
      <c r="AA72" s="18">
        <f>+SUMIF(Рўйхат!$C:$C,$B72,Рўйхат!AB:AB)</f>
        <v/>
      </c>
      <c r="AB72" s="18">
        <f>+SUMIF(Рўйхат!$C:$C,$B72,Рўйхат!AC:AC)</f>
        <v/>
      </c>
      <c r="AC72" s="18">
        <f>+SUMIF(Рўйхат!$C:$C,$B72,Рўйхат!AD:AD)</f>
        <v/>
      </c>
      <c r="AD72" s="18">
        <f>+SUMIF(Рўйхат!$C:$C,$B72,Рўйхат!AE:AE)</f>
        <v/>
      </c>
      <c r="AE72" s="17">
        <f>+SUMIF(Рўйхат!$C:$C,$B72,Рўйхат!AF:AF)</f>
        <v/>
      </c>
      <c r="AF72" s="18">
        <f>+SUMIF(Рўйхат!$C:$C,$B72,Рўйхат!AG:AG)</f>
        <v/>
      </c>
      <c r="AG72" s="18">
        <f>+SUMIF(Рўйхат!$C:$C,$B72,Рўйхат!AH:AH)</f>
        <v/>
      </c>
      <c r="AH72" s="33">
        <f>+SUMIF(Рўйхат!$C:$C,$B72,Рўйхат!AI:AI)</f>
        <v/>
      </c>
      <c r="AI72" s="19">
        <f>+SUMIF(Рўйхат!$C:$C,$B72,Рўйхат!AJ:AJ)</f>
        <v/>
      </c>
    </row>
    <row r="73" ht="17" customHeight="1">
      <c r="A73" s="25">
        <f>+A72+1</f>
        <v/>
      </c>
      <c r="B73" s="47" t="inlineStr">
        <is>
          <t>Саноат, радиация ва ядро хавфсизлиги қўмитаси</t>
        </is>
      </c>
      <c r="C73" s="28">
        <f>IF(IFERROR(VLOOKUP(B73,Рўйхат!C:E,2,0),"")="[NULL]","",IFERROR(VLOOKUP(B73,Рўйхат!C:E,2,0),""))</f>
        <v/>
      </c>
      <c r="D73" s="28">
        <f>IFERROR(VLOOKUP(B73,Рўйхат!C:E,3,0),"")</f>
        <v/>
      </c>
      <c r="E73" s="17">
        <f>+SUMIF(Рўйхат!$C:$C,$B73,Рўйхат!G:G)</f>
        <v/>
      </c>
      <c r="F73" s="18">
        <f>+SUMIF(Рўйхат!$C:$C,$B73,Рўйхат!H:H)</f>
        <v/>
      </c>
      <c r="G73" s="18">
        <f>M73</f>
        <v/>
      </c>
      <c r="H73" s="18">
        <f>R73+W73+AB73+AG73</f>
        <v/>
      </c>
      <c r="I73" s="18">
        <f>+SUMIF(Рўйхат!$C:$C,$B73,Рўйхат!J:J)</f>
        <v/>
      </c>
      <c r="J73" s="18">
        <f>+SUMIF(Рўйхат!$C:$C,$B73,Рўйхат!K:K)</f>
        <v/>
      </c>
      <c r="K73" s="17">
        <f>+SUMIF(Рўйхат!$C:$C,$B73,Рўйхат!L:L)</f>
        <v/>
      </c>
      <c r="L73" s="18">
        <f>+SUMIF(Рўйхат!$C:$C,$B73,Рўйхат!M:M)</f>
        <v/>
      </c>
      <c r="M73" s="18">
        <f>+SUMIF(Рўйхат!$C:$C,$B73,Рўйхат!N:N)</f>
        <v/>
      </c>
      <c r="N73" s="18">
        <f>+SUMIF(Рўйхат!$C:$C,$B73,Рўйхат!O:O)</f>
        <v/>
      </c>
      <c r="O73" s="18">
        <f>+SUMIF(Рўйхат!$C:$C,$B73,Рўйхат!P:P)</f>
        <v/>
      </c>
      <c r="P73" s="17">
        <f>+SUMIF(Рўйхат!$C:$C,$B73,Рўйхат!Q:Q)</f>
        <v/>
      </c>
      <c r="Q73" s="18">
        <f>+SUMIF(Рўйхат!$C:$C,$B73,Рўйхат!R:R)</f>
        <v/>
      </c>
      <c r="R73" s="18">
        <f>+SUMIF(Рўйхат!$C:$C,$B73,Рўйхат!S:S)</f>
        <v/>
      </c>
      <c r="S73" s="18">
        <f>+SUMIF(Рўйхат!$C:$C,$B73,Рўйхат!T:T)</f>
        <v/>
      </c>
      <c r="T73" s="18">
        <f>+SUMIF(Рўйхат!$C:$C,$B73,Рўйхат!U:U)</f>
        <v/>
      </c>
      <c r="U73" s="17">
        <f>+SUMIF(Рўйхат!$C:$C,$B73,Рўйхат!V:V)</f>
        <v/>
      </c>
      <c r="V73" s="18">
        <f>+SUMIF(Рўйхат!$C:$C,$B73,Рўйхат!W:W)</f>
        <v/>
      </c>
      <c r="W73" s="18">
        <f>+SUMIF(Рўйхат!$C:$C,$B73,Рўйхат!X:X)</f>
        <v/>
      </c>
      <c r="X73" s="18">
        <f>+SUMIF(Рўйхат!$C:$C,$B73,Рўйхат!Y:Y)</f>
        <v/>
      </c>
      <c r="Y73" s="18">
        <f>+SUMIF(Рўйхат!$C:$C,$B73,Рўйхат!Z:Z)</f>
        <v/>
      </c>
      <c r="Z73" s="17">
        <f>+SUMIF(Рўйхат!$C:$C,$B73,Рўйхат!AA:AA)</f>
        <v/>
      </c>
      <c r="AA73" s="18">
        <f>+SUMIF(Рўйхат!$C:$C,$B73,Рўйхат!AB:AB)</f>
        <v/>
      </c>
      <c r="AB73" s="18">
        <f>+SUMIF(Рўйхат!$C:$C,$B73,Рўйхат!AC:AC)</f>
        <v/>
      </c>
      <c r="AC73" s="18">
        <f>+SUMIF(Рўйхат!$C:$C,$B73,Рўйхат!AD:AD)</f>
        <v/>
      </c>
      <c r="AD73" s="18">
        <f>+SUMIF(Рўйхат!$C:$C,$B73,Рўйхат!AE:AE)</f>
        <v/>
      </c>
      <c r="AE73" s="17">
        <f>+SUMIF(Рўйхат!$C:$C,$B73,Рўйхат!AF:AF)</f>
        <v/>
      </c>
      <c r="AF73" s="18">
        <f>+SUMIF(Рўйхат!$C:$C,$B73,Рўйхат!AG:AG)</f>
        <v/>
      </c>
      <c r="AG73" s="18">
        <f>+SUMIF(Рўйхат!$C:$C,$B73,Рўйхат!AH:AH)</f>
        <v/>
      </c>
      <c r="AH73" s="33">
        <f>+SUMIF(Рўйхат!$C:$C,$B73,Рўйхат!AI:AI)</f>
        <v/>
      </c>
      <c r="AI73" s="19">
        <f>+SUMIF(Рўйхат!$C:$C,$B73,Рўйхат!AJ:AJ)</f>
        <v/>
      </c>
    </row>
    <row r="74" ht="34" customHeight="1">
      <c r="A74" s="25">
        <f>+A73+1</f>
        <v/>
      </c>
      <c r="B74" s="47" t="inlineStr">
        <is>
          <t>Алоқабанк АТ</t>
        </is>
      </c>
      <c r="C74" s="28">
        <f>IF(IFERROR(VLOOKUP(B74,Рўйхат!C:E,2,0),"")="[NULL]","",IFERROR(VLOOKUP(B74,Рўйхат!C:E,2,0),""))</f>
        <v/>
      </c>
      <c r="D74" s="28">
        <f>IFERROR(VLOOKUP(B74,Рўйхат!C:E,3,0),"")</f>
        <v/>
      </c>
      <c r="E74" s="17">
        <f>+SUMIF(Рўйхат!$C:$C,$B74,Рўйхат!G:G)</f>
        <v/>
      </c>
      <c r="F74" s="18">
        <f>+SUMIF(Рўйхат!$C:$C,$B74,Рўйхат!H:H)</f>
        <v/>
      </c>
      <c r="G74" s="18">
        <f>M74</f>
        <v/>
      </c>
      <c r="H74" s="18">
        <f>R74+W74+AB74+AG74</f>
        <v/>
      </c>
      <c r="I74" s="18">
        <f>+SUMIF(Рўйхат!$C:$C,$B74,Рўйхат!J:J)</f>
        <v/>
      </c>
      <c r="J74" s="18">
        <f>+SUMIF(Рўйхат!$C:$C,$B74,Рўйхат!K:K)</f>
        <v/>
      </c>
      <c r="K74" s="17">
        <f>+SUMIF(Рўйхат!$C:$C,$B74,Рўйхат!L:L)</f>
        <v/>
      </c>
      <c r="L74" s="18">
        <f>+SUMIF(Рўйхат!$C:$C,$B74,Рўйхат!M:M)</f>
        <v/>
      </c>
      <c r="M74" s="18">
        <f>+SUMIF(Рўйхат!$C:$C,$B74,Рўйхат!N:N)</f>
        <v/>
      </c>
      <c r="N74" s="18">
        <f>+SUMIF(Рўйхат!$C:$C,$B74,Рўйхат!O:O)</f>
        <v/>
      </c>
      <c r="O74" s="18">
        <f>+SUMIF(Рўйхат!$C:$C,$B74,Рўйхат!P:P)</f>
        <v/>
      </c>
      <c r="P74" s="17">
        <f>+SUMIF(Рўйхат!$C:$C,$B74,Рўйхат!Q:Q)</f>
        <v/>
      </c>
      <c r="Q74" s="18">
        <f>+SUMIF(Рўйхат!$C:$C,$B74,Рўйхат!R:R)</f>
        <v/>
      </c>
      <c r="R74" s="18">
        <f>+SUMIF(Рўйхат!$C:$C,$B74,Рўйхат!S:S)</f>
        <v/>
      </c>
      <c r="S74" s="18">
        <f>+SUMIF(Рўйхат!$C:$C,$B74,Рўйхат!T:T)</f>
        <v/>
      </c>
      <c r="T74" s="18">
        <f>+SUMIF(Рўйхат!$C:$C,$B74,Рўйхат!U:U)</f>
        <v/>
      </c>
      <c r="U74" s="17">
        <f>+SUMIF(Рўйхат!$C:$C,$B74,Рўйхат!V:V)</f>
        <v/>
      </c>
      <c r="V74" s="18">
        <f>+SUMIF(Рўйхат!$C:$C,$B74,Рўйхат!W:W)</f>
        <v/>
      </c>
      <c r="W74" s="18">
        <f>+SUMIF(Рўйхат!$C:$C,$B74,Рўйхат!X:X)</f>
        <v/>
      </c>
      <c r="X74" s="18">
        <f>+SUMIF(Рўйхат!$C:$C,$B74,Рўйхат!Y:Y)</f>
        <v/>
      </c>
      <c r="Y74" s="18">
        <f>+SUMIF(Рўйхат!$C:$C,$B74,Рўйхат!Z:Z)</f>
        <v/>
      </c>
      <c r="Z74" s="17">
        <f>+SUMIF(Рўйхат!$C:$C,$B74,Рўйхат!AA:AA)</f>
        <v/>
      </c>
      <c r="AA74" s="18">
        <f>+SUMIF(Рўйхат!$C:$C,$B74,Рўйхат!AB:AB)</f>
        <v/>
      </c>
      <c r="AB74" s="18">
        <f>+SUMIF(Рўйхат!$C:$C,$B74,Рўйхат!AC:AC)</f>
        <v/>
      </c>
      <c r="AC74" s="18">
        <f>+SUMIF(Рўйхат!$C:$C,$B74,Рўйхат!AD:AD)</f>
        <v/>
      </c>
      <c r="AD74" s="18">
        <f>+SUMIF(Рўйхат!$C:$C,$B74,Рўйхат!AE:AE)</f>
        <v/>
      </c>
      <c r="AE74" s="17">
        <f>+SUMIF(Рўйхат!$C:$C,$B74,Рўйхат!AF:AF)</f>
        <v/>
      </c>
      <c r="AF74" s="18">
        <f>+SUMIF(Рўйхат!$C:$C,$B74,Рўйхат!AG:AG)</f>
        <v/>
      </c>
      <c r="AG74" s="18">
        <f>+SUMIF(Рўйхат!$C:$C,$B74,Рўйхат!AH:AH)</f>
        <v/>
      </c>
      <c r="AH74" s="33">
        <f>+SUMIF(Рўйхат!$C:$C,$B74,Рўйхат!AI:AI)</f>
        <v/>
      </c>
      <c r="AI74" s="19">
        <f>+SUMIF(Рўйхат!$C:$C,$B74,Рўйхат!AJ:AJ)</f>
        <v/>
      </c>
    </row>
    <row r="75" ht="34" customHeight="1">
      <c r="A75" s="25">
        <f>+A74+1</f>
        <v/>
      </c>
      <c r="B75" s="47" t="inlineStr">
        <is>
          <t>Ўзсаноатқурилишбанк АТБ</t>
        </is>
      </c>
      <c r="C75" s="28">
        <f>IF(IFERROR(VLOOKUP(B75,Рўйхат!C:E,2,0),"")="[NULL]","",IFERROR(VLOOKUP(B75,Рўйхат!C:E,2,0),""))</f>
        <v/>
      </c>
      <c r="D75" s="28">
        <f>IFERROR(VLOOKUP(B75,Рўйхат!C:E,3,0),"")</f>
        <v/>
      </c>
      <c r="E75" s="17">
        <f>+SUMIF(Рўйхат!$C:$C,$B75,Рўйхат!G:G)</f>
        <v/>
      </c>
      <c r="F75" s="18">
        <f>+SUMIF(Рўйхат!$C:$C,$B75,Рўйхат!H:H)</f>
        <v/>
      </c>
      <c r="G75" s="18">
        <f>M75</f>
        <v/>
      </c>
      <c r="H75" s="18">
        <f>R75+W75+AB75+AG75</f>
        <v/>
      </c>
      <c r="I75" s="18">
        <f>+SUMIF(Рўйхат!$C:$C,$B75,Рўйхат!J:J)</f>
        <v/>
      </c>
      <c r="J75" s="18">
        <f>+SUMIF(Рўйхат!$C:$C,$B75,Рўйхат!K:K)</f>
        <v/>
      </c>
      <c r="K75" s="17">
        <f>+SUMIF(Рўйхат!$C:$C,$B75,Рўйхат!L:L)</f>
        <v/>
      </c>
      <c r="L75" s="18">
        <f>+SUMIF(Рўйхат!$C:$C,$B75,Рўйхат!M:M)</f>
        <v/>
      </c>
      <c r="M75" s="18">
        <f>+SUMIF(Рўйхат!$C:$C,$B75,Рўйхат!N:N)</f>
        <v/>
      </c>
      <c r="N75" s="18">
        <f>+SUMIF(Рўйхат!$C:$C,$B75,Рўйхат!O:O)</f>
        <v/>
      </c>
      <c r="O75" s="18">
        <f>+SUMIF(Рўйхат!$C:$C,$B75,Рўйхат!P:P)</f>
        <v/>
      </c>
      <c r="P75" s="17">
        <f>+SUMIF(Рўйхат!$C:$C,$B75,Рўйхат!Q:Q)</f>
        <v/>
      </c>
      <c r="Q75" s="18">
        <f>+SUMIF(Рўйхат!$C:$C,$B75,Рўйхат!R:R)</f>
        <v/>
      </c>
      <c r="R75" s="18">
        <f>+SUMIF(Рўйхат!$C:$C,$B75,Рўйхат!S:S)</f>
        <v/>
      </c>
      <c r="S75" s="18">
        <f>+SUMIF(Рўйхат!$C:$C,$B75,Рўйхат!T:T)</f>
        <v/>
      </c>
      <c r="T75" s="18">
        <f>+SUMIF(Рўйхат!$C:$C,$B75,Рўйхат!U:U)</f>
        <v/>
      </c>
      <c r="U75" s="17">
        <f>+SUMIF(Рўйхат!$C:$C,$B75,Рўйхат!V:V)</f>
        <v/>
      </c>
      <c r="V75" s="18">
        <f>+SUMIF(Рўйхат!$C:$C,$B75,Рўйхат!W:W)</f>
        <v/>
      </c>
      <c r="W75" s="18">
        <f>+SUMIF(Рўйхат!$C:$C,$B75,Рўйхат!X:X)</f>
        <v/>
      </c>
      <c r="X75" s="18">
        <f>+SUMIF(Рўйхат!$C:$C,$B75,Рўйхат!Y:Y)</f>
        <v/>
      </c>
      <c r="Y75" s="18">
        <f>+SUMIF(Рўйхат!$C:$C,$B75,Рўйхат!Z:Z)</f>
        <v/>
      </c>
      <c r="Z75" s="17">
        <f>+SUMIF(Рўйхат!$C:$C,$B75,Рўйхат!AA:AA)</f>
        <v/>
      </c>
      <c r="AA75" s="18">
        <f>+SUMIF(Рўйхат!$C:$C,$B75,Рўйхат!AB:AB)</f>
        <v/>
      </c>
      <c r="AB75" s="18">
        <f>+SUMIF(Рўйхат!$C:$C,$B75,Рўйхат!AC:AC)</f>
        <v/>
      </c>
      <c r="AC75" s="18">
        <f>+SUMIF(Рўйхат!$C:$C,$B75,Рўйхат!AD:AD)</f>
        <v/>
      </c>
      <c r="AD75" s="18">
        <f>+SUMIF(Рўйхат!$C:$C,$B75,Рўйхат!AE:AE)</f>
        <v/>
      </c>
      <c r="AE75" s="17">
        <f>+SUMIF(Рўйхат!$C:$C,$B75,Рўйхат!AF:AF)</f>
        <v/>
      </c>
      <c r="AF75" s="18">
        <f>+SUMIF(Рўйхат!$C:$C,$B75,Рўйхат!AG:AG)</f>
        <v/>
      </c>
      <c r="AG75" s="18">
        <f>+SUMIF(Рўйхат!$C:$C,$B75,Рўйхат!AH:AH)</f>
        <v/>
      </c>
      <c r="AH75" s="33">
        <f>+SUMIF(Рўйхат!$C:$C,$B75,Рўйхат!AI:AI)</f>
        <v/>
      </c>
      <c r="AI75" s="19">
        <f>+SUMIF(Рўйхат!$C:$C,$B75,Рўйхат!AJ:AJ)</f>
        <v/>
      </c>
    </row>
    <row r="76" ht="34" customHeight="1">
      <c r="A76" s="25">
        <f>+A75+1</f>
        <v/>
      </c>
      <c r="B76" s="47" t="inlineStr">
        <is>
          <t>“O‘zenergosotish” АЖ</t>
        </is>
      </c>
      <c r="C76" s="28">
        <f>IF(IFERROR(VLOOKUP(B76,Рўйхат!C:E,2,0),"")="[NULL]","",IFERROR(VLOOKUP(B76,Рўйхат!C:E,2,0),""))</f>
        <v/>
      </c>
      <c r="D76" s="28">
        <f>IFERROR(VLOOKUP(B76,Рўйхат!C:E,3,0),"")</f>
        <v/>
      </c>
      <c r="E76" s="17">
        <f>+SUMIF(Рўйхат!$C:$C,$B76,Рўйхат!G:G)</f>
        <v/>
      </c>
      <c r="F76" s="18">
        <f>+SUMIF(Рўйхат!$C:$C,$B76,Рўйхат!H:H)</f>
        <v/>
      </c>
      <c r="G76" s="18">
        <f>M76</f>
        <v/>
      </c>
      <c r="H76" s="18">
        <f>R76+W76+AB76+AG76</f>
        <v/>
      </c>
      <c r="I76" s="18">
        <f>+SUMIF(Рўйхат!$C:$C,$B76,Рўйхат!J:J)</f>
        <v/>
      </c>
      <c r="J76" s="18">
        <f>+SUMIF(Рўйхат!$C:$C,$B76,Рўйхат!K:K)</f>
        <v/>
      </c>
      <c r="K76" s="17">
        <f>+SUMIF(Рўйхат!$C:$C,$B76,Рўйхат!L:L)</f>
        <v/>
      </c>
      <c r="L76" s="18">
        <f>+SUMIF(Рўйхат!$C:$C,$B76,Рўйхат!M:M)</f>
        <v/>
      </c>
      <c r="M76" s="18">
        <f>+SUMIF(Рўйхат!$C:$C,$B76,Рўйхат!N:N)</f>
        <v/>
      </c>
      <c r="N76" s="18">
        <f>+SUMIF(Рўйхат!$C:$C,$B76,Рўйхат!O:O)</f>
        <v/>
      </c>
      <c r="O76" s="18">
        <f>+SUMIF(Рўйхат!$C:$C,$B76,Рўйхат!P:P)</f>
        <v/>
      </c>
      <c r="P76" s="17">
        <f>+SUMIF(Рўйхат!$C:$C,$B76,Рўйхат!Q:Q)</f>
        <v/>
      </c>
      <c r="Q76" s="18">
        <f>+SUMIF(Рўйхат!$C:$C,$B76,Рўйхат!R:R)</f>
        <v/>
      </c>
      <c r="R76" s="18">
        <f>+SUMIF(Рўйхат!$C:$C,$B76,Рўйхат!S:S)</f>
        <v/>
      </c>
      <c r="S76" s="18">
        <f>+SUMIF(Рўйхат!$C:$C,$B76,Рўйхат!T:T)</f>
        <v/>
      </c>
      <c r="T76" s="18">
        <f>+SUMIF(Рўйхат!$C:$C,$B76,Рўйхат!U:U)</f>
        <v/>
      </c>
      <c r="U76" s="17">
        <f>+SUMIF(Рўйхат!$C:$C,$B76,Рўйхат!V:V)</f>
        <v/>
      </c>
      <c r="V76" s="18">
        <f>+SUMIF(Рўйхат!$C:$C,$B76,Рўйхат!W:W)</f>
        <v/>
      </c>
      <c r="W76" s="18">
        <f>+SUMIF(Рўйхат!$C:$C,$B76,Рўйхат!X:X)</f>
        <v/>
      </c>
      <c r="X76" s="18">
        <f>+SUMIF(Рўйхат!$C:$C,$B76,Рўйхат!Y:Y)</f>
        <v/>
      </c>
      <c r="Y76" s="18">
        <f>+SUMIF(Рўйхат!$C:$C,$B76,Рўйхат!Z:Z)</f>
        <v/>
      </c>
      <c r="Z76" s="17">
        <f>+SUMIF(Рўйхат!$C:$C,$B76,Рўйхат!AA:AA)</f>
        <v/>
      </c>
      <c r="AA76" s="18">
        <f>+SUMIF(Рўйхат!$C:$C,$B76,Рўйхат!AB:AB)</f>
        <v/>
      </c>
      <c r="AB76" s="18">
        <f>+SUMIF(Рўйхат!$C:$C,$B76,Рўйхат!AC:AC)</f>
        <v/>
      </c>
      <c r="AC76" s="18">
        <f>+SUMIF(Рўйхат!$C:$C,$B76,Рўйхат!AD:AD)</f>
        <v/>
      </c>
      <c r="AD76" s="18">
        <f>+SUMIF(Рўйхат!$C:$C,$B76,Рўйхат!AE:AE)</f>
        <v/>
      </c>
      <c r="AE76" s="17">
        <f>+SUMIF(Рўйхат!$C:$C,$B76,Рўйхат!AF:AF)</f>
        <v/>
      </c>
      <c r="AF76" s="18">
        <f>+SUMIF(Рўйхат!$C:$C,$B76,Рўйхат!AG:AG)</f>
        <v/>
      </c>
      <c r="AG76" s="18">
        <f>+SUMIF(Рўйхат!$C:$C,$B76,Рўйхат!AH:AH)</f>
        <v/>
      </c>
      <c r="AH76" s="33">
        <f>+SUMIF(Рўйхат!$C:$C,$B76,Рўйхат!AI:AI)</f>
        <v/>
      </c>
      <c r="AI76" s="19">
        <f>+SUMIF(Рўйхат!$C:$C,$B76,Рўйхат!AJ:AJ)</f>
        <v/>
      </c>
    </row>
    <row r="77" ht="34" customHeight="1">
      <c r="A77" s="25">
        <f>+A76+1</f>
        <v/>
      </c>
      <c r="B77" s="47" t="inlineStr">
        <is>
          <t>Бизнесни ривожлантириш банки АТБ</t>
        </is>
      </c>
      <c r="C77" s="28">
        <f>IF(IFERROR(VLOOKUP(B77,Рўйхат!C:E,2,0),"")="[NULL]","",IFERROR(VLOOKUP(B77,Рўйхат!C:E,2,0),""))</f>
        <v/>
      </c>
      <c r="D77" s="28">
        <f>IFERROR(VLOOKUP(B77,Рўйхат!C:E,3,0),"")</f>
        <v/>
      </c>
      <c r="E77" s="17">
        <f>+SUMIF(Рўйхат!$C:$C,$B77,Рўйхат!G:G)</f>
        <v/>
      </c>
      <c r="F77" s="18">
        <f>+SUMIF(Рўйхат!$C:$C,$B77,Рўйхат!H:H)</f>
        <v/>
      </c>
      <c r="G77" s="18">
        <f>M77</f>
        <v/>
      </c>
      <c r="H77" s="18">
        <f>R77+W77+AB77+AG77</f>
        <v/>
      </c>
      <c r="I77" s="18">
        <f>+SUMIF(Рўйхат!$C:$C,$B77,Рўйхат!J:J)</f>
        <v/>
      </c>
      <c r="J77" s="18">
        <f>+SUMIF(Рўйхат!$C:$C,$B77,Рўйхат!K:K)</f>
        <v/>
      </c>
      <c r="K77" s="17">
        <f>+SUMIF(Рўйхат!$C:$C,$B77,Рўйхат!L:L)</f>
        <v/>
      </c>
      <c r="L77" s="18">
        <f>+SUMIF(Рўйхат!$C:$C,$B77,Рўйхат!M:M)</f>
        <v/>
      </c>
      <c r="M77" s="18">
        <f>+SUMIF(Рўйхат!$C:$C,$B77,Рўйхат!N:N)</f>
        <v/>
      </c>
      <c r="N77" s="18">
        <f>+SUMIF(Рўйхат!$C:$C,$B77,Рўйхат!O:O)</f>
        <v/>
      </c>
      <c r="O77" s="18">
        <f>+SUMIF(Рўйхат!$C:$C,$B77,Рўйхат!P:P)</f>
        <v/>
      </c>
      <c r="P77" s="17">
        <f>+SUMIF(Рўйхат!$C:$C,$B77,Рўйхат!Q:Q)</f>
        <v/>
      </c>
      <c r="Q77" s="18">
        <f>+SUMIF(Рўйхат!$C:$C,$B77,Рўйхат!R:R)</f>
        <v/>
      </c>
      <c r="R77" s="18">
        <f>+SUMIF(Рўйхат!$C:$C,$B77,Рўйхат!S:S)</f>
        <v/>
      </c>
      <c r="S77" s="18">
        <f>+SUMIF(Рўйхат!$C:$C,$B77,Рўйхат!T:T)</f>
        <v/>
      </c>
      <c r="T77" s="18">
        <f>+SUMIF(Рўйхат!$C:$C,$B77,Рўйхат!U:U)</f>
        <v/>
      </c>
      <c r="U77" s="17">
        <f>+SUMIF(Рўйхат!$C:$C,$B77,Рўйхат!V:V)</f>
        <v/>
      </c>
      <c r="V77" s="18">
        <f>+SUMIF(Рўйхат!$C:$C,$B77,Рўйхат!W:W)</f>
        <v/>
      </c>
      <c r="W77" s="18">
        <f>+SUMIF(Рўйхат!$C:$C,$B77,Рўйхат!X:X)</f>
        <v/>
      </c>
      <c r="X77" s="18">
        <f>+SUMIF(Рўйхат!$C:$C,$B77,Рўйхат!Y:Y)</f>
        <v/>
      </c>
      <c r="Y77" s="18">
        <f>+SUMIF(Рўйхат!$C:$C,$B77,Рўйхат!Z:Z)</f>
        <v/>
      </c>
      <c r="Z77" s="17">
        <f>+SUMIF(Рўйхат!$C:$C,$B77,Рўйхат!AA:AA)</f>
        <v/>
      </c>
      <c r="AA77" s="18">
        <f>+SUMIF(Рўйхат!$C:$C,$B77,Рўйхат!AB:AB)</f>
        <v/>
      </c>
      <c r="AB77" s="18">
        <f>+SUMIF(Рўйхат!$C:$C,$B77,Рўйхат!AC:AC)</f>
        <v/>
      </c>
      <c r="AC77" s="18">
        <f>+SUMIF(Рўйхат!$C:$C,$B77,Рўйхат!AD:AD)</f>
        <v/>
      </c>
      <c r="AD77" s="18">
        <f>+SUMIF(Рўйхат!$C:$C,$B77,Рўйхат!AE:AE)</f>
        <v/>
      </c>
      <c r="AE77" s="17">
        <f>+SUMIF(Рўйхат!$C:$C,$B77,Рўйхат!AF:AF)</f>
        <v/>
      </c>
      <c r="AF77" s="18">
        <f>+SUMIF(Рўйхат!$C:$C,$B77,Рўйхат!AG:AG)</f>
        <v/>
      </c>
      <c r="AG77" s="18">
        <f>+SUMIF(Рўйхат!$C:$C,$B77,Рўйхат!AH:AH)</f>
        <v/>
      </c>
      <c r="AH77" s="33">
        <f>+SUMIF(Рўйхат!$C:$C,$B77,Рўйхат!AI:AI)</f>
        <v/>
      </c>
      <c r="AI77" s="19">
        <f>+SUMIF(Рўйхат!$C:$C,$B77,Рўйхат!AJ:AJ)</f>
        <v/>
      </c>
    </row>
    <row r="78" ht="34" customHeight="1">
      <c r="A78" s="25">
        <f>+A77+1</f>
        <v/>
      </c>
      <c r="B78" s="47" t="inlineStr">
        <is>
          <t>O‘zbekgidroenergo АЖ</t>
        </is>
      </c>
      <c r="C78" s="28">
        <f>IF(IFERROR(VLOOKUP(B78,Рўйхат!C:E,2,0),"")="[NULL]","",IFERROR(VLOOKUP(B78,Рўйхат!C:E,2,0),""))</f>
        <v/>
      </c>
      <c r="D78" s="28">
        <f>IFERROR(VLOOKUP(B78,Рўйхат!C:E,3,0),"")</f>
        <v/>
      </c>
      <c r="E78" s="17">
        <f>+SUMIF(Рўйхат!$C:$C,$B78,Рўйхат!G:G)</f>
        <v/>
      </c>
      <c r="F78" s="18">
        <f>+SUMIF(Рўйхат!$C:$C,$B78,Рўйхат!H:H)</f>
        <v/>
      </c>
      <c r="G78" s="18">
        <f>M78</f>
        <v/>
      </c>
      <c r="H78" s="18">
        <f>R78+W78+AB78+AG78</f>
        <v/>
      </c>
      <c r="I78" s="18">
        <f>+SUMIF(Рўйхат!$C:$C,$B78,Рўйхат!J:J)</f>
        <v/>
      </c>
      <c r="J78" s="18">
        <f>+SUMIF(Рўйхат!$C:$C,$B78,Рўйхат!K:K)</f>
        <v/>
      </c>
      <c r="K78" s="17">
        <f>+SUMIF(Рўйхат!$C:$C,$B78,Рўйхат!L:L)</f>
        <v/>
      </c>
      <c r="L78" s="18">
        <f>+SUMIF(Рўйхат!$C:$C,$B78,Рўйхат!M:M)</f>
        <v/>
      </c>
      <c r="M78" s="18">
        <f>+SUMIF(Рўйхат!$C:$C,$B78,Рўйхат!N:N)</f>
        <v/>
      </c>
      <c r="N78" s="18">
        <f>+SUMIF(Рўйхат!$C:$C,$B78,Рўйхат!O:O)</f>
        <v/>
      </c>
      <c r="O78" s="18">
        <f>+SUMIF(Рўйхат!$C:$C,$B78,Рўйхат!P:P)</f>
        <v/>
      </c>
      <c r="P78" s="17">
        <f>+SUMIF(Рўйхат!$C:$C,$B78,Рўйхат!Q:Q)</f>
        <v/>
      </c>
      <c r="Q78" s="18">
        <f>+SUMIF(Рўйхат!$C:$C,$B78,Рўйхат!R:R)</f>
        <v/>
      </c>
      <c r="R78" s="18">
        <f>+SUMIF(Рўйхат!$C:$C,$B78,Рўйхат!S:S)</f>
        <v/>
      </c>
      <c r="S78" s="18">
        <f>+SUMIF(Рўйхат!$C:$C,$B78,Рўйхат!T:T)</f>
        <v/>
      </c>
      <c r="T78" s="18">
        <f>+SUMIF(Рўйхат!$C:$C,$B78,Рўйхат!U:U)</f>
        <v/>
      </c>
      <c r="U78" s="17">
        <f>+SUMIF(Рўйхат!$C:$C,$B78,Рўйхат!V:V)</f>
        <v/>
      </c>
      <c r="V78" s="18">
        <f>+SUMIF(Рўйхат!$C:$C,$B78,Рўйхат!W:W)</f>
        <v/>
      </c>
      <c r="W78" s="18">
        <f>+SUMIF(Рўйхат!$C:$C,$B78,Рўйхат!X:X)</f>
        <v/>
      </c>
      <c r="X78" s="18">
        <f>+SUMIF(Рўйхат!$C:$C,$B78,Рўйхат!Y:Y)</f>
        <v/>
      </c>
      <c r="Y78" s="18">
        <f>+SUMIF(Рўйхат!$C:$C,$B78,Рўйхат!Z:Z)</f>
        <v/>
      </c>
      <c r="Z78" s="17">
        <f>+SUMIF(Рўйхат!$C:$C,$B78,Рўйхат!AA:AA)</f>
        <v/>
      </c>
      <c r="AA78" s="18">
        <f>+SUMIF(Рўйхат!$C:$C,$B78,Рўйхат!AB:AB)</f>
        <v/>
      </c>
      <c r="AB78" s="18">
        <f>+SUMIF(Рўйхат!$C:$C,$B78,Рўйхат!AC:AC)</f>
        <v/>
      </c>
      <c r="AC78" s="18">
        <f>+SUMIF(Рўйхат!$C:$C,$B78,Рўйхат!AD:AD)</f>
        <v/>
      </c>
      <c r="AD78" s="18">
        <f>+SUMIF(Рўйхат!$C:$C,$B78,Рўйхат!AE:AE)</f>
        <v/>
      </c>
      <c r="AE78" s="17">
        <f>+SUMIF(Рўйхат!$C:$C,$B78,Рўйхат!AF:AF)</f>
        <v/>
      </c>
      <c r="AF78" s="18">
        <f>+SUMIF(Рўйхат!$C:$C,$B78,Рўйхат!AG:AG)</f>
        <v/>
      </c>
      <c r="AG78" s="18">
        <f>+SUMIF(Рўйхат!$C:$C,$B78,Рўйхат!AH:AH)</f>
        <v/>
      </c>
      <c r="AH78" s="33">
        <f>+SUMIF(Рўйхат!$C:$C,$B78,Рўйхат!AI:AI)</f>
        <v/>
      </c>
      <c r="AI78" s="19">
        <f>+SUMIF(Рўйхат!$C:$C,$B78,Рўйхат!AJ:AJ)</f>
        <v/>
      </c>
    </row>
    <row r="79" ht="34" customHeight="1">
      <c r="A79" s="25">
        <f>+A78+1</f>
        <v/>
      </c>
      <c r="B79" s="47" t="inlineStr">
        <is>
          <t>Uzbekistan Airways АЖ</t>
        </is>
      </c>
      <c r="C79" s="28">
        <f>IF(IFERROR(VLOOKUP(B79,Рўйхат!C:E,2,0),"")="[NULL]","",IFERROR(VLOOKUP(B79,Рўйхат!C:E,2,0),""))</f>
        <v/>
      </c>
      <c r="D79" s="28">
        <f>IFERROR(VLOOKUP(B79,Рўйхат!C:E,3,0),"")</f>
        <v/>
      </c>
      <c r="E79" s="17">
        <f>+SUMIF(Рўйхат!$C:$C,$B79,Рўйхат!G:G)</f>
        <v/>
      </c>
      <c r="F79" s="18">
        <f>+SUMIF(Рўйхат!$C:$C,$B79,Рўйхат!H:H)</f>
        <v/>
      </c>
      <c r="G79" s="18">
        <f>M79</f>
        <v/>
      </c>
      <c r="H79" s="18">
        <f>R79+W79+AB79+AG79</f>
        <v/>
      </c>
      <c r="I79" s="18">
        <f>+SUMIF(Рўйхат!$C:$C,$B79,Рўйхат!J:J)</f>
        <v/>
      </c>
      <c r="J79" s="18">
        <f>+SUMIF(Рўйхат!$C:$C,$B79,Рўйхат!K:K)</f>
        <v/>
      </c>
      <c r="K79" s="17">
        <f>+SUMIF(Рўйхат!$C:$C,$B79,Рўйхат!L:L)</f>
        <v/>
      </c>
      <c r="L79" s="18">
        <f>+SUMIF(Рўйхат!$C:$C,$B79,Рўйхат!M:M)</f>
        <v/>
      </c>
      <c r="M79" s="18">
        <f>+SUMIF(Рўйхат!$C:$C,$B79,Рўйхат!N:N)</f>
        <v/>
      </c>
      <c r="N79" s="18">
        <f>+SUMIF(Рўйхат!$C:$C,$B79,Рўйхат!O:O)</f>
        <v/>
      </c>
      <c r="O79" s="18">
        <f>+SUMIF(Рўйхат!$C:$C,$B79,Рўйхат!P:P)</f>
        <v/>
      </c>
      <c r="P79" s="17">
        <f>+SUMIF(Рўйхат!$C:$C,$B79,Рўйхат!Q:Q)</f>
        <v/>
      </c>
      <c r="Q79" s="18">
        <f>+SUMIF(Рўйхат!$C:$C,$B79,Рўйхат!R:R)</f>
        <v/>
      </c>
      <c r="R79" s="18">
        <f>+SUMIF(Рўйхат!$C:$C,$B79,Рўйхат!S:S)</f>
        <v/>
      </c>
      <c r="S79" s="18">
        <f>+SUMIF(Рўйхат!$C:$C,$B79,Рўйхат!T:T)</f>
        <v/>
      </c>
      <c r="T79" s="18">
        <f>+SUMIF(Рўйхат!$C:$C,$B79,Рўйхат!U:U)</f>
        <v/>
      </c>
      <c r="U79" s="17">
        <f>+SUMIF(Рўйхат!$C:$C,$B79,Рўйхат!V:V)</f>
        <v/>
      </c>
      <c r="V79" s="18">
        <f>+SUMIF(Рўйхат!$C:$C,$B79,Рўйхат!W:W)</f>
        <v/>
      </c>
      <c r="W79" s="18">
        <f>+SUMIF(Рўйхат!$C:$C,$B79,Рўйхат!X:X)</f>
        <v/>
      </c>
      <c r="X79" s="18">
        <f>+SUMIF(Рўйхат!$C:$C,$B79,Рўйхат!Y:Y)</f>
        <v/>
      </c>
      <c r="Y79" s="18">
        <f>+SUMIF(Рўйхат!$C:$C,$B79,Рўйхат!Z:Z)</f>
        <v/>
      </c>
      <c r="Z79" s="17">
        <f>+SUMIF(Рўйхат!$C:$C,$B79,Рўйхат!AA:AA)</f>
        <v/>
      </c>
      <c r="AA79" s="18">
        <f>+SUMIF(Рўйхат!$C:$C,$B79,Рўйхат!AB:AB)</f>
        <v/>
      </c>
      <c r="AB79" s="18">
        <f>+SUMIF(Рўйхат!$C:$C,$B79,Рўйхат!AC:AC)</f>
        <v/>
      </c>
      <c r="AC79" s="18">
        <f>+SUMIF(Рўйхат!$C:$C,$B79,Рўйхат!AD:AD)</f>
        <v/>
      </c>
      <c r="AD79" s="18">
        <f>+SUMIF(Рўйхат!$C:$C,$B79,Рўйхат!AE:AE)</f>
        <v/>
      </c>
      <c r="AE79" s="17">
        <f>+SUMIF(Рўйхат!$C:$C,$B79,Рўйхат!AF:AF)</f>
        <v/>
      </c>
      <c r="AF79" s="18">
        <f>+SUMIF(Рўйхат!$C:$C,$B79,Рўйхат!AG:AG)</f>
        <v/>
      </c>
      <c r="AG79" s="18">
        <f>+SUMIF(Рўйхат!$C:$C,$B79,Рўйхат!AH:AH)</f>
        <v/>
      </c>
      <c r="AH79" s="33">
        <f>+SUMIF(Рўйхат!$C:$C,$B79,Рўйхат!AI:AI)</f>
        <v/>
      </c>
      <c r="AI79" s="19">
        <f>+SUMIF(Рўйхат!$C:$C,$B79,Рўйхат!AJ:AJ)</f>
        <v/>
      </c>
    </row>
    <row r="80" ht="17" customHeight="1">
      <c r="A80" s="25">
        <f>+A79+1</f>
        <v/>
      </c>
      <c r="B80" s="47" t="inlineStr">
        <is>
          <t>Ўзбекистон темир йўллари АЖ</t>
        </is>
      </c>
      <c r="C80" s="28">
        <f>IF(IFERROR(VLOOKUP(B80,Рўйхат!C:E,2,0),"")="[NULL]","",IFERROR(VLOOKUP(B80,Рўйхат!C:E,2,0),""))</f>
        <v/>
      </c>
      <c r="D80" s="28">
        <f>IFERROR(VLOOKUP(B80,Рўйхат!C:E,3,0),"")</f>
        <v/>
      </c>
      <c r="E80" s="17">
        <f>+SUMIF(Рўйхат!$C:$C,$B80,Рўйхат!G:G)</f>
        <v/>
      </c>
      <c r="F80" s="18">
        <f>+SUMIF(Рўйхат!$C:$C,$B80,Рўйхат!H:H)</f>
        <v/>
      </c>
      <c r="G80" s="18">
        <f>M80</f>
        <v/>
      </c>
      <c r="H80" s="18">
        <f>R80+W80+AB80+AG80</f>
        <v/>
      </c>
      <c r="I80" s="18">
        <f>+SUMIF(Рўйхат!$C:$C,$B80,Рўйхат!J:J)</f>
        <v/>
      </c>
      <c r="J80" s="18">
        <f>+SUMIF(Рўйхат!$C:$C,$B80,Рўйхат!K:K)</f>
        <v/>
      </c>
      <c r="K80" s="17">
        <f>+SUMIF(Рўйхат!$C:$C,$B80,Рўйхат!L:L)</f>
        <v/>
      </c>
      <c r="L80" s="18">
        <f>+SUMIF(Рўйхат!$C:$C,$B80,Рўйхат!M:M)</f>
        <v/>
      </c>
      <c r="M80" s="18">
        <f>+SUMIF(Рўйхат!$C:$C,$B80,Рўйхат!N:N)</f>
        <v/>
      </c>
      <c r="N80" s="18">
        <f>+SUMIF(Рўйхат!$C:$C,$B80,Рўйхат!O:O)</f>
        <v/>
      </c>
      <c r="O80" s="18">
        <f>+SUMIF(Рўйхат!$C:$C,$B80,Рўйхат!P:P)</f>
        <v/>
      </c>
      <c r="P80" s="17">
        <f>+SUMIF(Рўйхат!$C:$C,$B80,Рўйхат!Q:Q)</f>
        <v/>
      </c>
      <c r="Q80" s="18">
        <f>+SUMIF(Рўйхат!$C:$C,$B80,Рўйхат!R:R)</f>
        <v/>
      </c>
      <c r="R80" s="18">
        <f>+SUMIF(Рўйхат!$C:$C,$B80,Рўйхат!S:S)</f>
        <v/>
      </c>
      <c r="S80" s="18">
        <f>+SUMIF(Рўйхат!$C:$C,$B80,Рўйхат!T:T)</f>
        <v/>
      </c>
      <c r="T80" s="18">
        <f>+SUMIF(Рўйхат!$C:$C,$B80,Рўйхат!U:U)</f>
        <v/>
      </c>
      <c r="U80" s="17">
        <f>+SUMIF(Рўйхат!$C:$C,$B80,Рўйхат!V:V)</f>
        <v/>
      </c>
      <c r="V80" s="18">
        <f>+SUMIF(Рўйхат!$C:$C,$B80,Рўйхат!W:W)</f>
        <v/>
      </c>
      <c r="W80" s="18">
        <f>+SUMIF(Рўйхат!$C:$C,$B80,Рўйхат!X:X)</f>
        <v/>
      </c>
      <c r="X80" s="18">
        <f>+SUMIF(Рўйхат!$C:$C,$B80,Рўйхат!Y:Y)</f>
        <v/>
      </c>
      <c r="Y80" s="18">
        <f>+SUMIF(Рўйхат!$C:$C,$B80,Рўйхат!Z:Z)</f>
        <v/>
      </c>
      <c r="Z80" s="17">
        <f>+SUMIF(Рўйхат!$C:$C,$B80,Рўйхат!AA:AA)</f>
        <v/>
      </c>
      <c r="AA80" s="18">
        <f>+SUMIF(Рўйхат!$C:$C,$B80,Рўйхат!AB:AB)</f>
        <v/>
      </c>
      <c r="AB80" s="18">
        <f>+SUMIF(Рўйхат!$C:$C,$B80,Рўйхат!AC:AC)</f>
        <v/>
      </c>
      <c r="AC80" s="18">
        <f>+SUMIF(Рўйхат!$C:$C,$B80,Рўйхат!AD:AD)</f>
        <v/>
      </c>
      <c r="AD80" s="18">
        <f>+SUMIF(Рўйхат!$C:$C,$B80,Рўйхат!AE:AE)</f>
        <v/>
      </c>
      <c r="AE80" s="17">
        <f>+SUMIF(Рўйхат!$C:$C,$B80,Рўйхат!AF:AF)</f>
        <v/>
      </c>
      <c r="AF80" s="18">
        <f>+SUMIF(Рўйхат!$C:$C,$B80,Рўйхат!AG:AG)</f>
        <v/>
      </c>
      <c r="AG80" s="18">
        <f>+SUMIF(Рўйхат!$C:$C,$B80,Рўйхат!AH:AH)</f>
        <v/>
      </c>
      <c r="AH80" s="33">
        <f>+SUMIF(Рўйхат!$C:$C,$B80,Рўйхат!AI:AI)</f>
        <v/>
      </c>
      <c r="AI80" s="19">
        <f>+SUMIF(Рўйхат!$C:$C,$B80,Рўйхат!AJ:AJ)</f>
        <v/>
      </c>
    </row>
    <row r="81" ht="17" customHeight="1">
      <c r="A81" s="25">
        <f>+A80+1</f>
        <v/>
      </c>
      <c r="B81" s="47" t="inlineStr">
        <is>
          <t>Туронбанк АТБ</t>
        </is>
      </c>
      <c r="C81" s="28">
        <f>IF(IFERROR(VLOOKUP(B81,Рўйхат!C:E,2,0),"")="[NULL]","",IFERROR(VLOOKUP(B81,Рўйхат!C:E,2,0),""))</f>
        <v/>
      </c>
      <c r="D81" s="28">
        <f>IFERROR(VLOOKUP(B81,Рўйхат!C:E,3,0),"")</f>
        <v/>
      </c>
      <c r="E81" s="17">
        <f>+SUMIF(Рўйхат!$C:$C,$B81,Рўйхат!G:G)</f>
        <v/>
      </c>
      <c r="F81" s="18">
        <f>+SUMIF(Рўйхат!$C:$C,$B81,Рўйхат!H:H)</f>
        <v/>
      </c>
      <c r="G81" s="18">
        <f>M81</f>
        <v/>
      </c>
      <c r="H81" s="18">
        <f>R81+W81+AB81+AG81</f>
        <v/>
      </c>
      <c r="I81" s="18">
        <f>+SUMIF(Рўйхат!$C:$C,$B81,Рўйхат!J:J)</f>
        <v/>
      </c>
      <c r="J81" s="18">
        <f>+SUMIF(Рўйхат!$C:$C,$B81,Рўйхат!K:K)</f>
        <v/>
      </c>
      <c r="K81" s="17">
        <f>+SUMIF(Рўйхат!$C:$C,$B81,Рўйхат!L:L)</f>
        <v/>
      </c>
      <c r="L81" s="18">
        <f>+SUMIF(Рўйхат!$C:$C,$B81,Рўйхат!M:M)</f>
        <v/>
      </c>
      <c r="M81" s="18">
        <f>+SUMIF(Рўйхат!$C:$C,$B81,Рўйхат!N:N)</f>
        <v/>
      </c>
      <c r="N81" s="18">
        <f>+SUMIF(Рўйхат!$C:$C,$B81,Рўйхат!O:O)</f>
        <v/>
      </c>
      <c r="O81" s="18">
        <f>+SUMIF(Рўйхат!$C:$C,$B81,Рўйхат!P:P)</f>
        <v/>
      </c>
      <c r="P81" s="17">
        <f>+SUMIF(Рўйхат!$C:$C,$B81,Рўйхат!Q:Q)</f>
        <v/>
      </c>
      <c r="Q81" s="18">
        <f>+SUMIF(Рўйхат!$C:$C,$B81,Рўйхат!R:R)</f>
        <v/>
      </c>
      <c r="R81" s="18">
        <f>+SUMIF(Рўйхат!$C:$C,$B81,Рўйхат!S:S)</f>
        <v/>
      </c>
      <c r="S81" s="18">
        <f>+SUMIF(Рўйхат!$C:$C,$B81,Рўйхат!T:T)</f>
        <v/>
      </c>
      <c r="T81" s="18">
        <f>+SUMIF(Рўйхат!$C:$C,$B81,Рўйхат!U:U)</f>
        <v/>
      </c>
      <c r="U81" s="17">
        <f>+SUMIF(Рўйхат!$C:$C,$B81,Рўйхат!V:V)</f>
        <v/>
      </c>
      <c r="V81" s="18">
        <f>+SUMIF(Рўйхат!$C:$C,$B81,Рўйхат!W:W)</f>
        <v/>
      </c>
      <c r="W81" s="18">
        <f>+SUMIF(Рўйхат!$C:$C,$B81,Рўйхат!X:X)</f>
        <v/>
      </c>
      <c r="X81" s="18">
        <f>+SUMIF(Рўйхат!$C:$C,$B81,Рўйхат!Y:Y)</f>
        <v/>
      </c>
      <c r="Y81" s="18">
        <f>+SUMIF(Рўйхат!$C:$C,$B81,Рўйхат!Z:Z)</f>
        <v/>
      </c>
      <c r="Z81" s="17">
        <f>+SUMIF(Рўйхат!$C:$C,$B81,Рўйхат!AA:AA)</f>
        <v/>
      </c>
      <c r="AA81" s="18">
        <f>+SUMIF(Рўйхат!$C:$C,$B81,Рўйхат!AB:AB)</f>
        <v/>
      </c>
      <c r="AB81" s="18">
        <f>+SUMIF(Рўйхат!$C:$C,$B81,Рўйхат!AC:AC)</f>
        <v/>
      </c>
      <c r="AC81" s="18">
        <f>+SUMIF(Рўйхат!$C:$C,$B81,Рўйхат!AD:AD)</f>
        <v/>
      </c>
      <c r="AD81" s="18">
        <f>+SUMIF(Рўйхат!$C:$C,$B81,Рўйхат!AE:AE)</f>
        <v/>
      </c>
      <c r="AE81" s="17">
        <f>+SUMIF(Рўйхат!$C:$C,$B81,Рўйхат!AF:AF)</f>
        <v/>
      </c>
      <c r="AF81" s="18">
        <f>+SUMIF(Рўйхат!$C:$C,$B81,Рўйхат!AG:AG)</f>
        <v/>
      </c>
      <c r="AG81" s="18">
        <f>+SUMIF(Рўйхат!$C:$C,$B81,Рўйхат!AH:AH)</f>
        <v/>
      </c>
      <c r="AH81" s="33">
        <f>+SUMIF(Рўйхат!$C:$C,$B81,Рўйхат!AI:AI)</f>
        <v/>
      </c>
      <c r="AI81" s="19">
        <f>+SUMIF(Рўйхат!$C:$C,$B81,Рўйхат!AJ:AJ)</f>
        <v/>
      </c>
    </row>
    <row r="82" ht="17" customHeight="1">
      <c r="A82" s="25">
        <f>+A81+1</f>
        <v/>
      </c>
      <c r="B82" s="47" t="inlineStr">
        <is>
          <t>O'zbektelekom АЖ</t>
        </is>
      </c>
      <c r="C82" s="28">
        <f>IF(IFERROR(VLOOKUP(B82,Рўйхат!C:E,2,0),"")="[NULL]","",IFERROR(VLOOKUP(B82,Рўйхат!C:E,2,0),""))</f>
        <v/>
      </c>
      <c r="D82" s="28">
        <f>IFERROR(VLOOKUP(B82,Рўйхат!C:E,3,0),"")</f>
        <v/>
      </c>
      <c r="E82" s="17">
        <f>+SUMIF(Рўйхат!$C:$C,$B82,Рўйхат!G:G)</f>
        <v/>
      </c>
      <c r="F82" s="18">
        <f>+SUMIF(Рўйхат!$C:$C,$B82,Рўйхат!H:H)</f>
        <v/>
      </c>
      <c r="G82" s="18">
        <f>M82</f>
        <v/>
      </c>
      <c r="H82" s="18">
        <f>R82+W82+AB82+AG82</f>
        <v/>
      </c>
      <c r="I82" s="18">
        <f>+SUMIF(Рўйхат!$C:$C,$B82,Рўйхат!J:J)</f>
        <v/>
      </c>
      <c r="J82" s="18">
        <f>+SUMIF(Рўйхат!$C:$C,$B82,Рўйхат!K:K)</f>
        <v/>
      </c>
      <c r="K82" s="17">
        <f>+SUMIF(Рўйхат!$C:$C,$B82,Рўйхат!L:L)</f>
        <v/>
      </c>
      <c r="L82" s="18">
        <f>+SUMIF(Рўйхат!$C:$C,$B82,Рўйхат!M:M)</f>
        <v/>
      </c>
      <c r="M82" s="18">
        <f>+SUMIF(Рўйхат!$C:$C,$B82,Рўйхат!N:N)</f>
        <v/>
      </c>
      <c r="N82" s="18">
        <f>+SUMIF(Рўйхат!$C:$C,$B82,Рўйхат!O:O)</f>
        <v/>
      </c>
      <c r="O82" s="18">
        <f>+SUMIF(Рўйхат!$C:$C,$B82,Рўйхат!P:P)</f>
        <v/>
      </c>
      <c r="P82" s="17">
        <f>+SUMIF(Рўйхат!$C:$C,$B82,Рўйхат!Q:Q)</f>
        <v/>
      </c>
      <c r="Q82" s="18">
        <f>+SUMIF(Рўйхат!$C:$C,$B82,Рўйхат!R:R)</f>
        <v/>
      </c>
      <c r="R82" s="18">
        <f>+SUMIF(Рўйхат!$C:$C,$B82,Рўйхат!S:S)</f>
        <v/>
      </c>
      <c r="S82" s="18">
        <f>+SUMIF(Рўйхат!$C:$C,$B82,Рўйхат!T:T)</f>
        <v/>
      </c>
      <c r="T82" s="18">
        <f>+SUMIF(Рўйхат!$C:$C,$B82,Рўйхат!U:U)</f>
        <v/>
      </c>
      <c r="U82" s="17">
        <f>+SUMIF(Рўйхат!$C:$C,$B82,Рўйхат!V:V)</f>
        <v/>
      </c>
      <c r="V82" s="18">
        <f>+SUMIF(Рўйхат!$C:$C,$B82,Рўйхат!W:W)</f>
        <v/>
      </c>
      <c r="W82" s="18">
        <f>+SUMIF(Рўйхат!$C:$C,$B82,Рўйхат!X:X)</f>
        <v/>
      </c>
      <c r="X82" s="18">
        <f>+SUMIF(Рўйхат!$C:$C,$B82,Рўйхат!Y:Y)</f>
        <v/>
      </c>
      <c r="Y82" s="18">
        <f>+SUMIF(Рўйхат!$C:$C,$B82,Рўйхат!Z:Z)</f>
        <v/>
      </c>
      <c r="Z82" s="17">
        <f>+SUMIF(Рўйхат!$C:$C,$B82,Рўйхат!AA:AA)</f>
        <v/>
      </c>
      <c r="AA82" s="18">
        <f>+SUMIF(Рўйхат!$C:$C,$B82,Рўйхат!AB:AB)</f>
        <v/>
      </c>
      <c r="AB82" s="18">
        <f>+SUMIF(Рўйхат!$C:$C,$B82,Рўйхат!AC:AC)</f>
        <v/>
      </c>
      <c r="AC82" s="18">
        <f>+SUMIF(Рўйхат!$C:$C,$B82,Рўйхат!AD:AD)</f>
        <v/>
      </c>
      <c r="AD82" s="18">
        <f>+SUMIF(Рўйхат!$C:$C,$B82,Рўйхат!AE:AE)</f>
        <v/>
      </c>
      <c r="AE82" s="17">
        <f>+SUMIF(Рўйхат!$C:$C,$B82,Рўйхат!AF:AF)</f>
        <v/>
      </c>
      <c r="AF82" s="18">
        <f>+SUMIF(Рўйхат!$C:$C,$B82,Рўйхат!AG:AG)</f>
        <v/>
      </c>
      <c r="AG82" s="18">
        <f>+SUMIF(Рўйхат!$C:$C,$B82,Рўйхат!AH:AH)</f>
        <v/>
      </c>
      <c r="AH82" s="33">
        <f>+SUMIF(Рўйхат!$C:$C,$B82,Рўйхат!AI:AI)</f>
        <v/>
      </c>
      <c r="AI82" s="19">
        <f>+SUMIF(Рўйхат!$C:$C,$B82,Рўйхат!AJ:AJ)</f>
        <v/>
      </c>
    </row>
    <row r="83" ht="17" customHeight="1">
      <c r="A83" s="25">
        <f>+A82+1</f>
        <v/>
      </c>
      <c r="B83" s="47" t="inlineStr">
        <is>
          <t>O`zkimyosanoat АЖ</t>
        </is>
      </c>
      <c r="C83" s="28">
        <f>IF(IFERROR(VLOOKUP(B83,Рўйхат!C:E,2,0),"")="[NULL]","",IFERROR(VLOOKUP(B83,Рўйхат!C:E,2,0),""))</f>
        <v/>
      </c>
      <c r="D83" s="28">
        <f>IFERROR(VLOOKUP(B83,Рўйхат!C:E,3,0),"")</f>
        <v/>
      </c>
      <c r="E83" s="17">
        <f>+SUMIF(Рўйхат!$C:$C,$B83,Рўйхат!G:G)</f>
        <v/>
      </c>
      <c r="F83" s="18">
        <f>+SUMIF(Рўйхат!$C:$C,$B83,Рўйхат!H:H)</f>
        <v/>
      </c>
      <c r="G83" s="18">
        <f>M83</f>
        <v/>
      </c>
      <c r="H83" s="18">
        <f>R83+W83+AB83+AG83</f>
        <v/>
      </c>
      <c r="I83" s="18">
        <f>+SUMIF(Рўйхат!$C:$C,$B83,Рўйхат!J:J)</f>
        <v/>
      </c>
      <c r="J83" s="18">
        <f>+SUMIF(Рўйхат!$C:$C,$B83,Рўйхат!K:K)</f>
        <v/>
      </c>
      <c r="K83" s="17">
        <f>+SUMIF(Рўйхат!$C:$C,$B83,Рўйхат!L:L)</f>
        <v/>
      </c>
      <c r="L83" s="18">
        <f>+SUMIF(Рўйхат!$C:$C,$B83,Рўйхат!M:M)</f>
        <v/>
      </c>
      <c r="M83" s="18">
        <f>+SUMIF(Рўйхат!$C:$C,$B83,Рўйхат!N:N)</f>
        <v/>
      </c>
      <c r="N83" s="18">
        <f>+SUMIF(Рўйхат!$C:$C,$B83,Рўйхат!O:O)</f>
        <v/>
      </c>
      <c r="O83" s="18">
        <f>+SUMIF(Рўйхат!$C:$C,$B83,Рўйхат!P:P)</f>
        <v/>
      </c>
      <c r="P83" s="17">
        <f>+SUMIF(Рўйхат!$C:$C,$B83,Рўйхат!Q:Q)</f>
        <v/>
      </c>
      <c r="Q83" s="18">
        <f>+SUMIF(Рўйхат!$C:$C,$B83,Рўйхат!R:R)</f>
        <v/>
      </c>
      <c r="R83" s="18">
        <f>+SUMIF(Рўйхат!$C:$C,$B83,Рўйхат!S:S)</f>
        <v/>
      </c>
      <c r="S83" s="18">
        <f>+SUMIF(Рўйхат!$C:$C,$B83,Рўйхат!T:T)</f>
        <v/>
      </c>
      <c r="T83" s="18">
        <f>+SUMIF(Рўйхат!$C:$C,$B83,Рўйхат!U:U)</f>
        <v/>
      </c>
      <c r="U83" s="17">
        <f>+SUMIF(Рўйхат!$C:$C,$B83,Рўйхат!V:V)</f>
        <v/>
      </c>
      <c r="V83" s="18">
        <f>+SUMIF(Рўйхат!$C:$C,$B83,Рўйхат!W:W)</f>
        <v/>
      </c>
      <c r="W83" s="18">
        <f>+SUMIF(Рўйхат!$C:$C,$B83,Рўйхат!X:X)</f>
        <v/>
      </c>
      <c r="X83" s="18">
        <f>+SUMIF(Рўйхат!$C:$C,$B83,Рўйхат!Y:Y)</f>
        <v/>
      </c>
      <c r="Y83" s="18">
        <f>+SUMIF(Рўйхат!$C:$C,$B83,Рўйхат!Z:Z)</f>
        <v/>
      </c>
      <c r="Z83" s="17">
        <f>+SUMIF(Рўйхат!$C:$C,$B83,Рўйхат!AA:AA)</f>
        <v/>
      </c>
      <c r="AA83" s="18">
        <f>+SUMIF(Рўйхат!$C:$C,$B83,Рўйхат!AB:AB)</f>
        <v/>
      </c>
      <c r="AB83" s="18">
        <f>+SUMIF(Рўйхат!$C:$C,$B83,Рўйхат!AC:AC)</f>
        <v/>
      </c>
      <c r="AC83" s="18">
        <f>+SUMIF(Рўйхат!$C:$C,$B83,Рўйхат!AD:AD)</f>
        <v/>
      </c>
      <c r="AD83" s="18">
        <f>+SUMIF(Рўйхат!$C:$C,$B83,Рўйхат!AE:AE)</f>
        <v/>
      </c>
      <c r="AE83" s="17">
        <f>+SUMIF(Рўйхат!$C:$C,$B83,Рўйхат!AF:AF)</f>
        <v/>
      </c>
      <c r="AF83" s="18">
        <f>+SUMIF(Рўйхат!$C:$C,$B83,Рўйхат!AG:AG)</f>
        <v/>
      </c>
      <c r="AG83" s="18">
        <f>+SUMIF(Рўйхат!$C:$C,$B83,Рўйхат!AH:AH)</f>
        <v/>
      </c>
      <c r="AH83" s="33">
        <f>+SUMIF(Рўйхат!$C:$C,$B83,Рўйхат!AI:AI)</f>
        <v/>
      </c>
      <c r="AI83" s="19">
        <f>+SUMIF(Рўйхат!$C:$C,$B83,Рўйхат!AJ:AJ)</f>
        <v/>
      </c>
    </row>
    <row r="84" ht="17" customHeight="1">
      <c r="A84" s="25">
        <f>+A83+1</f>
        <v/>
      </c>
      <c r="B84" s="47" t="inlineStr">
        <is>
          <t>O'ztransgaz АЖ</t>
        </is>
      </c>
      <c r="C84" s="28">
        <f>IF(IFERROR(VLOOKUP(B84,Рўйхат!C:E,2,0),"")="[NULL]","",IFERROR(VLOOKUP(B84,Рўйхат!C:E,2,0),""))</f>
        <v/>
      </c>
      <c r="D84" s="28">
        <f>IFERROR(VLOOKUP(B84,Рўйхат!C:E,3,0),"")</f>
        <v/>
      </c>
      <c r="E84" s="17">
        <f>+SUMIF(Рўйхат!$C:$C,$B84,Рўйхат!G:G)</f>
        <v/>
      </c>
      <c r="F84" s="18">
        <f>+SUMIF(Рўйхат!$C:$C,$B84,Рўйхат!H:H)</f>
        <v/>
      </c>
      <c r="G84" s="18">
        <f>M84</f>
        <v/>
      </c>
      <c r="H84" s="18">
        <f>R84+W84+AB84+AG84</f>
        <v/>
      </c>
      <c r="I84" s="18">
        <f>+SUMIF(Рўйхат!$C:$C,$B84,Рўйхат!J:J)</f>
        <v/>
      </c>
      <c r="J84" s="18">
        <f>+SUMIF(Рўйхат!$C:$C,$B84,Рўйхат!K:K)</f>
        <v/>
      </c>
      <c r="K84" s="17">
        <f>+SUMIF(Рўйхат!$C:$C,$B84,Рўйхат!L:L)</f>
        <v/>
      </c>
      <c r="L84" s="18">
        <f>+SUMIF(Рўйхат!$C:$C,$B84,Рўйхат!M:M)</f>
        <v/>
      </c>
      <c r="M84" s="18">
        <f>+SUMIF(Рўйхат!$C:$C,$B84,Рўйхат!N:N)</f>
        <v/>
      </c>
      <c r="N84" s="18">
        <f>+SUMIF(Рўйхат!$C:$C,$B84,Рўйхат!O:O)</f>
        <v/>
      </c>
      <c r="O84" s="18">
        <f>+SUMIF(Рўйхат!$C:$C,$B84,Рўйхат!P:P)</f>
        <v/>
      </c>
      <c r="P84" s="17">
        <f>+SUMIF(Рўйхат!$C:$C,$B84,Рўйхат!Q:Q)</f>
        <v/>
      </c>
      <c r="Q84" s="18">
        <f>+SUMIF(Рўйхат!$C:$C,$B84,Рўйхат!R:R)</f>
        <v/>
      </c>
      <c r="R84" s="18">
        <f>+SUMIF(Рўйхат!$C:$C,$B84,Рўйхат!S:S)</f>
        <v/>
      </c>
      <c r="S84" s="18">
        <f>+SUMIF(Рўйхат!$C:$C,$B84,Рўйхат!T:T)</f>
        <v/>
      </c>
      <c r="T84" s="18">
        <f>+SUMIF(Рўйхат!$C:$C,$B84,Рўйхат!U:U)</f>
        <v/>
      </c>
      <c r="U84" s="17">
        <f>+SUMIF(Рўйхат!$C:$C,$B84,Рўйхат!V:V)</f>
        <v/>
      </c>
      <c r="V84" s="18">
        <f>+SUMIF(Рўйхат!$C:$C,$B84,Рўйхат!W:W)</f>
        <v/>
      </c>
      <c r="W84" s="18">
        <f>+SUMIF(Рўйхат!$C:$C,$B84,Рўйхат!X:X)</f>
        <v/>
      </c>
      <c r="X84" s="18">
        <f>+SUMIF(Рўйхат!$C:$C,$B84,Рўйхат!Y:Y)</f>
        <v/>
      </c>
      <c r="Y84" s="18">
        <f>+SUMIF(Рўйхат!$C:$C,$B84,Рўйхат!Z:Z)</f>
        <v/>
      </c>
      <c r="Z84" s="17">
        <f>+SUMIF(Рўйхат!$C:$C,$B84,Рўйхат!AA:AA)</f>
        <v/>
      </c>
      <c r="AA84" s="18">
        <f>+SUMIF(Рўйхат!$C:$C,$B84,Рўйхат!AB:AB)</f>
        <v/>
      </c>
      <c r="AB84" s="18">
        <f>+SUMIF(Рўйхат!$C:$C,$B84,Рўйхат!AC:AC)</f>
        <v/>
      </c>
      <c r="AC84" s="18">
        <f>+SUMIF(Рўйхат!$C:$C,$B84,Рўйхат!AD:AD)</f>
        <v/>
      </c>
      <c r="AD84" s="18">
        <f>+SUMIF(Рўйхат!$C:$C,$B84,Рўйхат!AE:AE)</f>
        <v/>
      </c>
      <c r="AE84" s="17">
        <f>+SUMIF(Рўйхат!$C:$C,$B84,Рўйхат!AF:AF)</f>
        <v/>
      </c>
      <c r="AF84" s="18">
        <f>+SUMIF(Рўйхат!$C:$C,$B84,Рўйхат!AG:AG)</f>
        <v/>
      </c>
      <c r="AG84" s="18">
        <f>+SUMIF(Рўйхат!$C:$C,$B84,Рўйхат!AH:AH)</f>
        <v/>
      </c>
      <c r="AH84" s="33">
        <f>+SUMIF(Рўйхат!$C:$C,$B84,Рўйхат!AI:AI)</f>
        <v/>
      </c>
      <c r="AI84" s="19">
        <f>+SUMIF(Рўйхат!$C:$C,$B84,Рўйхат!AJ:AJ)</f>
        <v/>
      </c>
    </row>
    <row r="85" ht="17" customHeight="1">
      <c r="A85" s="25">
        <f>+A84+1</f>
        <v/>
      </c>
      <c r="B85" s="47" t="inlineStr">
        <is>
          <t>Олмалиқ кон-металлургия комбинати АЖ</t>
        </is>
      </c>
      <c r="C85" s="28">
        <f>IF(IFERROR(VLOOKUP(B85,Рўйхат!C:E,2,0),"")="[NULL]","",IFERROR(VLOOKUP(B85,Рўйхат!C:E,2,0),""))</f>
        <v/>
      </c>
      <c r="D85" s="28">
        <f>IFERROR(VLOOKUP(B85,Рўйхат!C:E,3,0),"")</f>
        <v/>
      </c>
      <c r="E85" s="17">
        <f>+SUMIF(Рўйхат!$C:$C,$B85,Рўйхат!G:G)</f>
        <v/>
      </c>
      <c r="F85" s="18">
        <f>+SUMIF(Рўйхат!$C:$C,$B85,Рўйхат!H:H)</f>
        <v/>
      </c>
      <c r="G85" s="18">
        <f>M85</f>
        <v/>
      </c>
      <c r="H85" s="18">
        <f>R85+W85+AB85+AG85</f>
        <v/>
      </c>
      <c r="I85" s="18">
        <f>+SUMIF(Рўйхат!$C:$C,$B85,Рўйхат!J:J)</f>
        <v/>
      </c>
      <c r="J85" s="18">
        <f>+SUMIF(Рўйхат!$C:$C,$B85,Рўйхат!K:K)</f>
        <v/>
      </c>
      <c r="K85" s="17">
        <f>+SUMIF(Рўйхат!$C:$C,$B85,Рўйхат!L:L)</f>
        <v/>
      </c>
      <c r="L85" s="18">
        <f>+SUMIF(Рўйхат!$C:$C,$B85,Рўйхат!M:M)</f>
        <v/>
      </c>
      <c r="M85" s="18">
        <f>+SUMIF(Рўйхат!$C:$C,$B85,Рўйхат!N:N)</f>
        <v/>
      </c>
      <c r="N85" s="18">
        <f>+SUMIF(Рўйхат!$C:$C,$B85,Рўйхат!O:O)</f>
        <v/>
      </c>
      <c r="O85" s="18">
        <f>+SUMIF(Рўйхат!$C:$C,$B85,Рўйхат!P:P)</f>
        <v/>
      </c>
      <c r="P85" s="17">
        <f>+SUMIF(Рўйхат!$C:$C,$B85,Рўйхат!Q:Q)</f>
        <v/>
      </c>
      <c r="Q85" s="18">
        <f>+SUMIF(Рўйхат!$C:$C,$B85,Рўйхат!R:R)</f>
        <v/>
      </c>
      <c r="R85" s="18">
        <f>+SUMIF(Рўйхат!$C:$C,$B85,Рўйхат!S:S)</f>
        <v/>
      </c>
      <c r="S85" s="18">
        <f>+SUMIF(Рўйхат!$C:$C,$B85,Рўйхат!T:T)</f>
        <v/>
      </c>
      <c r="T85" s="18">
        <f>+SUMIF(Рўйхат!$C:$C,$B85,Рўйхат!U:U)</f>
        <v/>
      </c>
      <c r="U85" s="17">
        <f>+SUMIF(Рўйхат!$C:$C,$B85,Рўйхат!V:V)</f>
        <v/>
      </c>
      <c r="V85" s="18">
        <f>+SUMIF(Рўйхат!$C:$C,$B85,Рўйхат!W:W)</f>
        <v/>
      </c>
      <c r="W85" s="18">
        <f>+SUMIF(Рўйхат!$C:$C,$B85,Рўйхат!X:X)</f>
        <v/>
      </c>
      <c r="X85" s="18">
        <f>+SUMIF(Рўйхат!$C:$C,$B85,Рўйхат!Y:Y)</f>
        <v/>
      </c>
      <c r="Y85" s="18">
        <f>+SUMIF(Рўйхат!$C:$C,$B85,Рўйхат!Z:Z)</f>
        <v/>
      </c>
      <c r="Z85" s="17">
        <f>+SUMIF(Рўйхат!$C:$C,$B85,Рўйхат!AA:AA)</f>
        <v/>
      </c>
      <c r="AA85" s="18">
        <f>+SUMIF(Рўйхат!$C:$C,$B85,Рўйхат!AB:AB)</f>
        <v/>
      </c>
      <c r="AB85" s="18">
        <f>+SUMIF(Рўйхат!$C:$C,$B85,Рўйхат!AC:AC)</f>
        <v/>
      </c>
      <c r="AC85" s="18">
        <f>+SUMIF(Рўйхат!$C:$C,$B85,Рўйхат!AD:AD)</f>
        <v/>
      </c>
      <c r="AD85" s="18">
        <f>+SUMIF(Рўйхат!$C:$C,$B85,Рўйхат!AE:AE)</f>
        <v/>
      </c>
      <c r="AE85" s="17">
        <f>+SUMIF(Рўйхат!$C:$C,$B85,Рўйхат!AF:AF)</f>
        <v/>
      </c>
      <c r="AF85" s="18">
        <f>+SUMIF(Рўйхат!$C:$C,$B85,Рўйхат!AG:AG)</f>
        <v/>
      </c>
      <c r="AG85" s="18">
        <f>+SUMIF(Рўйхат!$C:$C,$B85,Рўйхат!AH:AH)</f>
        <v/>
      </c>
      <c r="AH85" s="33">
        <f>+SUMIF(Рўйхат!$C:$C,$B85,Рўйхат!AI:AI)</f>
        <v/>
      </c>
      <c r="AI85" s="19">
        <f>+SUMIF(Рўйхат!$C:$C,$B85,Рўйхат!AJ:AJ)</f>
        <v/>
      </c>
    </row>
    <row r="86" ht="17" customHeight="1">
      <c r="A86" s="25">
        <f>+A85+1</f>
        <v/>
      </c>
      <c r="B86" s="47" t="inlineStr">
        <is>
          <t>Hududiy elektr tarmoqlari АЖ</t>
        </is>
      </c>
      <c r="C86" s="28">
        <f>IF(IFERROR(VLOOKUP(B86,Рўйхат!C:E,2,0),"")="[NULL]","",IFERROR(VLOOKUP(B86,Рўйхат!C:E,2,0),""))</f>
        <v/>
      </c>
      <c r="D86" s="28">
        <f>IFERROR(VLOOKUP(B86,Рўйхат!C:E,3,0),"")</f>
        <v/>
      </c>
      <c r="E86" s="17">
        <f>+SUMIF(Рўйхат!$C:$C,$B86,Рўйхат!G:G)</f>
        <v/>
      </c>
      <c r="F86" s="18">
        <f>+SUMIF(Рўйхат!$C:$C,$B86,Рўйхат!H:H)</f>
        <v/>
      </c>
      <c r="G86" s="18">
        <f>M86</f>
        <v/>
      </c>
      <c r="H86" s="18">
        <f>R86+W86+AB86+AG86</f>
        <v/>
      </c>
      <c r="I86" s="18">
        <f>+SUMIF(Рўйхат!$C:$C,$B86,Рўйхат!J:J)</f>
        <v/>
      </c>
      <c r="J86" s="18">
        <f>+SUMIF(Рўйхат!$C:$C,$B86,Рўйхат!K:K)</f>
        <v/>
      </c>
      <c r="K86" s="17">
        <f>+SUMIF(Рўйхат!$C:$C,$B86,Рўйхат!L:L)</f>
        <v/>
      </c>
      <c r="L86" s="18">
        <f>+SUMIF(Рўйхат!$C:$C,$B86,Рўйхат!M:M)</f>
        <v/>
      </c>
      <c r="M86" s="18">
        <f>+SUMIF(Рўйхат!$C:$C,$B86,Рўйхат!N:N)</f>
        <v/>
      </c>
      <c r="N86" s="18">
        <f>+SUMIF(Рўйхат!$C:$C,$B86,Рўйхат!O:O)</f>
        <v/>
      </c>
      <c r="O86" s="18">
        <f>+SUMIF(Рўйхат!$C:$C,$B86,Рўйхат!P:P)</f>
        <v/>
      </c>
      <c r="P86" s="17">
        <f>+SUMIF(Рўйхат!$C:$C,$B86,Рўйхат!Q:Q)</f>
        <v/>
      </c>
      <c r="Q86" s="18">
        <f>+SUMIF(Рўйхат!$C:$C,$B86,Рўйхат!R:R)</f>
        <v/>
      </c>
      <c r="R86" s="18">
        <f>+SUMIF(Рўйхат!$C:$C,$B86,Рўйхат!S:S)</f>
        <v/>
      </c>
      <c r="S86" s="18">
        <f>+SUMIF(Рўйхат!$C:$C,$B86,Рўйхат!T:T)</f>
        <v/>
      </c>
      <c r="T86" s="18">
        <f>+SUMIF(Рўйхат!$C:$C,$B86,Рўйхат!U:U)</f>
        <v/>
      </c>
      <c r="U86" s="17">
        <f>+SUMIF(Рўйхат!$C:$C,$B86,Рўйхат!V:V)</f>
        <v/>
      </c>
      <c r="V86" s="18">
        <f>+SUMIF(Рўйхат!$C:$C,$B86,Рўйхат!W:W)</f>
        <v/>
      </c>
      <c r="W86" s="18">
        <f>+SUMIF(Рўйхат!$C:$C,$B86,Рўйхат!X:X)</f>
        <v/>
      </c>
      <c r="X86" s="18">
        <f>+SUMIF(Рўйхат!$C:$C,$B86,Рўйхат!Y:Y)</f>
        <v/>
      </c>
      <c r="Y86" s="18">
        <f>+SUMIF(Рўйхат!$C:$C,$B86,Рўйхат!Z:Z)</f>
        <v/>
      </c>
      <c r="Z86" s="17">
        <f>+SUMIF(Рўйхат!$C:$C,$B86,Рўйхат!AA:AA)</f>
        <v/>
      </c>
      <c r="AA86" s="18">
        <f>+SUMIF(Рўйхат!$C:$C,$B86,Рўйхат!AB:AB)</f>
        <v/>
      </c>
      <c r="AB86" s="18">
        <f>+SUMIF(Рўйхат!$C:$C,$B86,Рўйхат!AC:AC)</f>
        <v/>
      </c>
      <c r="AC86" s="18">
        <f>+SUMIF(Рўйхат!$C:$C,$B86,Рўйхат!AD:AD)</f>
        <v/>
      </c>
      <c r="AD86" s="18">
        <f>+SUMIF(Рўйхат!$C:$C,$B86,Рўйхат!AE:AE)</f>
        <v/>
      </c>
      <c r="AE86" s="17">
        <f>+SUMIF(Рўйхат!$C:$C,$B86,Рўйхат!AF:AF)</f>
        <v/>
      </c>
      <c r="AF86" s="18">
        <f>+SUMIF(Рўйхат!$C:$C,$B86,Рўйхат!AG:AG)</f>
        <v/>
      </c>
      <c r="AG86" s="18">
        <f>+SUMIF(Рўйхат!$C:$C,$B86,Рўйхат!AH:AH)</f>
        <v/>
      </c>
      <c r="AH86" s="33">
        <f>+SUMIF(Рўйхат!$C:$C,$B86,Рўйхат!AI:AI)</f>
        <v/>
      </c>
      <c r="AI86" s="19">
        <f>+SUMIF(Рўйхат!$C:$C,$B86,Рўйхат!AJ:AJ)</f>
        <v/>
      </c>
    </row>
    <row r="87" ht="17" customHeight="1">
      <c r="A87" s="25">
        <f>+A86+1</f>
        <v/>
      </c>
      <c r="B87" s="47" t="inlineStr">
        <is>
          <t>Агробанк АТБ</t>
        </is>
      </c>
      <c r="C87" s="28">
        <f>IF(IFERROR(VLOOKUP(B87,Рўйхат!C:E,2,0),"")="[NULL]","",IFERROR(VLOOKUP(B87,Рўйхат!C:E,2,0),""))</f>
        <v/>
      </c>
      <c r="D87" s="28">
        <f>IFERROR(VLOOKUP(B87,Рўйхат!C:E,3,0),"")</f>
        <v/>
      </c>
      <c r="E87" s="17">
        <f>+SUMIF(Рўйхат!$C:$C,$B87,Рўйхат!G:G)</f>
        <v/>
      </c>
      <c r="F87" s="18">
        <f>+SUMIF(Рўйхат!$C:$C,$B87,Рўйхат!H:H)</f>
        <v/>
      </c>
      <c r="G87" s="18">
        <f>M87</f>
        <v/>
      </c>
      <c r="H87" s="18">
        <f>R87+W87+AB87+AG87</f>
        <v/>
      </c>
      <c r="I87" s="18">
        <f>+SUMIF(Рўйхат!$C:$C,$B87,Рўйхат!J:J)</f>
        <v/>
      </c>
      <c r="J87" s="18">
        <f>+SUMIF(Рўйхат!$C:$C,$B87,Рўйхат!K:K)</f>
        <v/>
      </c>
      <c r="K87" s="17">
        <f>+SUMIF(Рўйхат!$C:$C,$B87,Рўйхат!L:L)</f>
        <v/>
      </c>
      <c r="L87" s="18">
        <f>+SUMIF(Рўйхат!$C:$C,$B87,Рўйхат!M:M)</f>
        <v/>
      </c>
      <c r="M87" s="18">
        <f>+SUMIF(Рўйхат!$C:$C,$B87,Рўйхат!N:N)</f>
        <v/>
      </c>
      <c r="N87" s="18">
        <f>+SUMIF(Рўйхат!$C:$C,$B87,Рўйхат!O:O)</f>
        <v/>
      </c>
      <c r="O87" s="18">
        <f>+SUMIF(Рўйхат!$C:$C,$B87,Рўйхат!P:P)</f>
        <v/>
      </c>
      <c r="P87" s="17">
        <f>+SUMIF(Рўйхат!$C:$C,$B87,Рўйхат!Q:Q)</f>
        <v/>
      </c>
      <c r="Q87" s="18">
        <f>+SUMIF(Рўйхат!$C:$C,$B87,Рўйхат!R:R)</f>
        <v/>
      </c>
      <c r="R87" s="18">
        <f>+SUMIF(Рўйхат!$C:$C,$B87,Рўйхат!S:S)</f>
        <v/>
      </c>
      <c r="S87" s="18">
        <f>+SUMIF(Рўйхат!$C:$C,$B87,Рўйхат!T:T)</f>
        <v/>
      </c>
      <c r="T87" s="18">
        <f>+SUMIF(Рўйхат!$C:$C,$B87,Рўйхат!U:U)</f>
        <v/>
      </c>
      <c r="U87" s="17">
        <f>+SUMIF(Рўйхат!$C:$C,$B87,Рўйхат!V:V)</f>
        <v/>
      </c>
      <c r="V87" s="18">
        <f>+SUMIF(Рўйхат!$C:$C,$B87,Рўйхат!W:W)</f>
        <v/>
      </c>
      <c r="W87" s="18">
        <f>+SUMIF(Рўйхат!$C:$C,$B87,Рўйхат!X:X)</f>
        <v/>
      </c>
      <c r="X87" s="18">
        <f>+SUMIF(Рўйхат!$C:$C,$B87,Рўйхат!Y:Y)</f>
        <v/>
      </c>
      <c r="Y87" s="18">
        <f>+SUMIF(Рўйхат!$C:$C,$B87,Рўйхат!Z:Z)</f>
        <v/>
      </c>
      <c r="Z87" s="17">
        <f>+SUMIF(Рўйхат!$C:$C,$B87,Рўйхат!AA:AA)</f>
        <v/>
      </c>
      <c r="AA87" s="18">
        <f>+SUMIF(Рўйхат!$C:$C,$B87,Рўйхат!AB:AB)</f>
        <v/>
      </c>
      <c r="AB87" s="18">
        <f>+SUMIF(Рўйхат!$C:$C,$B87,Рўйхат!AC:AC)</f>
        <v/>
      </c>
      <c r="AC87" s="18">
        <f>+SUMIF(Рўйхат!$C:$C,$B87,Рўйхат!AD:AD)</f>
        <v/>
      </c>
      <c r="AD87" s="18">
        <f>+SUMIF(Рўйхат!$C:$C,$B87,Рўйхат!AE:AE)</f>
        <v/>
      </c>
      <c r="AE87" s="17">
        <f>+SUMIF(Рўйхат!$C:$C,$B87,Рўйхат!AF:AF)</f>
        <v/>
      </c>
      <c r="AF87" s="18">
        <f>+SUMIF(Рўйхат!$C:$C,$B87,Рўйхат!AG:AG)</f>
        <v/>
      </c>
      <c r="AG87" s="18">
        <f>+SUMIF(Рўйхат!$C:$C,$B87,Рўйхат!AH:AH)</f>
        <v/>
      </c>
      <c r="AH87" s="33">
        <f>+SUMIF(Рўйхат!$C:$C,$B87,Рўйхат!AI:AI)</f>
        <v/>
      </c>
      <c r="AI87" s="19">
        <f>+SUMIF(Рўйхат!$C:$C,$B87,Рўйхат!AJ:AJ)</f>
        <v/>
      </c>
    </row>
    <row r="88" ht="17" customHeight="1">
      <c r="A88" s="25">
        <f>+A87+1</f>
        <v/>
      </c>
      <c r="B88" s="47" t="inlineStr">
        <is>
          <t>Навоий кон-металлургия комбинати  АЖ</t>
        </is>
      </c>
      <c r="C88" s="28">
        <f>IF(IFERROR(VLOOKUP(B88,Рўйхат!C:E,2,0),"")="[NULL]","",IFERROR(VLOOKUP(B88,Рўйхат!C:E,2,0),""))</f>
        <v/>
      </c>
      <c r="D88" s="28">
        <f>IFERROR(VLOOKUP(B88,Рўйхат!C:E,3,0),"")</f>
        <v/>
      </c>
      <c r="E88" s="17">
        <f>+SUMIF(Рўйхат!$C:$C,$B88,Рўйхат!G:G)</f>
        <v/>
      </c>
      <c r="F88" s="18">
        <f>+SUMIF(Рўйхат!$C:$C,$B88,Рўйхат!H:H)</f>
        <v/>
      </c>
      <c r="G88" s="18">
        <f>M88</f>
        <v/>
      </c>
      <c r="H88" s="18">
        <f>R88+W88+AB88+AG88</f>
        <v/>
      </c>
      <c r="I88" s="18">
        <f>+SUMIF(Рўйхат!$C:$C,$B88,Рўйхат!J:J)</f>
        <v/>
      </c>
      <c r="J88" s="18">
        <f>+SUMIF(Рўйхат!$C:$C,$B88,Рўйхат!K:K)</f>
        <v/>
      </c>
      <c r="K88" s="17">
        <f>+SUMIF(Рўйхат!$C:$C,$B88,Рўйхат!L:L)</f>
        <v/>
      </c>
      <c r="L88" s="18">
        <f>+SUMIF(Рўйхат!$C:$C,$B88,Рўйхат!M:M)</f>
        <v/>
      </c>
      <c r="M88" s="18">
        <f>+SUMIF(Рўйхат!$C:$C,$B88,Рўйхат!N:N)</f>
        <v/>
      </c>
      <c r="N88" s="18">
        <f>+SUMIF(Рўйхат!$C:$C,$B88,Рўйхат!O:O)</f>
        <v/>
      </c>
      <c r="O88" s="18">
        <f>+SUMIF(Рўйхат!$C:$C,$B88,Рўйхат!P:P)</f>
        <v/>
      </c>
      <c r="P88" s="17">
        <f>+SUMIF(Рўйхат!$C:$C,$B88,Рўйхат!Q:Q)</f>
        <v/>
      </c>
      <c r="Q88" s="18">
        <f>+SUMIF(Рўйхат!$C:$C,$B88,Рўйхат!R:R)</f>
        <v/>
      </c>
      <c r="R88" s="18">
        <f>+SUMIF(Рўйхат!$C:$C,$B88,Рўйхат!S:S)</f>
        <v/>
      </c>
      <c r="S88" s="18">
        <f>+SUMIF(Рўйхат!$C:$C,$B88,Рўйхат!T:T)</f>
        <v/>
      </c>
      <c r="T88" s="18">
        <f>+SUMIF(Рўйхат!$C:$C,$B88,Рўйхат!U:U)</f>
        <v/>
      </c>
      <c r="U88" s="17">
        <f>+SUMIF(Рўйхат!$C:$C,$B88,Рўйхат!V:V)</f>
        <v/>
      </c>
      <c r="V88" s="18">
        <f>+SUMIF(Рўйхат!$C:$C,$B88,Рўйхат!W:W)</f>
        <v/>
      </c>
      <c r="W88" s="18">
        <f>+SUMIF(Рўйхат!$C:$C,$B88,Рўйхат!X:X)</f>
        <v/>
      </c>
      <c r="X88" s="18">
        <f>+SUMIF(Рўйхат!$C:$C,$B88,Рўйхат!Y:Y)</f>
        <v/>
      </c>
      <c r="Y88" s="18">
        <f>+SUMIF(Рўйхат!$C:$C,$B88,Рўйхат!Z:Z)</f>
        <v/>
      </c>
      <c r="Z88" s="17">
        <f>+SUMIF(Рўйхат!$C:$C,$B88,Рўйхат!AA:AA)</f>
        <v/>
      </c>
      <c r="AA88" s="18">
        <f>+SUMIF(Рўйхат!$C:$C,$B88,Рўйхат!AB:AB)</f>
        <v/>
      </c>
      <c r="AB88" s="18">
        <f>+SUMIF(Рўйхат!$C:$C,$B88,Рўйхат!AC:AC)</f>
        <v/>
      </c>
      <c r="AC88" s="18">
        <f>+SUMIF(Рўйхат!$C:$C,$B88,Рўйхат!AD:AD)</f>
        <v/>
      </c>
      <c r="AD88" s="18">
        <f>+SUMIF(Рўйхат!$C:$C,$B88,Рўйхат!AE:AE)</f>
        <v/>
      </c>
      <c r="AE88" s="17">
        <f>+SUMIF(Рўйхат!$C:$C,$B88,Рўйхат!AF:AF)</f>
        <v/>
      </c>
      <c r="AF88" s="18">
        <f>+SUMIF(Рўйхат!$C:$C,$B88,Рўйхат!AG:AG)</f>
        <v/>
      </c>
      <c r="AG88" s="18">
        <f>+SUMIF(Рўйхат!$C:$C,$B88,Рўйхат!AH:AH)</f>
        <v/>
      </c>
      <c r="AH88" s="33">
        <f>+SUMIF(Рўйхат!$C:$C,$B88,Рўйхат!AI:AI)</f>
        <v/>
      </c>
      <c r="AI88" s="19">
        <f>+SUMIF(Рўйхат!$C:$C,$B88,Рўйхат!AJ:AJ)</f>
        <v/>
      </c>
    </row>
    <row r="89" ht="17" customHeight="1">
      <c r="A89" s="25">
        <f>+A88+1</f>
        <v/>
      </c>
      <c r="B89" s="47" t="inlineStr">
        <is>
          <t>Асакабанк АЖ</t>
        </is>
      </c>
      <c r="C89" s="28">
        <f>IF(IFERROR(VLOOKUP(B89,Рўйхат!C:E,2,0),"")="[NULL]","",IFERROR(VLOOKUP(B89,Рўйхат!C:E,2,0),""))</f>
        <v/>
      </c>
      <c r="D89" s="28">
        <f>IFERROR(VLOOKUP(B89,Рўйхат!C:E,3,0),"")</f>
        <v/>
      </c>
      <c r="E89" s="17">
        <f>+SUMIF(Рўйхат!$C:$C,$B89,Рўйхат!G:G)</f>
        <v/>
      </c>
      <c r="F89" s="18">
        <f>+SUMIF(Рўйхат!$C:$C,$B89,Рўйхат!H:H)</f>
        <v/>
      </c>
      <c r="G89" s="18">
        <f>M89</f>
        <v/>
      </c>
      <c r="H89" s="18">
        <f>R89+W89+AB89+AG89</f>
        <v/>
      </c>
      <c r="I89" s="18">
        <f>+SUMIF(Рўйхат!$C:$C,$B89,Рўйхат!J:J)</f>
        <v/>
      </c>
      <c r="J89" s="18">
        <f>+SUMIF(Рўйхат!$C:$C,$B89,Рўйхат!K:K)</f>
        <v/>
      </c>
      <c r="K89" s="17">
        <f>+SUMIF(Рўйхат!$C:$C,$B89,Рўйхат!L:L)</f>
        <v/>
      </c>
      <c r="L89" s="18">
        <f>+SUMIF(Рўйхат!$C:$C,$B89,Рўйхат!M:M)</f>
        <v/>
      </c>
      <c r="M89" s="18">
        <f>+SUMIF(Рўйхат!$C:$C,$B89,Рўйхат!N:N)</f>
        <v/>
      </c>
      <c r="N89" s="18">
        <f>+SUMIF(Рўйхат!$C:$C,$B89,Рўйхат!O:O)</f>
        <v/>
      </c>
      <c r="O89" s="18">
        <f>+SUMIF(Рўйхат!$C:$C,$B89,Рўйхат!P:P)</f>
        <v/>
      </c>
      <c r="P89" s="17">
        <f>+SUMIF(Рўйхат!$C:$C,$B89,Рўйхат!Q:Q)</f>
        <v/>
      </c>
      <c r="Q89" s="18">
        <f>+SUMIF(Рўйхат!$C:$C,$B89,Рўйхат!R:R)</f>
        <v/>
      </c>
      <c r="R89" s="18">
        <f>+SUMIF(Рўйхат!$C:$C,$B89,Рўйхат!S:S)</f>
        <v/>
      </c>
      <c r="S89" s="18">
        <f>+SUMIF(Рўйхат!$C:$C,$B89,Рўйхат!T:T)</f>
        <v/>
      </c>
      <c r="T89" s="18">
        <f>+SUMIF(Рўйхат!$C:$C,$B89,Рўйхат!U:U)</f>
        <v/>
      </c>
      <c r="U89" s="17">
        <f>+SUMIF(Рўйхат!$C:$C,$B89,Рўйхат!V:V)</f>
        <v/>
      </c>
      <c r="V89" s="18">
        <f>+SUMIF(Рўйхат!$C:$C,$B89,Рўйхат!W:W)</f>
        <v/>
      </c>
      <c r="W89" s="18">
        <f>+SUMIF(Рўйхат!$C:$C,$B89,Рўйхат!X:X)</f>
        <v/>
      </c>
      <c r="X89" s="18">
        <f>+SUMIF(Рўйхат!$C:$C,$B89,Рўйхат!Y:Y)</f>
        <v/>
      </c>
      <c r="Y89" s="18">
        <f>+SUMIF(Рўйхат!$C:$C,$B89,Рўйхат!Z:Z)</f>
        <v/>
      </c>
      <c r="Z89" s="17">
        <f>+SUMIF(Рўйхат!$C:$C,$B89,Рўйхат!AA:AA)</f>
        <v/>
      </c>
      <c r="AA89" s="18">
        <f>+SUMIF(Рўйхат!$C:$C,$B89,Рўйхат!AB:AB)</f>
        <v/>
      </c>
      <c r="AB89" s="18">
        <f>+SUMIF(Рўйхат!$C:$C,$B89,Рўйхат!AC:AC)</f>
        <v/>
      </c>
      <c r="AC89" s="18">
        <f>+SUMIF(Рўйхат!$C:$C,$B89,Рўйхат!AD:AD)</f>
        <v/>
      </c>
      <c r="AD89" s="18">
        <f>+SUMIF(Рўйхат!$C:$C,$B89,Рўйхат!AE:AE)</f>
        <v/>
      </c>
      <c r="AE89" s="17">
        <f>+SUMIF(Рўйхат!$C:$C,$B89,Рўйхат!AF:AF)</f>
        <v/>
      </c>
      <c r="AF89" s="18">
        <f>+SUMIF(Рўйхат!$C:$C,$B89,Рўйхат!AG:AG)</f>
        <v/>
      </c>
      <c r="AG89" s="18">
        <f>+SUMIF(Рўйхат!$C:$C,$B89,Рўйхат!AH:AH)</f>
        <v/>
      </c>
      <c r="AH89" s="33">
        <f>+SUMIF(Рўйхат!$C:$C,$B89,Рўйхат!AI:AI)</f>
        <v/>
      </c>
      <c r="AI89" s="19">
        <f>+SUMIF(Рўйхат!$C:$C,$B89,Рўйхат!AJ:AJ)</f>
        <v/>
      </c>
    </row>
    <row r="90" ht="17" customHeight="1">
      <c r="A90" s="25">
        <f>+A89+1</f>
        <v/>
      </c>
      <c r="B90" s="47" t="inlineStr">
        <is>
          <t>Ўзбекистон миллий электр тармоқлари АЖ</t>
        </is>
      </c>
      <c r="C90" s="28">
        <f>IF(IFERROR(VLOOKUP(B90,Рўйхат!C:E,2,0),"")="[NULL]","",IFERROR(VLOOKUP(B90,Рўйхат!C:E,2,0),""))</f>
        <v/>
      </c>
      <c r="D90" s="28">
        <f>IFERROR(VLOOKUP(B90,Рўйхат!C:E,3,0),"")</f>
        <v/>
      </c>
      <c r="E90" s="17">
        <f>+SUMIF(Рўйхат!$C:$C,$B90,Рўйхат!G:G)</f>
        <v/>
      </c>
      <c r="F90" s="18">
        <f>+SUMIF(Рўйхат!$C:$C,$B90,Рўйхат!H:H)</f>
        <v/>
      </c>
      <c r="G90" s="18">
        <f>M90</f>
        <v/>
      </c>
      <c r="H90" s="18">
        <f>R90+W90+AB90+AG90</f>
        <v/>
      </c>
      <c r="I90" s="18">
        <f>+SUMIF(Рўйхат!$C:$C,$B90,Рўйхат!J:J)</f>
        <v/>
      </c>
      <c r="J90" s="18">
        <f>+SUMIF(Рўйхат!$C:$C,$B90,Рўйхат!K:K)</f>
        <v/>
      </c>
      <c r="K90" s="17">
        <f>+SUMIF(Рўйхат!$C:$C,$B90,Рўйхат!L:L)</f>
        <v/>
      </c>
      <c r="L90" s="18">
        <f>+SUMIF(Рўйхат!$C:$C,$B90,Рўйхат!M:M)</f>
        <v/>
      </c>
      <c r="M90" s="18">
        <f>+SUMIF(Рўйхат!$C:$C,$B90,Рўйхат!N:N)</f>
        <v/>
      </c>
      <c r="N90" s="18">
        <f>+SUMIF(Рўйхат!$C:$C,$B90,Рўйхат!O:O)</f>
        <v/>
      </c>
      <c r="O90" s="18">
        <f>+SUMIF(Рўйхат!$C:$C,$B90,Рўйхат!P:P)</f>
        <v/>
      </c>
      <c r="P90" s="17">
        <f>+SUMIF(Рўйхат!$C:$C,$B90,Рўйхат!Q:Q)</f>
        <v/>
      </c>
      <c r="Q90" s="18">
        <f>+SUMIF(Рўйхат!$C:$C,$B90,Рўйхат!R:R)</f>
        <v/>
      </c>
      <c r="R90" s="18">
        <f>+SUMIF(Рўйхат!$C:$C,$B90,Рўйхат!S:S)</f>
        <v/>
      </c>
      <c r="S90" s="18">
        <f>+SUMIF(Рўйхат!$C:$C,$B90,Рўйхат!T:T)</f>
        <v/>
      </c>
      <c r="T90" s="18">
        <f>+SUMIF(Рўйхат!$C:$C,$B90,Рўйхат!U:U)</f>
        <v/>
      </c>
      <c r="U90" s="17">
        <f>+SUMIF(Рўйхат!$C:$C,$B90,Рўйхат!V:V)</f>
        <v/>
      </c>
      <c r="V90" s="18">
        <f>+SUMIF(Рўйхат!$C:$C,$B90,Рўйхат!W:W)</f>
        <v/>
      </c>
      <c r="W90" s="18">
        <f>+SUMIF(Рўйхат!$C:$C,$B90,Рўйхат!X:X)</f>
        <v/>
      </c>
      <c r="X90" s="18">
        <f>+SUMIF(Рўйхат!$C:$C,$B90,Рўйхат!Y:Y)</f>
        <v/>
      </c>
      <c r="Y90" s="18">
        <f>+SUMIF(Рўйхат!$C:$C,$B90,Рўйхат!Z:Z)</f>
        <v/>
      </c>
      <c r="Z90" s="17">
        <f>+SUMIF(Рўйхат!$C:$C,$B90,Рўйхат!AA:AA)</f>
        <v/>
      </c>
      <c r="AA90" s="18">
        <f>+SUMIF(Рўйхат!$C:$C,$B90,Рўйхат!AB:AB)</f>
        <v/>
      </c>
      <c r="AB90" s="18">
        <f>+SUMIF(Рўйхат!$C:$C,$B90,Рўйхат!AC:AC)</f>
        <v/>
      </c>
      <c r="AC90" s="18">
        <f>+SUMIF(Рўйхат!$C:$C,$B90,Рўйхат!AD:AD)</f>
        <v/>
      </c>
      <c r="AD90" s="18">
        <f>+SUMIF(Рўйхат!$C:$C,$B90,Рўйхат!AE:AE)</f>
        <v/>
      </c>
      <c r="AE90" s="17">
        <f>+SUMIF(Рўйхат!$C:$C,$B90,Рўйхат!AF:AF)</f>
        <v/>
      </c>
      <c r="AF90" s="18">
        <f>+SUMIF(Рўйхат!$C:$C,$B90,Рўйхат!AG:AG)</f>
        <v/>
      </c>
      <c r="AG90" s="18">
        <f>+SUMIF(Рўйхат!$C:$C,$B90,Рўйхат!AH:AH)</f>
        <v/>
      </c>
      <c r="AH90" s="33">
        <f>+SUMIF(Рўйхат!$C:$C,$B90,Рўйхат!AI:AI)</f>
        <v/>
      </c>
      <c r="AI90" s="19">
        <f>+SUMIF(Рўйхат!$C:$C,$B90,Рўйхат!AJ:AJ)</f>
        <v/>
      </c>
    </row>
    <row r="91" ht="17" customHeight="1">
      <c r="A91" s="25">
        <f>+A90+1</f>
        <v/>
      </c>
      <c r="B91" s="47" t="inlineStr">
        <is>
          <t>Hududgazta`minot АЖ</t>
        </is>
      </c>
      <c r="C91" s="28">
        <f>IF(IFERROR(VLOOKUP(B91,Рўйхат!C:E,2,0),"")="[NULL]","",IFERROR(VLOOKUP(B91,Рўйхат!C:E,2,0),""))</f>
        <v/>
      </c>
      <c r="D91" s="28">
        <f>IFERROR(VLOOKUP(B91,Рўйхат!C:E,3,0),"")</f>
        <v/>
      </c>
      <c r="E91" s="17">
        <f>+SUMIF(Рўйхат!$C:$C,$B91,Рўйхат!G:G)</f>
        <v/>
      </c>
      <c r="F91" s="18">
        <f>+SUMIF(Рўйхат!$C:$C,$B91,Рўйхат!H:H)</f>
        <v/>
      </c>
      <c r="G91" s="18">
        <f>M91</f>
        <v/>
      </c>
      <c r="H91" s="18">
        <f>R91+W91+AB91+AG91</f>
        <v/>
      </c>
      <c r="I91" s="18">
        <f>+SUMIF(Рўйхат!$C:$C,$B91,Рўйхат!J:J)</f>
        <v/>
      </c>
      <c r="J91" s="18">
        <f>+SUMIF(Рўйхат!$C:$C,$B91,Рўйхат!K:K)</f>
        <v/>
      </c>
      <c r="K91" s="17">
        <f>+SUMIF(Рўйхат!$C:$C,$B91,Рўйхат!L:L)</f>
        <v/>
      </c>
      <c r="L91" s="18">
        <f>+SUMIF(Рўйхат!$C:$C,$B91,Рўйхат!M:M)</f>
        <v/>
      </c>
      <c r="M91" s="18">
        <f>+SUMIF(Рўйхат!$C:$C,$B91,Рўйхат!N:N)</f>
        <v/>
      </c>
      <c r="N91" s="18">
        <f>+SUMIF(Рўйхат!$C:$C,$B91,Рўйхат!O:O)</f>
        <v/>
      </c>
      <c r="O91" s="18">
        <f>+SUMIF(Рўйхат!$C:$C,$B91,Рўйхат!P:P)</f>
        <v/>
      </c>
      <c r="P91" s="17">
        <f>+SUMIF(Рўйхат!$C:$C,$B91,Рўйхат!Q:Q)</f>
        <v/>
      </c>
      <c r="Q91" s="18">
        <f>+SUMIF(Рўйхат!$C:$C,$B91,Рўйхат!R:R)</f>
        <v/>
      </c>
      <c r="R91" s="18">
        <f>+SUMIF(Рўйхат!$C:$C,$B91,Рўйхат!S:S)</f>
        <v/>
      </c>
      <c r="S91" s="18">
        <f>+SUMIF(Рўйхат!$C:$C,$B91,Рўйхат!T:T)</f>
        <v/>
      </c>
      <c r="T91" s="18">
        <f>+SUMIF(Рўйхат!$C:$C,$B91,Рўйхат!U:U)</f>
        <v/>
      </c>
      <c r="U91" s="17">
        <f>+SUMIF(Рўйхат!$C:$C,$B91,Рўйхат!V:V)</f>
        <v/>
      </c>
      <c r="V91" s="18">
        <f>+SUMIF(Рўйхат!$C:$C,$B91,Рўйхат!W:W)</f>
        <v/>
      </c>
      <c r="W91" s="18">
        <f>+SUMIF(Рўйхат!$C:$C,$B91,Рўйхат!X:X)</f>
        <v/>
      </c>
      <c r="X91" s="18">
        <f>+SUMIF(Рўйхат!$C:$C,$B91,Рўйхат!Y:Y)</f>
        <v/>
      </c>
      <c r="Y91" s="18">
        <f>+SUMIF(Рўйхат!$C:$C,$B91,Рўйхат!Z:Z)</f>
        <v/>
      </c>
      <c r="Z91" s="17">
        <f>+SUMIF(Рўйхат!$C:$C,$B91,Рўйхат!AA:AA)</f>
        <v/>
      </c>
      <c r="AA91" s="18">
        <f>+SUMIF(Рўйхат!$C:$C,$B91,Рўйхат!AB:AB)</f>
        <v/>
      </c>
      <c r="AB91" s="18">
        <f>+SUMIF(Рўйхат!$C:$C,$B91,Рўйхат!AC:AC)</f>
        <v/>
      </c>
      <c r="AC91" s="18">
        <f>+SUMIF(Рўйхат!$C:$C,$B91,Рўйхат!AD:AD)</f>
        <v/>
      </c>
      <c r="AD91" s="18">
        <f>+SUMIF(Рўйхат!$C:$C,$B91,Рўйхат!AE:AE)</f>
        <v/>
      </c>
      <c r="AE91" s="17">
        <f>+SUMIF(Рўйхат!$C:$C,$B91,Рўйхат!AF:AF)</f>
        <v/>
      </c>
      <c r="AF91" s="18">
        <f>+SUMIF(Рўйхат!$C:$C,$B91,Рўйхат!AG:AG)</f>
        <v/>
      </c>
      <c r="AG91" s="18">
        <f>+SUMIF(Рўйхат!$C:$C,$B91,Рўйхат!AH:AH)</f>
        <v/>
      </c>
      <c r="AH91" s="33">
        <f>+SUMIF(Рўйхат!$C:$C,$B91,Рўйхат!AI:AI)</f>
        <v/>
      </c>
      <c r="AI91" s="19">
        <f>+SUMIF(Рўйхат!$C:$C,$B91,Рўйхат!AJ:AJ)</f>
        <v/>
      </c>
    </row>
    <row r="92" ht="34" customHeight="1">
      <c r="A92" s="25">
        <f>+A91+1</f>
        <v/>
      </c>
      <c r="B92" s="47" t="inlineStr">
        <is>
          <t>Ўзбекистон Республикаси Президенти Администрацияси Комплаенс хизмати</t>
        </is>
      </c>
      <c r="C92" s="28">
        <f>IF(IFERROR(VLOOKUP(B92,Рўйхат!C:E,2,0),"")="[NULL]","",IFERROR(VLOOKUP(B92,Рўйхат!C:E,2,0),""))</f>
        <v/>
      </c>
      <c r="D92" s="28">
        <f>IFERROR(VLOOKUP(B92,Рўйхат!C:E,3,0),"")</f>
        <v/>
      </c>
      <c r="E92" s="17">
        <f>+SUMIF(Рўйхат!$C:$C,$B92,Рўйхат!G:G)</f>
        <v/>
      </c>
      <c r="F92" s="18">
        <f>+SUMIF(Рўйхат!$C:$C,$B92,Рўйхат!H:H)</f>
        <v/>
      </c>
      <c r="G92" s="18">
        <f>M92</f>
        <v/>
      </c>
      <c r="H92" s="18">
        <f>R92+W92+AB92+AG92</f>
        <v/>
      </c>
      <c r="I92" s="18">
        <f>+SUMIF(Рўйхат!$C:$C,$B92,Рўйхат!J:J)</f>
        <v/>
      </c>
      <c r="J92" s="18">
        <f>+SUMIF(Рўйхат!$C:$C,$B92,Рўйхат!K:K)</f>
        <v/>
      </c>
      <c r="K92" s="17">
        <f>+SUMIF(Рўйхат!$C:$C,$B92,Рўйхат!L:L)</f>
        <v/>
      </c>
      <c r="L92" s="18">
        <f>+SUMIF(Рўйхат!$C:$C,$B92,Рўйхат!M:M)</f>
        <v/>
      </c>
      <c r="M92" s="18">
        <f>+SUMIF(Рўйхат!$C:$C,$B92,Рўйхат!N:N)</f>
        <v/>
      </c>
      <c r="N92" s="18">
        <f>+SUMIF(Рўйхат!$C:$C,$B92,Рўйхат!O:O)</f>
        <v/>
      </c>
      <c r="O92" s="18">
        <f>+SUMIF(Рўйхат!$C:$C,$B92,Рўйхат!P:P)</f>
        <v/>
      </c>
      <c r="P92" s="17">
        <f>+SUMIF(Рўйхат!$C:$C,$B92,Рўйхат!Q:Q)</f>
        <v/>
      </c>
      <c r="Q92" s="18">
        <f>+SUMIF(Рўйхат!$C:$C,$B92,Рўйхат!R:R)</f>
        <v/>
      </c>
      <c r="R92" s="18">
        <f>+SUMIF(Рўйхат!$C:$C,$B92,Рўйхат!S:S)</f>
        <v/>
      </c>
      <c r="S92" s="18">
        <f>+SUMIF(Рўйхат!$C:$C,$B92,Рўйхат!T:T)</f>
        <v/>
      </c>
      <c r="T92" s="18">
        <f>+SUMIF(Рўйхат!$C:$C,$B92,Рўйхат!U:U)</f>
        <v/>
      </c>
      <c r="U92" s="17">
        <f>+SUMIF(Рўйхат!$C:$C,$B92,Рўйхат!V:V)</f>
        <v/>
      </c>
      <c r="V92" s="18">
        <f>+SUMIF(Рўйхат!$C:$C,$B92,Рўйхат!W:W)</f>
        <v/>
      </c>
      <c r="W92" s="18">
        <f>+SUMIF(Рўйхат!$C:$C,$B92,Рўйхат!X:X)</f>
        <v/>
      </c>
      <c r="X92" s="18">
        <f>+SUMIF(Рўйхат!$C:$C,$B92,Рўйхат!Y:Y)</f>
        <v/>
      </c>
      <c r="Y92" s="18">
        <f>+SUMIF(Рўйхат!$C:$C,$B92,Рўйхат!Z:Z)</f>
        <v/>
      </c>
      <c r="Z92" s="17">
        <f>+SUMIF(Рўйхат!$C:$C,$B92,Рўйхат!AA:AA)</f>
        <v/>
      </c>
      <c r="AA92" s="18">
        <f>+SUMIF(Рўйхат!$C:$C,$B92,Рўйхат!AB:AB)</f>
        <v/>
      </c>
      <c r="AB92" s="18">
        <f>+SUMIF(Рўйхат!$C:$C,$B92,Рўйхат!AC:AC)</f>
        <v/>
      </c>
      <c r="AC92" s="18">
        <f>+SUMIF(Рўйхат!$C:$C,$B92,Рўйхат!AD:AD)</f>
        <v/>
      </c>
      <c r="AD92" s="18">
        <f>+SUMIF(Рўйхат!$C:$C,$B92,Рўйхат!AE:AE)</f>
        <v/>
      </c>
      <c r="AE92" s="17">
        <f>+SUMIF(Рўйхат!$C:$C,$B92,Рўйхат!AF:AF)</f>
        <v/>
      </c>
      <c r="AF92" s="18">
        <f>+SUMIF(Рўйхат!$C:$C,$B92,Рўйхат!AG:AG)</f>
        <v/>
      </c>
      <c r="AG92" s="18">
        <f>+SUMIF(Рўйхат!$C:$C,$B92,Рўйхат!AH:AH)</f>
        <v/>
      </c>
      <c r="AH92" s="33">
        <f>+SUMIF(Рўйхат!$C:$C,$B92,Рўйхат!AI:AI)</f>
        <v/>
      </c>
      <c r="AI92" s="19">
        <f>+SUMIF(Рўйхат!$C:$C,$B92,Рўйхат!AJ:AJ)</f>
        <v/>
      </c>
    </row>
    <row r="93" ht="34" customHeight="1">
      <c r="A93" s="25">
        <f>+A92+1</f>
        <v/>
      </c>
      <c r="B93" s="47" t="inlineStr">
        <is>
          <t>RESPUBLIKA MA`NAVIYAT VA MA`RIFAT MARKAZI</t>
        </is>
      </c>
      <c r="C93" s="28">
        <f>IF(IFERROR(VLOOKUP(B93,Рўйхат!C:E,2,0),"")="[NULL]","",IFERROR(VLOOKUP(B93,Рўйхат!C:E,2,0),""))</f>
        <v/>
      </c>
      <c r="D93" s="28">
        <f>IFERROR(VLOOKUP(B93,Рўйхат!C:E,3,0),"")</f>
        <v/>
      </c>
      <c r="E93" s="17">
        <f>+SUMIF(Рўйхат!$C:$C,$B93,Рўйхат!G:G)</f>
        <v/>
      </c>
      <c r="F93" s="18">
        <f>+SUMIF(Рўйхат!$C:$C,$B93,Рўйхат!H:H)</f>
        <v/>
      </c>
      <c r="G93" s="18">
        <f>M93</f>
        <v/>
      </c>
      <c r="H93" s="18">
        <f>R93+W93+AB93+AG93</f>
        <v/>
      </c>
      <c r="I93" s="18">
        <f>+SUMIF(Рўйхат!$C:$C,$B93,Рўйхат!J:J)</f>
        <v/>
      </c>
      <c r="J93" s="18">
        <f>+SUMIF(Рўйхат!$C:$C,$B93,Рўйхат!K:K)</f>
        <v/>
      </c>
      <c r="K93" s="17">
        <f>+SUMIF(Рўйхат!$C:$C,$B93,Рўйхат!L:L)</f>
        <v/>
      </c>
      <c r="L93" s="18">
        <f>+SUMIF(Рўйхат!$C:$C,$B93,Рўйхат!M:M)</f>
        <v/>
      </c>
      <c r="M93" s="18">
        <f>+SUMIF(Рўйхат!$C:$C,$B93,Рўйхат!N:N)</f>
        <v/>
      </c>
      <c r="N93" s="18">
        <f>+SUMIF(Рўйхат!$C:$C,$B93,Рўйхат!O:O)</f>
        <v/>
      </c>
      <c r="O93" s="18">
        <f>+SUMIF(Рўйхат!$C:$C,$B93,Рўйхат!P:P)</f>
        <v/>
      </c>
      <c r="P93" s="17">
        <f>+SUMIF(Рўйхат!$C:$C,$B93,Рўйхат!Q:Q)</f>
        <v/>
      </c>
      <c r="Q93" s="18">
        <f>+SUMIF(Рўйхат!$C:$C,$B93,Рўйхат!R:R)</f>
        <v/>
      </c>
      <c r="R93" s="18">
        <f>+SUMIF(Рўйхат!$C:$C,$B93,Рўйхат!S:S)</f>
        <v/>
      </c>
      <c r="S93" s="18">
        <f>+SUMIF(Рўйхат!$C:$C,$B93,Рўйхат!T:T)</f>
        <v/>
      </c>
      <c r="T93" s="18">
        <f>+SUMIF(Рўйхат!$C:$C,$B93,Рўйхат!U:U)</f>
        <v/>
      </c>
      <c r="U93" s="17">
        <f>+SUMIF(Рўйхат!$C:$C,$B93,Рўйхат!V:V)</f>
        <v/>
      </c>
      <c r="V93" s="18">
        <f>+SUMIF(Рўйхат!$C:$C,$B93,Рўйхат!W:W)</f>
        <v/>
      </c>
      <c r="W93" s="18">
        <f>+SUMIF(Рўйхат!$C:$C,$B93,Рўйхат!X:X)</f>
        <v/>
      </c>
      <c r="X93" s="18">
        <f>+SUMIF(Рўйхат!$C:$C,$B93,Рўйхат!Y:Y)</f>
        <v/>
      </c>
      <c r="Y93" s="18">
        <f>+SUMIF(Рўйхат!$C:$C,$B93,Рўйхат!Z:Z)</f>
        <v/>
      </c>
      <c r="Z93" s="17">
        <f>+SUMIF(Рўйхат!$C:$C,$B93,Рўйхат!AA:AA)</f>
        <v/>
      </c>
      <c r="AA93" s="18">
        <f>+SUMIF(Рўйхат!$C:$C,$B93,Рўйхат!AB:AB)</f>
        <v/>
      </c>
      <c r="AB93" s="18">
        <f>+SUMIF(Рўйхат!$C:$C,$B93,Рўйхат!AC:AC)</f>
        <v/>
      </c>
      <c r="AC93" s="18">
        <f>+SUMIF(Рўйхат!$C:$C,$B93,Рўйхат!AD:AD)</f>
        <v/>
      </c>
      <c r="AD93" s="18">
        <f>+SUMIF(Рўйхат!$C:$C,$B93,Рўйхат!AE:AE)</f>
        <v/>
      </c>
      <c r="AE93" s="17">
        <f>+SUMIF(Рўйхат!$C:$C,$B93,Рўйхат!AF:AF)</f>
        <v/>
      </c>
      <c r="AF93" s="18">
        <f>+SUMIF(Рўйхат!$C:$C,$B93,Рўйхат!AG:AG)</f>
        <v/>
      </c>
      <c r="AG93" s="18">
        <f>+SUMIF(Рўйхат!$C:$C,$B93,Рўйхат!AH:AH)</f>
        <v/>
      </c>
      <c r="AH93" s="33">
        <f>+SUMIF(Рўйхат!$C:$C,$B93,Рўйхат!AI:AI)</f>
        <v/>
      </c>
      <c r="AI93" s="19">
        <f>+SUMIF(Рўйхат!$C:$C,$B93,Рўйхат!AJ:AJ)</f>
        <v/>
      </c>
    </row>
    <row r="94" ht="17" customHeight="1">
      <c r="A94" s="25">
        <f>+A93+1</f>
        <v/>
      </c>
      <c r="B94" s="47" t="inlineStr">
        <is>
          <t>Иқтисодий жиноятларга қарши курашиш департаменти</t>
        </is>
      </c>
      <c r="C94" s="28">
        <f>IF(IFERROR(VLOOKUP(B94,Рўйхат!C:E,2,0),"")="[NULL]","",IFERROR(VLOOKUP(B94,Рўйхат!C:E,2,0),""))</f>
        <v/>
      </c>
      <c r="D94" s="28">
        <f>IFERROR(VLOOKUP(B94,Рўйхат!C:E,3,0),"")</f>
        <v/>
      </c>
      <c r="E94" s="17">
        <f>+SUMIF(Рўйхат!$C:$C,$B94,Рўйхат!G:G)</f>
        <v/>
      </c>
      <c r="F94" s="18">
        <f>+SUMIF(Рўйхат!$C:$C,$B94,Рўйхат!H:H)</f>
        <v/>
      </c>
      <c r="G94" s="18">
        <f>M94</f>
        <v/>
      </c>
      <c r="H94" s="18">
        <f>R94+W94+AB94+AG94</f>
        <v/>
      </c>
      <c r="I94" s="18">
        <f>+SUMIF(Рўйхат!$C:$C,$B94,Рўйхат!J:J)</f>
        <v/>
      </c>
      <c r="J94" s="18">
        <f>+SUMIF(Рўйхат!$C:$C,$B94,Рўйхат!K:K)</f>
        <v/>
      </c>
      <c r="K94" s="17">
        <f>+SUMIF(Рўйхат!$C:$C,$B94,Рўйхат!L:L)</f>
        <v/>
      </c>
      <c r="L94" s="18">
        <f>+SUMIF(Рўйхат!$C:$C,$B94,Рўйхат!M:M)</f>
        <v/>
      </c>
      <c r="M94" s="18">
        <f>+SUMIF(Рўйхат!$C:$C,$B94,Рўйхат!N:N)</f>
        <v/>
      </c>
      <c r="N94" s="18">
        <f>+SUMIF(Рўйхат!$C:$C,$B94,Рўйхат!O:O)</f>
        <v/>
      </c>
      <c r="O94" s="18">
        <f>+SUMIF(Рўйхат!$C:$C,$B94,Рўйхат!P:P)</f>
        <v/>
      </c>
      <c r="P94" s="17">
        <f>+SUMIF(Рўйхат!$C:$C,$B94,Рўйхат!Q:Q)</f>
        <v/>
      </c>
      <c r="Q94" s="18">
        <f>+SUMIF(Рўйхат!$C:$C,$B94,Рўйхат!R:R)</f>
        <v/>
      </c>
      <c r="R94" s="18">
        <f>+SUMIF(Рўйхат!$C:$C,$B94,Рўйхат!S:S)</f>
        <v/>
      </c>
      <c r="S94" s="18">
        <f>+SUMIF(Рўйхат!$C:$C,$B94,Рўйхат!T:T)</f>
        <v/>
      </c>
      <c r="T94" s="18">
        <f>+SUMIF(Рўйхат!$C:$C,$B94,Рўйхат!U:U)</f>
        <v/>
      </c>
      <c r="U94" s="17">
        <f>+SUMIF(Рўйхат!$C:$C,$B94,Рўйхат!V:V)</f>
        <v/>
      </c>
      <c r="V94" s="18">
        <f>+SUMIF(Рўйхат!$C:$C,$B94,Рўйхат!W:W)</f>
        <v/>
      </c>
      <c r="W94" s="18">
        <f>+SUMIF(Рўйхат!$C:$C,$B94,Рўйхат!X:X)</f>
        <v/>
      </c>
      <c r="X94" s="18">
        <f>+SUMIF(Рўйхат!$C:$C,$B94,Рўйхат!Y:Y)</f>
        <v/>
      </c>
      <c r="Y94" s="18">
        <f>+SUMIF(Рўйхат!$C:$C,$B94,Рўйхат!Z:Z)</f>
        <v/>
      </c>
      <c r="Z94" s="17">
        <f>+SUMIF(Рўйхат!$C:$C,$B94,Рўйхат!AA:AA)</f>
        <v/>
      </c>
      <c r="AA94" s="18">
        <f>+SUMIF(Рўйхат!$C:$C,$B94,Рўйхат!AB:AB)</f>
        <v/>
      </c>
      <c r="AB94" s="18">
        <f>+SUMIF(Рўйхат!$C:$C,$B94,Рўйхат!AC:AC)</f>
        <v/>
      </c>
      <c r="AC94" s="18">
        <f>+SUMIF(Рўйхат!$C:$C,$B94,Рўйхат!AD:AD)</f>
        <v/>
      </c>
      <c r="AD94" s="18">
        <f>+SUMIF(Рўйхат!$C:$C,$B94,Рўйхат!AE:AE)</f>
        <v/>
      </c>
      <c r="AE94" s="17">
        <f>+SUMIF(Рўйхат!$C:$C,$B94,Рўйхат!AF:AF)</f>
        <v/>
      </c>
      <c r="AF94" s="18">
        <f>+SUMIF(Рўйхат!$C:$C,$B94,Рўйхат!AG:AG)</f>
        <v/>
      </c>
      <c r="AG94" s="18">
        <f>+SUMIF(Рўйхат!$C:$C,$B94,Рўйхат!AH:AH)</f>
        <v/>
      </c>
      <c r="AH94" s="33">
        <f>+SUMIF(Рўйхат!$C:$C,$B94,Рўйхат!AI:AI)</f>
        <v/>
      </c>
      <c r="AI94" s="19">
        <f>+SUMIF(Рўйхат!$C:$C,$B94,Рўйхат!AJ:AJ)</f>
        <v/>
      </c>
    </row>
    <row r="95" ht="34" customHeight="1">
      <c r="A95" s="64">
        <f>+A94+1</f>
        <v/>
      </c>
      <c r="B95" s="47" t="inlineStr">
        <is>
          <t>Ўзбекистон Республикаси Бош вазирининг котибияти ДМ</t>
        </is>
      </c>
      <c r="C95" s="28">
        <f>IF(IFERROR(VLOOKUP(B95,Рўйхат!C:E,2,0),"")="[NULL]","",IFERROR(VLOOKUP(B95,Рўйхат!C:E,2,0),""))</f>
        <v/>
      </c>
      <c r="D95" s="28">
        <f>IFERROR(VLOOKUP(B95,Рўйхат!C:E,3,0),"")</f>
        <v/>
      </c>
      <c r="E95" s="17">
        <f>+SUMIF(Рўйхат!$C:$C,$B95,Рўйхат!G:G)</f>
        <v/>
      </c>
      <c r="F95" s="18">
        <f>+SUMIF(Рўйхат!$C:$C,$B95,Рўйхат!H:H)</f>
        <v/>
      </c>
      <c r="G95" s="18">
        <f>M95</f>
        <v/>
      </c>
      <c r="H95" s="18">
        <f>R95+W95+AB95+AG95</f>
        <v/>
      </c>
      <c r="I95" s="18">
        <f>+SUMIF(Рўйхат!$C:$C,$B95,Рўйхат!J:J)</f>
        <v/>
      </c>
      <c r="J95" s="18">
        <f>+SUMIF(Рўйхат!$C:$C,$B95,Рўйхат!K:K)</f>
        <v/>
      </c>
      <c r="K95" s="17">
        <f>+SUMIF(Рўйхат!$C:$C,$B95,Рўйхат!L:L)</f>
        <v/>
      </c>
      <c r="L95" s="18">
        <f>+SUMIF(Рўйхат!$C:$C,$B95,Рўйхат!M:M)</f>
        <v/>
      </c>
      <c r="M95" s="18">
        <f>+SUMIF(Рўйхат!$C:$C,$B95,Рўйхат!N:N)</f>
        <v/>
      </c>
      <c r="N95" s="18">
        <f>+SUMIF(Рўйхат!$C:$C,$B95,Рўйхат!O:O)</f>
        <v/>
      </c>
      <c r="O95" s="18">
        <f>+SUMIF(Рўйхат!$C:$C,$B95,Рўйхат!P:P)</f>
        <v/>
      </c>
      <c r="P95" s="17">
        <f>+SUMIF(Рўйхат!$C:$C,$B95,Рўйхат!Q:Q)</f>
        <v/>
      </c>
      <c r="Q95" s="18">
        <f>+SUMIF(Рўйхат!$C:$C,$B95,Рўйхат!R:R)</f>
        <v/>
      </c>
      <c r="R95" s="18">
        <f>+SUMIF(Рўйхат!$C:$C,$B95,Рўйхат!S:S)</f>
        <v/>
      </c>
      <c r="S95" s="18">
        <f>+SUMIF(Рўйхат!$C:$C,$B95,Рўйхат!T:T)</f>
        <v/>
      </c>
      <c r="T95" s="18">
        <f>+SUMIF(Рўйхат!$C:$C,$B95,Рўйхат!U:U)</f>
        <v/>
      </c>
      <c r="U95" s="17">
        <f>+SUMIF(Рўйхат!$C:$C,$B95,Рўйхат!V:V)</f>
        <v/>
      </c>
      <c r="V95" s="18">
        <f>+SUMIF(Рўйхат!$C:$C,$B95,Рўйхат!W:W)</f>
        <v/>
      </c>
      <c r="W95" s="18">
        <f>+SUMIF(Рўйхат!$C:$C,$B95,Рўйхат!X:X)</f>
        <v/>
      </c>
      <c r="X95" s="18">
        <f>+SUMIF(Рўйхат!$C:$C,$B95,Рўйхат!Y:Y)</f>
        <v/>
      </c>
      <c r="Y95" s="18">
        <f>+SUMIF(Рўйхат!$C:$C,$B95,Рўйхат!Z:Z)</f>
        <v/>
      </c>
      <c r="Z95" s="17">
        <f>+SUMIF(Рўйхат!$C:$C,$B95,Рўйхат!AA:AA)</f>
        <v/>
      </c>
      <c r="AA95" s="18">
        <f>+SUMIF(Рўйхат!$C:$C,$B95,Рўйхат!AB:AB)</f>
        <v/>
      </c>
      <c r="AB95" s="18">
        <f>+SUMIF(Рўйхат!$C:$C,$B95,Рўйхат!AC:AC)</f>
        <v/>
      </c>
      <c r="AC95" s="18">
        <f>+SUMIF(Рўйхат!$C:$C,$B95,Рўйхат!AD:AD)</f>
        <v/>
      </c>
      <c r="AD95" s="18">
        <f>+SUMIF(Рўйхат!$C:$C,$B95,Рўйхат!AE:AE)</f>
        <v/>
      </c>
      <c r="AE95" s="17">
        <f>+SUMIF(Рўйхат!$C:$C,$B95,Рўйхат!AF:AF)</f>
        <v/>
      </c>
      <c r="AF95" s="18">
        <f>+SUMIF(Рўйхат!$C:$C,$B95,Рўйхат!AG:AG)</f>
        <v/>
      </c>
      <c r="AG95" s="18">
        <f>+SUMIF(Рўйхат!$C:$C,$B95,Рўйхат!AH:AH)</f>
        <v/>
      </c>
      <c r="AH95" s="33">
        <f>+SUMIF(Рўйхат!$C:$C,$B95,Рўйхат!AI:AI)</f>
        <v/>
      </c>
      <c r="AI95" s="19">
        <f>+SUMIF(Рўйхат!$C:$C,$B95,Рўйхат!AJ:AJ)</f>
        <v/>
      </c>
    </row>
    <row r="96" ht="34" customHeight="1">
      <c r="A96" s="64">
        <f>+A95+1</f>
        <v/>
      </c>
      <c r="B96" s="47" t="inlineStr">
        <is>
          <t>Узбекистон Махаллалар уюшмаси Элликкалъа тумани булими (Гулдурсин) 2915</t>
        </is>
      </c>
      <c r="C96" s="28">
        <f>IF(IFERROR(VLOOKUP(B96,Рўйхат!C:E,2,0),"")="[NULL]","",IFERROR(VLOOKUP(B96,Рўйхат!C:E,2,0),""))</f>
        <v/>
      </c>
      <c r="D96" s="28">
        <f>IFERROR(VLOOKUP(B96,Рўйхат!C:E,3,0),"")</f>
        <v/>
      </c>
      <c r="E96" s="17">
        <f>+SUMIF(Рўйхат!$C:$C,$B96,Рўйхат!G:G)</f>
        <v/>
      </c>
      <c r="F96" s="18">
        <f>+SUMIF(Рўйхат!$C:$C,$B96,Рўйхат!H:H)</f>
        <v/>
      </c>
      <c r="G96" s="18">
        <f>M96</f>
        <v/>
      </c>
      <c r="H96" s="18">
        <f>R96+W96+AB96+AG96</f>
        <v/>
      </c>
      <c r="I96" s="18">
        <f>+SUMIF(Рўйхат!$C:$C,$B96,Рўйхат!J:J)</f>
        <v/>
      </c>
      <c r="J96" s="18">
        <f>+SUMIF(Рўйхат!$C:$C,$B96,Рўйхат!K:K)</f>
        <v/>
      </c>
      <c r="K96" s="17">
        <f>+SUMIF(Рўйхат!$C:$C,$B96,Рўйхат!L:L)</f>
        <v/>
      </c>
      <c r="L96" s="18">
        <f>+SUMIF(Рўйхат!$C:$C,$B96,Рўйхат!M:M)</f>
        <v/>
      </c>
      <c r="M96" s="18">
        <f>+SUMIF(Рўйхат!$C:$C,$B96,Рўйхат!N:N)</f>
        <v/>
      </c>
      <c r="N96" s="18">
        <f>+SUMIF(Рўйхат!$C:$C,$B96,Рўйхат!O:O)</f>
        <v/>
      </c>
      <c r="O96" s="18">
        <f>+SUMIF(Рўйхат!$C:$C,$B96,Рўйхат!P:P)</f>
        <v/>
      </c>
      <c r="P96" s="17">
        <f>+SUMIF(Рўйхат!$C:$C,$B96,Рўйхат!Q:Q)</f>
        <v/>
      </c>
      <c r="Q96" s="18">
        <f>+SUMIF(Рўйхат!$C:$C,$B96,Рўйхат!R:R)</f>
        <v/>
      </c>
      <c r="R96" s="18">
        <f>+SUMIF(Рўйхат!$C:$C,$B96,Рўйхат!S:S)</f>
        <v/>
      </c>
      <c r="S96" s="18">
        <f>+SUMIF(Рўйхат!$C:$C,$B96,Рўйхат!T:T)</f>
        <v/>
      </c>
      <c r="T96" s="18">
        <f>+SUMIF(Рўйхат!$C:$C,$B96,Рўйхат!U:U)</f>
        <v/>
      </c>
      <c r="U96" s="17">
        <f>+SUMIF(Рўйхат!$C:$C,$B96,Рўйхат!V:V)</f>
        <v/>
      </c>
      <c r="V96" s="18">
        <f>+SUMIF(Рўйхат!$C:$C,$B96,Рўйхат!W:W)</f>
        <v/>
      </c>
      <c r="W96" s="18">
        <f>+SUMIF(Рўйхат!$C:$C,$B96,Рўйхат!X:X)</f>
        <v/>
      </c>
      <c r="X96" s="18">
        <f>+SUMIF(Рўйхат!$C:$C,$B96,Рўйхат!Y:Y)</f>
        <v/>
      </c>
      <c r="Y96" s="18">
        <f>+SUMIF(Рўйхат!$C:$C,$B96,Рўйхат!Z:Z)</f>
        <v/>
      </c>
      <c r="Z96" s="17">
        <f>+SUMIF(Рўйхат!$C:$C,$B96,Рўйхат!AA:AA)</f>
        <v/>
      </c>
      <c r="AA96" s="18">
        <f>+SUMIF(Рўйхат!$C:$C,$B96,Рўйхат!AB:AB)</f>
        <v/>
      </c>
      <c r="AB96" s="18">
        <f>+SUMIF(Рўйхат!$C:$C,$B96,Рўйхат!AC:AC)</f>
        <v/>
      </c>
      <c r="AC96" s="18">
        <f>+SUMIF(Рўйхат!$C:$C,$B96,Рўйхат!AD:AD)</f>
        <v/>
      </c>
      <c r="AD96" s="18">
        <f>+SUMIF(Рўйхат!$C:$C,$B96,Рўйхат!AE:AE)</f>
        <v/>
      </c>
      <c r="AE96" s="17">
        <f>+SUMIF(Рўйхат!$C:$C,$B96,Рўйхат!AF:AF)</f>
        <v/>
      </c>
      <c r="AF96" s="18">
        <f>+SUMIF(Рўйхат!$C:$C,$B96,Рўйхат!AG:AG)</f>
        <v/>
      </c>
      <c r="AG96" s="18">
        <f>+SUMIF(Рўйхат!$C:$C,$B96,Рўйхат!AH:AH)</f>
        <v/>
      </c>
      <c r="AH96" s="33">
        <f>+SUMIF(Рўйхат!$C:$C,$B96,Рўйхат!AI:AI)</f>
        <v/>
      </c>
      <c r="AI96" s="19">
        <f>+SUMIF(Рўйхат!$C:$C,$B96,Рўйхат!AJ:AJ)</f>
        <v/>
      </c>
    </row>
    <row r="97" ht="17" customHeight="1">
      <c r="A97" s="64">
        <f>+A96+1</f>
        <v/>
      </c>
      <c r="B97" s="47" t="inlineStr">
        <is>
          <t>Божхона қўмитаси</t>
        </is>
      </c>
      <c r="C97" s="28">
        <f>IF(IFERROR(VLOOKUP(B97,Рўйхат!C:E,2,0),"")="[NULL]","",IFERROR(VLOOKUP(B97,Рўйхат!C:E,2,0),""))</f>
        <v/>
      </c>
      <c r="D97" s="28">
        <f>IFERROR(VLOOKUP(B97,Рўйхат!C:E,3,0),"")</f>
        <v/>
      </c>
      <c r="E97" s="17">
        <f>+SUMIF(Рўйхат!$C:$C,$B97,Рўйхат!G:G)</f>
        <v/>
      </c>
      <c r="F97" s="18">
        <f>+SUMIF(Рўйхат!$C:$C,$B97,Рўйхат!H:H)</f>
        <v/>
      </c>
      <c r="G97" s="18">
        <f>M97</f>
        <v/>
      </c>
      <c r="H97" s="18">
        <f>R97+W97+AB97+AG97</f>
        <v/>
      </c>
      <c r="I97" s="18">
        <f>+SUMIF(Рўйхат!$C:$C,$B97,Рўйхат!J:J)</f>
        <v/>
      </c>
      <c r="J97" s="18">
        <f>+SUMIF(Рўйхат!$C:$C,$B97,Рўйхат!K:K)</f>
        <v/>
      </c>
      <c r="K97" s="17">
        <f>+SUMIF(Рўйхат!$C:$C,$B97,Рўйхат!L:L)</f>
        <v/>
      </c>
      <c r="L97" s="18">
        <f>+SUMIF(Рўйхат!$C:$C,$B97,Рўйхат!M:M)</f>
        <v/>
      </c>
      <c r="M97" s="18">
        <f>+SUMIF(Рўйхат!$C:$C,$B97,Рўйхат!N:N)</f>
        <v/>
      </c>
      <c r="N97" s="18">
        <f>+SUMIF(Рўйхат!$C:$C,$B97,Рўйхат!O:O)</f>
        <v/>
      </c>
      <c r="O97" s="18">
        <f>+SUMIF(Рўйхат!$C:$C,$B97,Рўйхат!P:P)</f>
        <v/>
      </c>
      <c r="P97" s="17">
        <f>+SUMIF(Рўйхат!$C:$C,$B97,Рўйхат!Q:Q)</f>
        <v/>
      </c>
      <c r="Q97" s="18">
        <f>+SUMIF(Рўйхат!$C:$C,$B97,Рўйхат!R:R)</f>
        <v/>
      </c>
      <c r="R97" s="18">
        <f>+SUMIF(Рўйхат!$C:$C,$B97,Рўйхат!S:S)</f>
        <v/>
      </c>
      <c r="S97" s="18">
        <f>+SUMIF(Рўйхат!$C:$C,$B97,Рўйхат!T:T)</f>
        <v/>
      </c>
      <c r="T97" s="18">
        <f>+SUMIF(Рўйхат!$C:$C,$B97,Рўйхат!U:U)</f>
        <v/>
      </c>
      <c r="U97" s="17">
        <f>+SUMIF(Рўйхат!$C:$C,$B97,Рўйхат!V:V)</f>
        <v/>
      </c>
      <c r="V97" s="18">
        <f>+SUMIF(Рўйхат!$C:$C,$B97,Рўйхат!W:W)</f>
        <v/>
      </c>
      <c r="W97" s="18">
        <f>+SUMIF(Рўйхат!$C:$C,$B97,Рўйхат!X:X)</f>
        <v/>
      </c>
      <c r="X97" s="18">
        <f>+SUMIF(Рўйхат!$C:$C,$B97,Рўйхат!Y:Y)</f>
        <v/>
      </c>
      <c r="Y97" s="18">
        <f>+SUMIF(Рўйхат!$C:$C,$B97,Рўйхат!Z:Z)</f>
        <v/>
      </c>
      <c r="Z97" s="17">
        <f>+SUMIF(Рўйхат!$C:$C,$B97,Рўйхат!AA:AA)</f>
        <v/>
      </c>
      <c r="AA97" s="18">
        <f>+SUMIF(Рўйхат!$C:$C,$B97,Рўйхат!AB:AB)</f>
        <v/>
      </c>
      <c r="AB97" s="18">
        <f>+SUMIF(Рўйхат!$C:$C,$B97,Рўйхат!AC:AC)</f>
        <v/>
      </c>
      <c r="AC97" s="18">
        <f>+SUMIF(Рўйхат!$C:$C,$B97,Рўйхат!AD:AD)</f>
        <v/>
      </c>
      <c r="AD97" s="18">
        <f>+SUMIF(Рўйхат!$C:$C,$B97,Рўйхат!AE:AE)</f>
        <v/>
      </c>
      <c r="AE97" s="17">
        <f>+SUMIF(Рўйхат!$C:$C,$B97,Рўйхат!AF:AF)</f>
        <v/>
      </c>
      <c r="AF97" s="18">
        <f>+SUMIF(Рўйхат!$C:$C,$B97,Рўйхат!AG:AG)</f>
        <v/>
      </c>
      <c r="AG97" s="18">
        <f>+SUMIF(Рўйхат!$C:$C,$B97,Рўйхат!AH:AH)</f>
        <v/>
      </c>
      <c r="AH97" s="33">
        <f>+SUMIF(Рўйхат!$C:$C,$B97,Рўйхат!AI:AI)</f>
        <v/>
      </c>
      <c r="AI97" s="19">
        <f>+SUMIF(Рўйхат!$C:$C,$B97,Рўйхат!AJ:AJ)</f>
        <v/>
      </c>
    </row>
    <row r="98" ht="34" customHeight="1">
      <c r="A98" s="64">
        <f>+A97+1</f>
        <v/>
      </c>
      <c r="B98" s="47" t="inlineStr">
        <is>
          <t>Иссиқлик электр станциялари АЖ</t>
        </is>
      </c>
      <c r="C98" s="28">
        <f>IF(IFERROR(VLOOKUP(B98,Рўйхат!C:E,2,0),"")="[NULL]","",IFERROR(VLOOKUP(B98,Рўйхат!C:E,2,0),""))</f>
        <v/>
      </c>
      <c r="D98" s="28">
        <f>IFERROR(VLOOKUP(B98,Рўйхат!C:E,3,0),"")</f>
        <v/>
      </c>
      <c r="E98" s="17">
        <f>+SUMIF(Рўйхат!$C:$C,$B98,Рўйхат!G:G)</f>
        <v/>
      </c>
      <c r="F98" s="18">
        <f>+SUMIF(Рўйхат!$C:$C,$B98,Рўйхат!H:H)</f>
        <v/>
      </c>
      <c r="G98" s="18">
        <f>M98</f>
        <v/>
      </c>
      <c r="H98" s="18">
        <f>R98+W98+AB98+AG98</f>
        <v/>
      </c>
      <c r="I98" s="18">
        <f>+SUMIF(Рўйхат!$C:$C,$B98,Рўйхат!J:J)</f>
        <v/>
      </c>
      <c r="J98" s="18">
        <f>+SUMIF(Рўйхат!$C:$C,$B98,Рўйхат!K:K)</f>
        <v/>
      </c>
      <c r="K98" s="17">
        <f>+SUMIF(Рўйхат!$C:$C,$B98,Рўйхат!L:L)</f>
        <v/>
      </c>
      <c r="L98" s="18">
        <f>+SUMIF(Рўйхат!$C:$C,$B98,Рўйхат!M:M)</f>
        <v/>
      </c>
      <c r="M98" s="18">
        <f>+SUMIF(Рўйхат!$C:$C,$B98,Рўйхат!N:N)</f>
        <v/>
      </c>
      <c r="N98" s="18">
        <f>+SUMIF(Рўйхат!$C:$C,$B98,Рўйхат!O:O)</f>
        <v/>
      </c>
      <c r="O98" s="18">
        <f>+SUMIF(Рўйхат!$C:$C,$B98,Рўйхат!P:P)</f>
        <v/>
      </c>
      <c r="P98" s="17">
        <f>+SUMIF(Рўйхат!$C:$C,$B98,Рўйхат!Q:Q)</f>
        <v/>
      </c>
      <c r="Q98" s="18">
        <f>+SUMIF(Рўйхат!$C:$C,$B98,Рўйхат!R:R)</f>
        <v/>
      </c>
      <c r="R98" s="18">
        <f>+SUMIF(Рўйхат!$C:$C,$B98,Рўйхат!S:S)</f>
        <v/>
      </c>
      <c r="S98" s="18">
        <f>+SUMIF(Рўйхат!$C:$C,$B98,Рўйхат!T:T)</f>
        <v/>
      </c>
      <c r="T98" s="18">
        <f>+SUMIF(Рўйхат!$C:$C,$B98,Рўйхат!U:U)</f>
        <v/>
      </c>
      <c r="U98" s="17">
        <f>+SUMIF(Рўйхат!$C:$C,$B98,Рўйхат!V:V)</f>
        <v/>
      </c>
      <c r="V98" s="18">
        <f>+SUMIF(Рўйхат!$C:$C,$B98,Рўйхат!W:W)</f>
        <v/>
      </c>
      <c r="W98" s="18">
        <f>+SUMIF(Рўйхат!$C:$C,$B98,Рўйхат!X:X)</f>
        <v/>
      </c>
      <c r="X98" s="18">
        <f>+SUMIF(Рўйхат!$C:$C,$B98,Рўйхат!Y:Y)</f>
        <v/>
      </c>
      <c r="Y98" s="18">
        <f>+SUMIF(Рўйхат!$C:$C,$B98,Рўйхат!Z:Z)</f>
        <v/>
      </c>
      <c r="Z98" s="17">
        <f>+SUMIF(Рўйхат!$C:$C,$B98,Рўйхат!AA:AA)</f>
        <v/>
      </c>
      <c r="AA98" s="18">
        <f>+SUMIF(Рўйхат!$C:$C,$B98,Рўйхат!AB:AB)</f>
        <v/>
      </c>
      <c r="AB98" s="18">
        <f>+SUMIF(Рўйхат!$C:$C,$B98,Рўйхат!AC:AC)</f>
        <v/>
      </c>
      <c r="AC98" s="18">
        <f>+SUMIF(Рўйхат!$C:$C,$B98,Рўйхат!AD:AD)</f>
        <v/>
      </c>
      <c r="AD98" s="18">
        <f>+SUMIF(Рўйхат!$C:$C,$B98,Рўйхат!AE:AE)</f>
        <v/>
      </c>
      <c r="AE98" s="17">
        <f>+SUMIF(Рўйхат!$C:$C,$B98,Рўйхат!AF:AF)</f>
        <v/>
      </c>
      <c r="AF98" s="18">
        <f>+SUMIF(Рўйхат!$C:$C,$B98,Рўйхат!AG:AG)</f>
        <v/>
      </c>
      <c r="AG98" s="18">
        <f>+SUMIF(Рўйхат!$C:$C,$B98,Рўйхат!AH:AH)</f>
        <v/>
      </c>
      <c r="AH98" s="33">
        <f>+SUMIF(Рўйхат!$C:$C,$B98,Рўйхат!AI:AI)</f>
        <v/>
      </c>
      <c r="AI98" s="19">
        <f>+SUMIF(Рўйхат!$C:$C,$B98,Рўйхат!AJ:AJ)</f>
        <v/>
      </c>
    </row>
    <row r="99" ht="34" customHeight="1">
      <c r="A99" s="64">
        <f>+A98+1</f>
        <v/>
      </c>
      <c r="B99" s="47" t="inlineStr">
        <is>
          <t>Навоий кон-металлургия комбинати жамгармаси ДМ</t>
        </is>
      </c>
      <c r="C99" s="28">
        <f>IF(IFERROR(VLOOKUP(B99,Рўйхат!C:E,2,0),"")="[NULL]","",IFERROR(VLOOKUP(B99,Рўйхат!C:E,2,0),""))</f>
        <v/>
      </c>
      <c r="D99" s="28">
        <f>IFERROR(VLOOKUP(B99,Рўйхат!C:E,3,0),"")</f>
        <v/>
      </c>
      <c r="E99" s="17">
        <f>+SUMIF(Рўйхат!$C:$C,$B99,Рўйхат!G:G)</f>
        <v/>
      </c>
      <c r="F99" s="18">
        <f>+SUMIF(Рўйхат!$C:$C,$B99,Рўйхат!H:H)</f>
        <v/>
      </c>
      <c r="G99" s="18">
        <f>M99</f>
        <v/>
      </c>
      <c r="H99" s="18">
        <f>R99+W99+AB99+AG99</f>
        <v/>
      </c>
      <c r="I99" s="18">
        <f>+SUMIF(Рўйхат!$C:$C,$B99,Рўйхат!J:J)</f>
        <v/>
      </c>
      <c r="J99" s="18">
        <f>+SUMIF(Рўйхат!$C:$C,$B99,Рўйхат!K:K)</f>
        <v/>
      </c>
      <c r="K99" s="17">
        <f>+SUMIF(Рўйхат!$C:$C,$B99,Рўйхат!L:L)</f>
        <v/>
      </c>
      <c r="L99" s="18">
        <f>+SUMIF(Рўйхат!$C:$C,$B99,Рўйхат!M:M)</f>
        <v/>
      </c>
      <c r="M99" s="18">
        <f>+SUMIF(Рўйхат!$C:$C,$B99,Рўйхат!N:N)</f>
        <v/>
      </c>
      <c r="N99" s="18">
        <f>+SUMIF(Рўйхат!$C:$C,$B99,Рўйхат!O:O)</f>
        <v/>
      </c>
      <c r="O99" s="18">
        <f>+SUMIF(Рўйхат!$C:$C,$B99,Рўйхат!P:P)</f>
        <v/>
      </c>
      <c r="P99" s="17">
        <f>+SUMIF(Рўйхат!$C:$C,$B99,Рўйхат!Q:Q)</f>
        <v/>
      </c>
      <c r="Q99" s="18">
        <f>+SUMIF(Рўйхат!$C:$C,$B99,Рўйхат!R:R)</f>
        <v/>
      </c>
      <c r="R99" s="18">
        <f>+SUMIF(Рўйхат!$C:$C,$B99,Рўйхат!S:S)</f>
        <v/>
      </c>
      <c r="S99" s="18">
        <f>+SUMIF(Рўйхат!$C:$C,$B99,Рўйхат!T:T)</f>
        <v/>
      </c>
      <c r="T99" s="18">
        <f>+SUMIF(Рўйхат!$C:$C,$B99,Рўйхат!U:U)</f>
        <v/>
      </c>
      <c r="U99" s="17">
        <f>+SUMIF(Рўйхат!$C:$C,$B99,Рўйхат!V:V)</f>
        <v/>
      </c>
      <c r="V99" s="18">
        <f>+SUMIF(Рўйхат!$C:$C,$B99,Рўйхат!W:W)</f>
        <v/>
      </c>
      <c r="W99" s="18">
        <f>+SUMIF(Рўйхат!$C:$C,$B99,Рўйхат!X:X)</f>
        <v/>
      </c>
      <c r="X99" s="18">
        <f>+SUMIF(Рўйхат!$C:$C,$B99,Рўйхат!Y:Y)</f>
        <v/>
      </c>
      <c r="Y99" s="18">
        <f>+SUMIF(Рўйхат!$C:$C,$B99,Рўйхат!Z:Z)</f>
        <v/>
      </c>
      <c r="Z99" s="17">
        <f>+SUMIF(Рўйхат!$C:$C,$B99,Рўйхат!AA:AA)</f>
        <v/>
      </c>
      <c r="AA99" s="18">
        <f>+SUMIF(Рўйхат!$C:$C,$B99,Рўйхат!AB:AB)</f>
        <v/>
      </c>
      <c r="AB99" s="18">
        <f>+SUMIF(Рўйхат!$C:$C,$B99,Рўйхат!AC:AC)</f>
        <v/>
      </c>
      <c r="AC99" s="18">
        <f>+SUMIF(Рўйхат!$C:$C,$B99,Рўйхат!AD:AD)</f>
        <v/>
      </c>
      <c r="AD99" s="18">
        <f>+SUMIF(Рўйхат!$C:$C,$B99,Рўйхат!AE:AE)</f>
        <v/>
      </c>
      <c r="AE99" s="17">
        <f>+SUMIF(Рўйхат!$C:$C,$B99,Рўйхат!AF:AF)</f>
        <v/>
      </c>
      <c r="AF99" s="18">
        <f>+SUMIF(Рўйхат!$C:$C,$B99,Рўйхат!AG:AG)</f>
        <v/>
      </c>
      <c r="AG99" s="18">
        <f>+SUMIF(Рўйхат!$C:$C,$B99,Рўйхат!AH:AH)</f>
        <v/>
      </c>
      <c r="AH99" s="33">
        <f>+SUMIF(Рўйхат!$C:$C,$B99,Рўйхат!AI:AI)</f>
        <v/>
      </c>
      <c r="AI99" s="19">
        <f>+SUMIF(Рўйхат!$C:$C,$B99,Рўйхат!AJ:AJ)</f>
        <v/>
      </c>
    </row>
    <row r="100" ht="17" customHeight="1">
      <c r="A100" s="64">
        <f>+A99+1</f>
        <v/>
      </c>
      <c r="B100" s="47" t="inlineStr">
        <is>
          <t>“Навоийуран” ДК</t>
        </is>
      </c>
      <c r="C100" s="28">
        <f>IF(IFERROR(VLOOKUP(B100,Рўйхат!C:E,2,0),"")="[NULL]","",IFERROR(VLOOKUP(B100,Рўйхат!C:E,2,0),""))</f>
        <v/>
      </c>
      <c r="D100" s="28">
        <f>IFERROR(VLOOKUP(B100,Рўйхат!C:E,3,0),"")</f>
        <v/>
      </c>
      <c r="E100" s="17">
        <f>+SUMIF(Рўйхат!$C:$C,$B100,Рўйхат!G:G)</f>
        <v/>
      </c>
      <c r="F100" s="18">
        <f>+SUMIF(Рўйхат!$C:$C,$B100,Рўйхат!H:H)</f>
        <v/>
      </c>
      <c r="G100" s="18">
        <f>M100</f>
        <v/>
      </c>
      <c r="H100" s="18">
        <f>R100+W100+AB100+AG100</f>
        <v/>
      </c>
      <c r="I100" s="18">
        <f>+SUMIF(Рўйхат!$C:$C,$B100,Рўйхат!J:J)</f>
        <v/>
      </c>
      <c r="J100" s="18">
        <f>+SUMIF(Рўйхат!$C:$C,$B100,Рўйхат!K:K)</f>
        <v/>
      </c>
      <c r="K100" s="17">
        <f>+SUMIF(Рўйхат!$C:$C,$B100,Рўйхат!L:L)</f>
        <v/>
      </c>
      <c r="L100" s="18">
        <f>+SUMIF(Рўйхат!$C:$C,$B100,Рўйхат!M:M)</f>
        <v/>
      </c>
      <c r="M100" s="18">
        <f>+SUMIF(Рўйхат!$C:$C,$B100,Рўйхат!N:N)</f>
        <v/>
      </c>
      <c r="N100" s="18">
        <f>+SUMIF(Рўйхат!$C:$C,$B100,Рўйхат!O:O)</f>
        <v/>
      </c>
      <c r="O100" s="18">
        <f>+SUMIF(Рўйхат!$C:$C,$B100,Рўйхат!P:P)</f>
        <v/>
      </c>
      <c r="P100" s="17">
        <f>+SUMIF(Рўйхат!$C:$C,$B100,Рўйхат!Q:Q)</f>
        <v/>
      </c>
      <c r="Q100" s="18">
        <f>+SUMIF(Рўйхат!$C:$C,$B100,Рўйхат!R:R)</f>
        <v/>
      </c>
      <c r="R100" s="18">
        <f>+SUMIF(Рўйхат!$C:$C,$B100,Рўйхат!S:S)</f>
        <v/>
      </c>
      <c r="S100" s="18">
        <f>+SUMIF(Рўйхат!$C:$C,$B100,Рўйхат!T:T)</f>
        <v/>
      </c>
      <c r="T100" s="18">
        <f>+SUMIF(Рўйхат!$C:$C,$B100,Рўйхат!U:U)</f>
        <v/>
      </c>
      <c r="U100" s="17">
        <f>+SUMIF(Рўйхат!$C:$C,$B100,Рўйхат!V:V)</f>
        <v/>
      </c>
      <c r="V100" s="18">
        <f>+SUMIF(Рўйхат!$C:$C,$B100,Рўйхат!W:W)</f>
        <v/>
      </c>
      <c r="W100" s="18">
        <f>+SUMIF(Рўйхат!$C:$C,$B100,Рўйхат!X:X)</f>
        <v/>
      </c>
      <c r="X100" s="18">
        <f>+SUMIF(Рўйхат!$C:$C,$B100,Рўйхат!Y:Y)</f>
        <v/>
      </c>
      <c r="Y100" s="18">
        <f>+SUMIF(Рўйхат!$C:$C,$B100,Рўйхат!Z:Z)</f>
        <v/>
      </c>
      <c r="Z100" s="17">
        <f>+SUMIF(Рўйхат!$C:$C,$B100,Рўйхат!AA:AA)</f>
        <v/>
      </c>
      <c r="AA100" s="18">
        <f>+SUMIF(Рўйхат!$C:$C,$B100,Рўйхат!AB:AB)</f>
        <v/>
      </c>
      <c r="AB100" s="18">
        <f>+SUMIF(Рўйхат!$C:$C,$B100,Рўйхат!AC:AC)</f>
        <v/>
      </c>
      <c r="AC100" s="18">
        <f>+SUMIF(Рўйхат!$C:$C,$B100,Рўйхат!AD:AD)</f>
        <v/>
      </c>
      <c r="AD100" s="18">
        <f>+SUMIF(Рўйхат!$C:$C,$B100,Рўйхат!AE:AE)</f>
        <v/>
      </c>
      <c r="AE100" s="17">
        <f>+SUMIF(Рўйхат!$C:$C,$B100,Рўйхат!AF:AF)</f>
        <v/>
      </c>
      <c r="AF100" s="18">
        <f>+SUMIF(Рўйхат!$C:$C,$B100,Рўйхат!AG:AG)</f>
        <v/>
      </c>
      <c r="AG100" s="18">
        <f>+SUMIF(Рўйхат!$C:$C,$B100,Рўйхат!AH:AH)</f>
        <v/>
      </c>
      <c r="AH100" s="33">
        <f>+SUMIF(Рўйхат!$C:$C,$B100,Рўйхат!AI:AI)</f>
        <v/>
      </c>
      <c r="AI100" s="19">
        <f>+SUMIF(Рўйхат!$C:$C,$B100,Рўйхат!AJ:AJ)</f>
        <v/>
      </c>
    </row>
    <row r="101" ht="34" customHeight="1">
      <c r="A101" s="64">
        <f>+A100+1</f>
        <v/>
      </c>
      <c r="B101" s="47" t="inlineStr">
        <is>
          <t>Angren issiqlik elektr stansiyasi AJ</t>
        </is>
      </c>
      <c r="C101" s="28">
        <f>IF(IFERROR(VLOOKUP(B101,Рўйхат!C:E,2,0),"")="[NULL]","",IFERROR(VLOOKUP(B101,Рўйхат!C:E,2,0),""))</f>
        <v/>
      </c>
      <c r="D101" s="28">
        <f>IFERROR(VLOOKUP(B101,Рўйхат!C:E,3,0),"")</f>
        <v/>
      </c>
      <c r="E101" s="17">
        <f>+SUMIF(Рўйхат!$C:$C,$B101,Рўйхат!G:G)</f>
        <v/>
      </c>
      <c r="F101" s="18">
        <f>+SUMIF(Рўйхат!$C:$C,$B101,Рўйхат!H:H)</f>
        <v/>
      </c>
      <c r="G101" s="18">
        <f>M101</f>
        <v/>
      </c>
      <c r="H101" s="18">
        <f>R101+W101+AB101+AG101</f>
        <v/>
      </c>
      <c r="I101" s="18">
        <f>+SUMIF(Рўйхат!$C:$C,$B101,Рўйхат!J:J)</f>
        <v/>
      </c>
      <c r="J101" s="18">
        <f>+SUMIF(Рўйхат!$C:$C,$B101,Рўйхат!K:K)</f>
        <v/>
      </c>
      <c r="K101" s="17">
        <f>+SUMIF(Рўйхат!$C:$C,$B101,Рўйхат!L:L)</f>
        <v/>
      </c>
      <c r="L101" s="18">
        <f>+SUMIF(Рўйхат!$C:$C,$B101,Рўйхат!M:M)</f>
        <v/>
      </c>
      <c r="M101" s="18">
        <f>+SUMIF(Рўйхат!$C:$C,$B101,Рўйхат!N:N)</f>
        <v/>
      </c>
      <c r="N101" s="18">
        <f>+SUMIF(Рўйхат!$C:$C,$B101,Рўйхат!O:O)</f>
        <v/>
      </c>
      <c r="O101" s="18">
        <f>+SUMIF(Рўйхат!$C:$C,$B101,Рўйхат!P:P)</f>
        <v/>
      </c>
      <c r="P101" s="17">
        <f>+SUMIF(Рўйхат!$C:$C,$B101,Рўйхат!Q:Q)</f>
        <v/>
      </c>
      <c r="Q101" s="18">
        <f>+SUMIF(Рўйхат!$C:$C,$B101,Рўйхат!R:R)</f>
        <v/>
      </c>
      <c r="R101" s="18">
        <f>+SUMIF(Рўйхат!$C:$C,$B101,Рўйхат!S:S)</f>
        <v/>
      </c>
      <c r="S101" s="18">
        <f>+SUMIF(Рўйхат!$C:$C,$B101,Рўйхат!T:T)</f>
        <v/>
      </c>
      <c r="T101" s="18">
        <f>+SUMIF(Рўйхат!$C:$C,$B101,Рўйхат!U:U)</f>
        <v/>
      </c>
      <c r="U101" s="17">
        <f>+SUMIF(Рўйхат!$C:$C,$B101,Рўйхат!V:V)</f>
        <v/>
      </c>
      <c r="V101" s="18">
        <f>+SUMIF(Рўйхат!$C:$C,$B101,Рўйхат!W:W)</f>
        <v/>
      </c>
      <c r="W101" s="18">
        <f>+SUMIF(Рўйхат!$C:$C,$B101,Рўйхат!X:X)</f>
        <v/>
      </c>
      <c r="X101" s="18">
        <f>+SUMIF(Рўйхат!$C:$C,$B101,Рўйхат!Y:Y)</f>
        <v/>
      </c>
      <c r="Y101" s="18">
        <f>+SUMIF(Рўйхат!$C:$C,$B101,Рўйхат!Z:Z)</f>
        <v/>
      </c>
      <c r="Z101" s="17">
        <f>+SUMIF(Рўйхат!$C:$C,$B101,Рўйхат!AA:AA)</f>
        <v/>
      </c>
      <c r="AA101" s="18">
        <f>+SUMIF(Рўйхат!$C:$C,$B101,Рўйхат!AB:AB)</f>
        <v/>
      </c>
      <c r="AB101" s="18">
        <f>+SUMIF(Рўйхат!$C:$C,$B101,Рўйхат!AC:AC)</f>
        <v/>
      </c>
      <c r="AC101" s="18">
        <f>+SUMIF(Рўйхат!$C:$C,$B101,Рўйхат!AD:AD)</f>
        <v/>
      </c>
      <c r="AD101" s="18">
        <f>+SUMIF(Рўйхат!$C:$C,$B101,Рўйхат!AE:AE)</f>
        <v/>
      </c>
      <c r="AE101" s="17">
        <f>+SUMIF(Рўйхат!$C:$C,$B101,Рўйхат!AF:AF)</f>
        <v/>
      </c>
      <c r="AF101" s="18">
        <f>+SUMIF(Рўйхат!$C:$C,$B101,Рўйхат!AG:AG)</f>
        <v/>
      </c>
      <c r="AG101" s="18">
        <f>+SUMIF(Рўйхат!$C:$C,$B101,Рўйхат!AH:AH)</f>
        <v/>
      </c>
      <c r="AH101" s="33">
        <f>+SUMIF(Рўйхат!$C:$C,$B101,Рўйхат!AI:AI)</f>
        <v/>
      </c>
      <c r="AI101" s="19">
        <f>+SUMIF(Рўйхат!$C:$C,$B101,Рўйхат!AJ:AJ)</f>
        <v/>
      </c>
    </row>
    <row r="102" ht="34" customHeight="1">
      <c r="A102" s="64">
        <f>+A101+1</f>
        <v/>
      </c>
      <c r="B102" s="47" t="inlineStr">
        <is>
          <t>Ўзмиллийбанк АЖ</t>
        </is>
      </c>
      <c r="C102" s="28">
        <f>IF(IFERROR(VLOOKUP(B102,Рўйхат!C:E,2,0),"")="[NULL]","",IFERROR(VLOOKUP(B102,Рўйхат!C:E,2,0),""))</f>
        <v/>
      </c>
      <c r="D102" s="28">
        <f>IFERROR(VLOOKUP(B102,Рўйхат!C:E,3,0),"")</f>
        <v/>
      </c>
      <c r="E102" s="17">
        <f>+SUMIF(Рўйхат!$C:$C,$B102,Рўйхат!G:G)</f>
        <v/>
      </c>
      <c r="F102" s="18">
        <f>+SUMIF(Рўйхат!$C:$C,$B102,Рўйхат!H:H)</f>
        <v/>
      </c>
      <c r="G102" s="18">
        <f>M102</f>
        <v/>
      </c>
      <c r="H102" s="18">
        <f>R102+W102+AB102+AG102</f>
        <v/>
      </c>
      <c r="I102" s="18">
        <f>+SUMIF(Рўйхат!$C:$C,$B102,Рўйхат!J:J)</f>
        <v/>
      </c>
      <c r="J102" s="18">
        <f>+SUMIF(Рўйхат!$C:$C,$B102,Рўйхат!K:K)</f>
        <v/>
      </c>
      <c r="K102" s="17">
        <f>+SUMIF(Рўйхат!$C:$C,$B102,Рўйхат!L:L)</f>
        <v/>
      </c>
      <c r="L102" s="18">
        <f>+SUMIF(Рўйхат!$C:$C,$B102,Рўйхат!M:M)</f>
        <v/>
      </c>
      <c r="M102" s="18">
        <f>+SUMIF(Рўйхат!$C:$C,$B102,Рўйхат!N:N)</f>
        <v/>
      </c>
      <c r="N102" s="18">
        <f>+SUMIF(Рўйхат!$C:$C,$B102,Рўйхат!O:O)</f>
        <v/>
      </c>
      <c r="O102" s="18">
        <f>+SUMIF(Рўйхат!$C:$C,$B102,Рўйхат!P:P)</f>
        <v/>
      </c>
      <c r="P102" s="17">
        <f>+SUMIF(Рўйхат!$C:$C,$B102,Рўйхат!Q:Q)</f>
        <v/>
      </c>
      <c r="Q102" s="18">
        <f>+SUMIF(Рўйхат!$C:$C,$B102,Рўйхат!R:R)</f>
        <v/>
      </c>
      <c r="R102" s="18">
        <f>+SUMIF(Рўйхат!$C:$C,$B102,Рўйхат!S:S)</f>
        <v/>
      </c>
      <c r="S102" s="18">
        <f>+SUMIF(Рўйхат!$C:$C,$B102,Рўйхат!T:T)</f>
        <v/>
      </c>
      <c r="T102" s="18">
        <f>+SUMIF(Рўйхат!$C:$C,$B102,Рўйхат!U:U)</f>
        <v/>
      </c>
      <c r="U102" s="17">
        <f>+SUMIF(Рўйхат!$C:$C,$B102,Рўйхат!V:V)</f>
        <v/>
      </c>
      <c r="V102" s="18">
        <f>+SUMIF(Рўйхат!$C:$C,$B102,Рўйхат!W:W)</f>
        <v/>
      </c>
      <c r="W102" s="18">
        <f>+SUMIF(Рўйхат!$C:$C,$B102,Рўйхат!X:X)</f>
        <v/>
      </c>
      <c r="X102" s="18">
        <f>+SUMIF(Рўйхат!$C:$C,$B102,Рўйхат!Y:Y)</f>
        <v/>
      </c>
      <c r="Y102" s="18">
        <f>+SUMIF(Рўйхат!$C:$C,$B102,Рўйхат!Z:Z)</f>
        <v/>
      </c>
      <c r="Z102" s="17">
        <f>+SUMIF(Рўйхат!$C:$C,$B102,Рўйхат!AA:AA)</f>
        <v/>
      </c>
      <c r="AA102" s="18">
        <f>+SUMIF(Рўйхат!$C:$C,$B102,Рўйхат!AB:AB)</f>
        <v/>
      </c>
      <c r="AB102" s="18">
        <f>+SUMIF(Рўйхат!$C:$C,$B102,Рўйхат!AC:AC)</f>
        <v/>
      </c>
      <c r="AC102" s="18">
        <f>+SUMIF(Рўйхат!$C:$C,$B102,Рўйхат!AD:AD)</f>
        <v/>
      </c>
      <c r="AD102" s="18">
        <f>+SUMIF(Рўйхат!$C:$C,$B102,Рўйхат!AE:AE)</f>
        <v/>
      </c>
      <c r="AE102" s="17">
        <f>+SUMIF(Рўйхат!$C:$C,$B102,Рўйхат!AF:AF)</f>
        <v/>
      </c>
      <c r="AF102" s="18">
        <f>+SUMIF(Рўйхат!$C:$C,$B102,Рўйхат!AG:AG)</f>
        <v/>
      </c>
      <c r="AG102" s="18">
        <f>+SUMIF(Рўйхат!$C:$C,$B102,Рўйхат!AH:AH)</f>
        <v/>
      </c>
      <c r="AH102" s="33">
        <f>+SUMIF(Рўйхат!$C:$C,$B102,Рўйхат!AI:AI)</f>
        <v/>
      </c>
      <c r="AI102" s="19">
        <f>+SUMIF(Рўйхат!$C:$C,$B102,Рўйхат!AJ:AJ)</f>
        <v/>
      </c>
    </row>
    <row r="103" ht="34" customHeight="1">
      <c r="A103" s="64">
        <f>+A102+1</f>
        <v/>
      </c>
      <c r="B103" s="47" t="inlineStr">
        <is>
          <t>Биокимё АЖ</t>
        </is>
      </c>
      <c r="C103" s="28">
        <f>IF(IFERROR(VLOOKUP(B103,Рўйхат!C:E,2,0),"")="[NULL]","",IFERROR(VLOOKUP(B103,Рўйхат!C:E,2,0),""))</f>
        <v/>
      </c>
      <c r="D103" s="28">
        <f>IFERROR(VLOOKUP(B103,Рўйхат!C:E,3,0),"")</f>
        <v/>
      </c>
      <c r="E103" s="17">
        <f>+SUMIF(Рўйхат!$C:$C,$B103,Рўйхат!G:G)</f>
        <v/>
      </c>
      <c r="F103" s="18">
        <f>+SUMIF(Рўйхат!$C:$C,$B103,Рўйхат!H:H)</f>
        <v/>
      </c>
      <c r="G103" s="18">
        <f>M103</f>
        <v/>
      </c>
      <c r="H103" s="18">
        <f>R103+W103+AB103+AG103</f>
        <v/>
      </c>
      <c r="I103" s="18">
        <f>+SUMIF(Рўйхат!$C:$C,$B103,Рўйхат!J:J)</f>
        <v/>
      </c>
      <c r="J103" s="18">
        <f>+SUMIF(Рўйхат!$C:$C,$B103,Рўйхат!K:K)</f>
        <v/>
      </c>
      <c r="K103" s="17">
        <f>+SUMIF(Рўйхат!$C:$C,$B103,Рўйхат!L:L)</f>
        <v/>
      </c>
      <c r="L103" s="18">
        <f>+SUMIF(Рўйхат!$C:$C,$B103,Рўйхат!M:M)</f>
        <v/>
      </c>
      <c r="M103" s="18">
        <f>+SUMIF(Рўйхат!$C:$C,$B103,Рўйхат!N:N)</f>
        <v/>
      </c>
      <c r="N103" s="18">
        <f>+SUMIF(Рўйхат!$C:$C,$B103,Рўйхат!O:O)</f>
        <v/>
      </c>
      <c r="O103" s="18">
        <f>+SUMIF(Рўйхат!$C:$C,$B103,Рўйхат!P:P)</f>
        <v/>
      </c>
      <c r="P103" s="17">
        <f>+SUMIF(Рўйхат!$C:$C,$B103,Рўйхат!Q:Q)</f>
        <v/>
      </c>
      <c r="Q103" s="18">
        <f>+SUMIF(Рўйхат!$C:$C,$B103,Рўйхат!R:R)</f>
        <v/>
      </c>
      <c r="R103" s="18">
        <f>+SUMIF(Рўйхат!$C:$C,$B103,Рўйхат!S:S)</f>
        <v/>
      </c>
      <c r="S103" s="18">
        <f>+SUMIF(Рўйхат!$C:$C,$B103,Рўйхат!T:T)</f>
        <v/>
      </c>
      <c r="T103" s="18">
        <f>+SUMIF(Рўйхат!$C:$C,$B103,Рўйхат!U:U)</f>
        <v/>
      </c>
      <c r="U103" s="17">
        <f>+SUMIF(Рўйхат!$C:$C,$B103,Рўйхат!V:V)</f>
        <v/>
      </c>
      <c r="V103" s="18">
        <f>+SUMIF(Рўйхат!$C:$C,$B103,Рўйхат!W:W)</f>
        <v/>
      </c>
      <c r="W103" s="18">
        <f>+SUMIF(Рўйхат!$C:$C,$B103,Рўйхат!X:X)</f>
        <v/>
      </c>
      <c r="X103" s="18">
        <f>+SUMIF(Рўйхат!$C:$C,$B103,Рўйхат!Y:Y)</f>
        <v/>
      </c>
      <c r="Y103" s="18">
        <f>+SUMIF(Рўйхат!$C:$C,$B103,Рўйхат!Z:Z)</f>
        <v/>
      </c>
      <c r="Z103" s="17">
        <f>+SUMIF(Рўйхат!$C:$C,$B103,Рўйхат!AA:AA)</f>
        <v/>
      </c>
      <c r="AA103" s="18">
        <f>+SUMIF(Рўйхат!$C:$C,$B103,Рўйхат!AB:AB)</f>
        <v/>
      </c>
      <c r="AB103" s="18">
        <f>+SUMIF(Рўйхат!$C:$C,$B103,Рўйхат!AC:AC)</f>
        <v/>
      </c>
      <c r="AC103" s="18">
        <f>+SUMIF(Рўйхат!$C:$C,$B103,Рўйхат!AD:AD)</f>
        <v/>
      </c>
      <c r="AD103" s="18">
        <f>+SUMIF(Рўйхат!$C:$C,$B103,Рўйхат!AE:AE)</f>
        <v/>
      </c>
      <c r="AE103" s="17">
        <f>+SUMIF(Рўйхат!$C:$C,$B103,Рўйхат!AF:AF)</f>
        <v/>
      </c>
      <c r="AF103" s="18">
        <f>+SUMIF(Рўйхат!$C:$C,$B103,Рўйхат!AG:AG)</f>
        <v/>
      </c>
      <c r="AG103" s="18">
        <f>+SUMIF(Рўйхат!$C:$C,$B103,Рўйхат!AH:AH)</f>
        <v/>
      </c>
      <c r="AH103" s="33">
        <f>+SUMIF(Рўйхат!$C:$C,$B103,Рўйхат!AI:AI)</f>
        <v/>
      </c>
      <c r="AI103" s="19">
        <f>+SUMIF(Рўйхат!$C:$C,$B103,Рўйхат!AJ:AJ)</f>
        <v/>
      </c>
    </row>
    <row r="104" ht="34" customHeight="1">
      <c r="A104" s="64">
        <f>+A103+1</f>
        <v/>
      </c>
      <c r="B104" s="47" t="inlineStr">
        <is>
          <t>Тошшаҳартрансхизмат АЖ</t>
        </is>
      </c>
      <c r="C104" s="28">
        <f>IF(IFERROR(VLOOKUP(B104,Рўйхат!C:E,2,0),"")="[NULL]","",IFERROR(VLOOKUP(B104,Рўйхат!C:E,2,0),""))</f>
        <v/>
      </c>
      <c r="D104" s="28">
        <f>IFERROR(VLOOKUP(B104,Рўйхат!C:E,3,0),"")</f>
        <v/>
      </c>
      <c r="E104" s="17">
        <f>+SUMIF(Рўйхат!$C:$C,$B104,Рўйхат!G:G)</f>
        <v/>
      </c>
      <c r="F104" s="18">
        <f>+SUMIF(Рўйхат!$C:$C,$B104,Рўйхат!H:H)</f>
        <v/>
      </c>
      <c r="G104" s="18">
        <f>M104</f>
        <v/>
      </c>
      <c r="H104" s="18">
        <f>R104+W104+AB104+AG104</f>
        <v/>
      </c>
      <c r="I104" s="18">
        <f>+SUMIF(Рўйхат!$C:$C,$B104,Рўйхат!J:J)</f>
        <v/>
      </c>
      <c r="J104" s="18">
        <f>+SUMIF(Рўйхат!$C:$C,$B104,Рўйхат!K:K)</f>
        <v/>
      </c>
      <c r="K104" s="17">
        <f>+SUMIF(Рўйхат!$C:$C,$B104,Рўйхат!L:L)</f>
        <v/>
      </c>
      <c r="L104" s="18">
        <f>+SUMIF(Рўйхат!$C:$C,$B104,Рўйхат!M:M)</f>
        <v/>
      </c>
      <c r="M104" s="18">
        <f>+SUMIF(Рўйхат!$C:$C,$B104,Рўйхат!N:N)</f>
        <v/>
      </c>
      <c r="N104" s="18">
        <f>+SUMIF(Рўйхат!$C:$C,$B104,Рўйхат!O:O)</f>
        <v/>
      </c>
      <c r="O104" s="18">
        <f>+SUMIF(Рўйхат!$C:$C,$B104,Рўйхат!P:P)</f>
        <v/>
      </c>
      <c r="P104" s="17">
        <f>+SUMIF(Рўйхат!$C:$C,$B104,Рўйхат!Q:Q)</f>
        <v/>
      </c>
      <c r="Q104" s="18">
        <f>+SUMIF(Рўйхат!$C:$C,$B104,Рўйхат!R:R)</f>
        <v/>
      </c>
      <c r="R104" s="18">
        <f>+SUMIF(Рўйхат!$C:$C,$B104,Рўйхат!S:S)</f>
        <v/>
      </c>
      <c r="S104" s="18">
        <f>+SUMIF(Рўйхат!$C:$C,$B104,Рўйхат!T:T)</f>
        <v/>
      </c>
      <c r="T104" s="18">
        <f>+SUMIF(Рўйхат!$C:$C,$B104,Рўйхат!U:U)</f>
        <v/>
      </c>
      <c r="U104" s="17">
        <f>+SUMIF(Рўйхат!$C:$C,$B104,Рўйхат!V:V)</f>
        <v/>
      </c>
      <c r="V104" s="18">
        <f>+SUMIF(Рўйхат!$C:$C,$B104,Рўйхат!W:W)</f>
        <v/>
      </c>
      <c r="W104" s="18">
        <f>+SUMIF(Рўйхат!$C:$C,$B104,Рўйхат!X:X)</f>
        <v/>
      </c>
      <c r="X104" s="18">
        <f>+SUMIF(Рўйхат!$C:$C,$B104,Рўйхат!Y:Y)</f>
        <v/>
      </c>
      <c r="Y104" s="18">
        <f>+SUMIF(Рўйхат!$C:$C,$B104,Рўйхат!Z:Z)</f>
        <v/>
      </c>
      <c r="Z104" s="17">
        <f>+SUMIF(Рўйхат!$C:$C,$B104,Рўйхат!AA:AA)</f>
        <v/>
      </c>
      <c r="AA104" s="18">
        <f>+SUMIF(Рўйхат!$C:$C,$B104,Рўйхат!AB:AB)</f>
        <v/>
      </c>
      <c r="AB104" s="18">
        <f>+SUMIF(Рўйхат!$C:$C,$B104,Рўйхат!AC:AC)</f>
        <v/>
      </c>
      <c r="AC104" s="18">
        <f>+SUMIF(Рўйхат!$C:$C,$B104,Рўйхат!AD:AD)</f>
        <v/>
      </c>
      <c r="AD104" s="18">
        <f>+SUMIF(Рўйхат!$C:$C,$B104,Рўйхат!AE:AE)</f>
        <v/>
      </c>
      <c r="AE104" s="17">
        <f>+SUMIF(Рўйхат!$C:$C,$B104,Рўйхат!AF:AF)</f>
        <v/>
      </c>
      <c r="AF104" s="18">
        <f>+SUMIF(Рўйхат!$C:$C,$B104,Рўйхат!AG:AG)</f>
        <v/>
      </c>
      <c r="AG104" s="18">
        <f>+SUMIF(Рўйхат!$C:$C,$B104,Рўйхат!AH:AH)</f>
        <v/>
      </c>
      <c r="AH104" s="33">
        <f>+SUMIF(Рўйхат!$C:$C,$B104,Рўйхат!AI:AI)</f>
        <v/>
      </c>
      <c r="AI104" s="19">
        <f>+SUMIF(Рўйхат!$C:$C,$B104,Рўйхат!AJ:AJ)</f>
        <v/>
      </c>
    </row>
    <row r="105" ht="17" customHeight="1">
      <c r="A105" s="64">
        <f>+A104+1</f>
        <v/>
      </c>
      <c r="B105" s="47" t="inlineStr">
        <is>
          <t>Коррупцияга қарши курашиш агентлиги</t>
        </is>
      </c>
      <c r="C105" s="28">
        <f>IF(IFERROR(VLOOKUP(B105,Рўйхат!C:E,2,0),"")="[NULL]","",IFERROR(VLOOKUP(B105,Рўйхат!C:E,2,0),""))</f>
        <v/>
      </c>
      <c r="D105" s="28">
        <f>IFERROR(VLOOKUP(B105,Рўйхат!C:E,3,0),"")</f>
        <v/>
      </c>
      <c r="E105" s="17">
        <f>+SUMIF(Рўйхат!$C:$C,$B105,Рўйхат!G:G)</f>
        <v/>
      </c>
      <c r="F105" s="18">
        <f>+SUMIF(Рўйхат!$C:$C,$B105,Рўйхат!H:H)</f>
        <v/>
      </c>
      <c r="G105" s="18">
        <f>M105</f>
        <v/>
      </c>
      <c r="H105" s="18">
        <f>R105+W105+AB105+AG105</f>
        <v/>
      </c>
      <c r="I105" s="18">
        <f>+SUMIF(Рўйхат!$C:$C,$B105,Рўйхат!J:J)</f>
        <v/>
      </c>
      <c r="J105" s="18">
        <f>+SUMIF(Рўйхат!$C:$C,$B105,Рўйхат!K:K)</f>
        <v/>
      </c>
      <c r="K105" s="17">
        <f>+SUMIF(Рўйхат!$C:$C,$B105,Рўйхат!L:L)</f>
        <v/>
      </c>
      <c r="L105" s="18">
        <f>+SUMIF(Рўйхат!$C:$C,$B105,Рўйхат!M:M)</f>
        <v/>
      </c>
      <c r="M105" s="18">
        <f>+SUMIF(Рўйхат!$C:$C,$B105,Рўйхат!N:N)</f>
        <v/>
      </c>
      <c r="N105" s="18">
        <f>+SUMIF(Рўйхат!$C:$C,$B105,Рўйхат!O:O)</f>
        <v/>
      </c>
      <c r="O105" s="18">
        <f>+SUMIF(Рўйхат!$C:$C,$B105,Рўйхат!P:P)</f>
        <v/>
      </c>
      <c r="P105" s="17">
        <f>+SUMIF(Рўйхат!$C:$C,$B105,Рўйхат!Q:Q)</f>
        <v/>
      </c>
      <c r="Q105" s="18">
        <f>+SUMIF(Рўйхат!$C:$C,$B105,Рўйхат!R:R)</f>
        <v/>
      </c>
      <c r="R105" s="18">
        <f>+SUMIF(Рўйхат!$C:$C,$B105,Рўйхат!S:S)</f>
        <v/>
      </c>
      <c r="S105" s="18">
        <f>+SUMIF(Рўйхат!$C:$C,$B105,Рўйхат!T:T)</f>
        <v/>
      </c>
      <c r="T105" s="18">
        <f>+SUMIF(Рўйхат!$C:$C,$B105,Рўйхат!U:U)</f>
        <v/>
      </c>
      <c r="U105" s="17">
        <f>+SUMIF(Рўйхат!$C:$C,$B105,Рўйхат!V:V)</f>
        <v/>
      </c>
      <c r="V105" s="18">
        <f>+SUMIF(Рўйхат!$C:$C,$B105,Рўйхат!W:W)</f>
        <v/>
      </c>
      <c r="W105" s="18">
        <f>+SUMIF(Рўйхат!$C:$C,$B105,Рўйхат!X:X)</f>
        <v/>
      </c>
      <c r="X105" s="18">
        <f>+SUMIF(Рўйхат!$C:$C,$B105,Рўйхат!Y:Y)</f>
        <v/>
      </c>
      <c r="Y105" s="18">
        <f>+SUMIF(Рўйхат!$C:$C,$B105,Рўйхат!Z:Z)</f>
        <v/>
      </c>
      <c r="Z105" s="17">
        <f>+SUMIF(Рўйхат!$C:$C,$B105,Рўйхат!AA:AA)</f>
        <v/>
      </c>
      <c r="AA105" s="18">
        <f>+SUMIF(Рўйхат!$C:$C,$B105,Рўйхат!AB:AB)</f>
        <v/>
      </c>
      <c r="AB105" s="18">
        <f>+SUMIF(Рўйхат!$C:$C,$B105,Рўйхат!AC:AC)</f>
        <v/>
      </c>
      <c r="AC105" s="18">
        <f>+SUMIF(Рўйхат!$C:$C,$B105,Рўйхат!AD:AD)</f>
        <v/>
      </c>
      <c r="AD105" s="18">
        <f>+SUMIF(Рўйхат!$C:$C,$B105,Рўйхат!AE:AE)</f>
        <v/>
      </c>
      <c r="AE105" s="17">
        <f>+SUMIF(Рўйхат!$C:$C,$B105,Рўйхат!AF:AF)</f>
        <v/>
      </c>
      <c r="AF105" s="18">
        <f>+SUMIF(Рўйхат!$C:$C,$B105,Рўйхат!AG:AG)</f>
        <v/>
      </c>
      <c r="AG105" s="18">
        <f>+SUMIF(Рўйхат!$C:$C,$B105,Рўйхат!AH:AH)</f>
        <v/>
      </c>
      <c r="AH105" s="33">
        <f>+SUMIF(Рўйхат!$C:$C,$B105,Рўйхат!AI:AI)</f>
        <v/>
      </c>
      <c r="AI105" s="19">
        <f>+SUMIF(Рўйхат!$C:$C,$B105,Рўйхат!AJ:AJ)</f>
        <v/>
      </c>
    </row>
    <row r="106" ht="17" customHeight="1">
      <c r="A106" s="64">
        <f>+A105+1</f>
        <v/>
      </c>
      <c r="B106" s="47" t="inlineStr">
        <is>
          <t>Оила ва хотин-қизлар давлат қўмитаси</t>
        </is>
      </c>
      <c r="C106" s="28">
        <f>IF(IFERROR(VLOOKUP(B106,Рўйхат!C:E,2,0),"")="[NULL]","",IFERROR(VLOOKUP(B106,Рўйхат!C:E,2,0),""))</f>
        <v/>
      </c>
      <c r="D106" s="28">
        <f>IFERROR(VLOOKUP(B106,Рўйхат!C:E,3,0),"")</f>
        <v/>
      </c>
      <c r="E106" s="17">
        <f>+SUMIF(Рўйхат!$C:$C,$B106,Рўйхат!G:G)</f>
        <v/>
      </c>
      <c r="F106" s="18">
        <f>+SUMIF(Рўйхат!$C:$C,$B106,Рўйхат!H:H)</f>
        <v/>
      </c>
      <c r="G106" s="18">
        <f>M106</f>
        <v/>
      </c>
      <c r="H106" s="18">
        <f>R106+W106+AB106+AG106</f>
        <v/>
      </c>
      <c r="I106" s="18">
        <f>+SUMIF(Рўйхат!$C:$C,$B106,Рўйхат!J:J)</f>
        <v/>
      </c>
      <c r="J106" s="18">
        <f>+SUMIF(Рўйхат!$C:$C,$B106,Рўйхат!K:K)</f>
        <v/>
      </c>
      <c r="K106" s="17">
        <f>+SUMIF(Рўйхат!$C:$C,$B106,Рўйхат!L:L)</f>
        <v/>
      </c>
      <c r="L106" s="18">
        <f>+SUMIF(Рўйхат!$C:$C,$B106,Рўйхат!M:M)</f>
        <v/>
      </c>
      <c r="M106" s="18">
        <f>+SUMIF(Рўйхат!$C:$C,$B106,Рўйхат!N:N)</f>
        <v/>
      </c>
      <c r="N106" s="18">
        <f>+SUMIF(Рўйхат!$C:$C,$B106,Рўйхат!O:O)</f>
        <v/>
      </c>
      <c r="O106" s="18">
        <f>+SUMIF(Рўйхат!$C:$C,$B106,Рўйхат!P:P)</f>
        <v/>
      </c>
      <c r="P106" s="17">
        <f>+SUMIF(Рўйхат!$C:$C,$B106,Рўйхат!Q:Q)</f>
        <v/>
      </c>
      <c r="Q106" s="18">
        <f>+SUMIF(Рўйхат!$C:$C,$B106,Рўйхат!R:R)</f>
        <v/>
      </c>
      <c r="R106" s="18">
        <f>+SUMIF(Рўйхат!$C:$C,$B106,Рўйхат!S:S)</f>
        <v/>
      </c>
      <c r="S106" s="18">
        <f>+SUMIF(Рўйхат!$C:$C,$B106,Рўйхат!T:T)</f>
        <v/>
      </c>
      <c r="T106" s="18">
        <f>+SUMIF(Рўйхат!$C:$C,$B106,Рўйхат!U:U)</f>
        <v/>
      </c>
      <c r="U106" s="17">
        <f>+SUMIF(Рўйхат!$C:$C,$B106,Рўйхат!V:V)</f>
        <v/>
      </c>
      <c r="V106" s="18">
        <f>+SUMIF(Рўйхат!$C:$C,$B106,Рўйхат!W:W)</f>
        <v/>
      </c>
      <c r="W106" s="18">
        <f>+SUMIF(Рўйхат!$C:$C,$B106,Рўйхат!X:X)</f>
        <v/>
      </c>
      <c r="X106" s="18">
        <f>+SUMIF(Рўйхат!$C:$C,$B106,Рўйхат!Y:Y)</f>
        <v/>
      </c>
      <c r="Y106" s="18">
        <f>+SUMIF(Рўйхат!$C:$C,$B106,Рўйхат!Z:Z)</f>
        <v/>
      </c>
      <c r="Z106" s="17">
        <f>+SUMIF(Рўйхат!$C:$C,$B106,Рўйхат!AA:AA)</f>
        <v/>
      </c>
      <c r="AA106" s="18">
        <f>+SUMIF(Рўйхат!$C:$C,$B106,Рўйхат!AB:AB)</f>
        <v/>
      </c>
      <c r="AB106" s="18">
        <f>+SUMIF(Рўйхат!$C:$C,$B106,Рўйхат!AC:AC)</f>
        <v/>
      </c>
      <c r="AC106" s="18">
        <f>+SUMIF(Рўйхат!$C:$C,$B106,Рўйхат!AD:AD)</f>
        <v/>
      </c>
      <c r="AD106" s="18">
        <f>+SUMIF(Рўйхат!$C:$C,$B106,Рўйхат!AE:AE)</f>
        <v/>
      </c>
      <c r="AE106" s="17">
        <f>+SUMIF(Рўйхат!$C:$C,$B106,Рўйхат!AF:AF)</f>
        <v/>
      </c>
      <c r="AF106" s="18">
        <f>+SUMIF(Рўйхат!$C:$C,$B106,Рўйхат!AG:AG)</f>
        <v/>
      </c>
      <c r="AG106" s="18">
        <f>+SUMIF(Рўйхат!$C:$C,$B106,Рўйхат!AH:AH)</f>
        <v/>
      </c>
      <c r="AH106" s="33">
        <f>+SUMIF(Рўйхат!$C:$C,$B106,Рўйхат!AI:AI)</f>
        <v/>
      </c>
      <c r="AI106" s="19">
        <f>+SUMIF(Рўйхат!$C:$C,$B106,Рўйхат!AJ:AJ)</f>
        <v/>
      </c>
    </row>
    <row r="107" ht="34" customHeight="1">
      <c r="A107" s="64">
        <f>+A106+1</f>
        <v/>
      </c>
      <c r="B107" s="47" t="inlineStr">
        <is>
          <t>Миграция агентлиги</t>
        </is>
      </c>
      <c r="C107" s="28">
        <f>IF(IFERROR(VLOOKUP(B107,Рўйхат!C:E,2,0),"")="[NULL]","",IFERROR(VLOOKUP(B107,Рўйхат!C:E,2,0),""))</f>
        <v/>
      </c>
      <c r="D107" s="28">
        <f>IFERROR(VLOOKUP(B107,Рўйхат!C:E,3,0),"")</f>
        <v/>
      </c>
      <c r="E107" s="17">
        <f>+SUMIF(Рўйхат!$C:$C,$B107,Рўйхат!G:G)</f>
        <v/>
      </c>
      <c r="F107" s="18">
        <f>+SUMIF(Рўйхат!$C:$C,$B107,Рўйхат!H:H)</f>
        <v/>
      </c>
      <c r="G107" s="18">
        <f>M107</f>
        <v/>
      </c>
      <c r="H107" s="18">
        <f>R107+W107+AB107+AG107</f>
        <v/>
      </c>
      <c r="I107" s="18">
        <f>+SUMIF(Рўйхат!$C:$C,$B107,Рўйхат!J:J)</f>
        <v/>
      </c>
      <c r="J107" s="18">
        <f>+SUMIF(Рўйхат!$C:$C,$B107,Рўйхат!K:K)</f>
        <v/>
      </c>
      <c r="K107" s="17">
        <f>+SUMIF(Рўйхат!$C:$C,$B107,Рўйхат!L:L)</f>
        <v/>
      </c>
      <c r="L107" s="18">
        <f>+SUMIF(Рўйхат!$C:$C,$B107,Рўйхат!M:M)</f>
        <v/>
      </c>
      <c r="M107" s="18">
        <f>+SUMIF(Рўйхат!$C:$C,$B107,Рўйхат!N:N)</f>
        <v/>
      </c>
      <c r="N107" s="18">
        <f>+SUMIF(Рўйхат!$C:$C,$B107,Рўйхат!O:O)</f>
        <v/>
      </c>
      <c r="O107" s="18">
        <f>+SUMIF(Рўйхат!$C:$C,$B107,Рўйхат!P:P)</f>
        <v/>
      </c>
      <c r="P107" s="17">
        <f>+SUMIF(Рўйхат!$C:$C,$B107,Рўйхат!Q:Q)</f>
        <v/>
      </c>
      <c r="Q107" s="18">
        <f>+SUMIF(Рўйхат!$C:$C,$B107,Рўйхат!R:R)</f>
        <v/>
      </c>
      <c r="R107" s="18">
        <f>+SUMIF(Рўйхат!$C:$C,$B107,Рўйхат!S:S)</f>
        <v/>
      </c>
      <c r="S107" s="18">
        <f>+SUMIF(Рўйхат!$C:$C,$B107,Рўйхат!T:T)</f>
        <v/>
      </c>
      <c r="T107" s="18">
        <f>+SUMIF(Рўйхат!$C:$C,$B107,Рўйхат!U:U)</f>
        <v/>
      </c>
      <c r="U107" s="17">
        <f>+SUMIF(Рўйхат!$C:$C,$B107,Рўйхат!V:V)</f>
        <v/>
      </c>
      <c r="V107" s="18">
        <f>+SUMIF(Рўйхат!$C:$C,$B107,Рўйхат!W:W)</f>
        <v/>
      </c>
      <c r="W107" s="18">
        <f>+SUMIF(Рўйхат!$C:$C,$B107,Рўйхат!X:X)</f>
        <v/>
      </c>
      <c r="X107" s="18">
        <f>+SUMIF(Рўйхат!$C:$C,$B107,Рўйхат!Y:Y)</f>
        <v/>
      </c>
      <c r="Y107" s="18">
        <f>+SUMIF(Рўйхат!$C:$C,$B107,Рўйхат!Z:Z)</f>
        <v/>
      </c>
      <c r="Z107" s="17">
        <f>+SUMIF(Рўйхат!$C:$C,$B107,Рўйхат!AA:AA)</f>
        <v/>
      </c>
      <c r="AA107" s="18">
        <f>+SUMIF(Рўйхат!$C:$C,$B107,Рўйхат!AB:AB)</f>
        <v/>
      </c>
      <c r="AB107" s="18">
        <f>+SUMIF(Рўйхат!$C:$C,$B107,Рўйхат!AC:AC)</f>
        <v/>
      </c>
      <c r="AC107" s="18">
        <f>+SUMIF(Рўйхат!$C:$C,$B107,Рўйхат!AD:AD)</f>
        <v/>
      </c>
      <c r="AD107" s="18">
        <f>+SUMIF(Рўйхат!$C:$C,$B107,Рўйхат!AE:AE)</f>
        <v/>
      </c>
      <c r="AE107" s="17">
        <f>+SUMIF(Рўйхат!$C:$C,$B107,Рўйхат!AF:AF)</f>
        <v/>
      </c>
      <c r="AF107" s="18">
        <f>+SUMIF(Рўйхат!$C:$C,$B107,Рўйхат!AG:AG)</f>
        <v/>
      </c>
      <c r="AG107" s="18">
        <f>+SUMIF(Рўйхат!$C:$C,$B107,Рўйхат!AH:AH)</f>
        <v/>
      </c>
      <c r="AH107" s="33">
        <f>+SUMIF(Рўйхат!$C:$C,$B107,Рўйхат!AI:AI)</f>
        <v/>
      </c>
      <c r="AI107" s="19">
        <f>+SUMIF(Рўйхат!$C:$C,$B107,Рўйхат!AJ:AJ)</f>
        <v/>
      </c>
    </row>
    <row r="108" ht="34" customHeight="1">
      <c r="A108" s="64">
        <f>+A107+1</f>
        <v/>
      </c>
      <c r="B108" s="47" t="inlineStr">
        <is>
          <t>Агросаноат мажмуаси устидан назорат қилиш инспекцияси</t>
        </is>
      </c>
      <c r="C108" s="28">
        <f>IF(IFERROR(VLOOKUP(B108,Рўйхат!C:E,2,0),"")="[NULL]","",IFERROR(VLOOKUP(B108,Рўйхат!C:E,2,0),""))</f>
        <v/>
      </c>
      <c r="D108" s="28">
        <f>IFERROR(VLOOKUP(B108,Рўйхат!C:E,3,0),"")</f>
        <v/>
      </c>
      <c r="E108" s="17">
        <f>+SUMIF(Рўйхат!$C:$C,$B108,Рўйхат!G:G)</f>
        <v/>
      </c>
      <c r="F108" s="18">
        <f>+SUMIF(Рўйхат!$C:$C,$B108,Рўйхат!H:H)</f>
        <v/>
      </c>
      <c r="G108" s="18">
        <f>M108</f>
        <v/>
      </c>
      <c r="H108" s="18">
        <f>R108+W108+AB108+AG108</f>
        <v/>
      </c>
      <c r="I108" s="18">
        <f>+SUMIF(Рўйхат!$C:$C,$B108,Рўйхат!J:J)</f>
        <v/>
      </c>
      <c r="J108" s="18">
        <f>+SUMIF(Рўйхат!$C:$C,$B108,Рўйхат!K:K)</f>
        <v/>
      </c>
      <c r="K108" s="17">
        <f>+SUMIF(Рўйхат!$C:$C,$B108,Рўйхат!L:L)</f>
        <v/>
      </c>
      <c r="L108" s="18">
        <f>+SUMIF(Рўйхат!$C:$C,$B108,Рўйхат!M:M)</f>
        <v/>
      </c>
      <c r="M108" s="18">
        <f>+SUMIF(Рўйхат!$C:$C,$B108,Рўйхат!N:N)</f>
        <v/>
      </c>
      <c r="N108" s="18">
        <f>+SUMIF(Рўйхат!$C:$C,$B108,Рўйхат!O:O)</f>
        <v/>
      </c>
      <c r="O108" s="18">
        <f>+SUMIF(Рўйхат!$C:$C,$B108,Рўйхат!P:P)</f>
        <v/>
      </c>
      <c r="P108" s="17">
        <f>+SUMIF(Рўйхат!$C:$C,$B108,Рўйхат!Q:Q)</f>
        <v/>
      </c>
      <c r="Q108" s="18">
        <f>+SUMIF(Рўйхат!$C:$C,$B108,Рўйхат!R:R)</f>
        <v/>
      </c>
      <c r="R108" s="18">
        <f>+SUMIF(Рўйхат!$C:$C,$B108,Рўйхат!S:S)</f>
        <v/>
      </c>
      <c r="S108" s="18">
        <f>+SUMIF(Рўйхат!$C:$C,$B108,Рўйхат!T:T)</f>
        <v/>
      </c>
      <c r="T108" s="18">
        <f>+SUMIF(Рўйхат!$C:$C,$B108,Рўйхат!U:U)</f>
        <v/>
      </c>
      <c r="U108" s="17">
        <f>+SUMIF(Рўйхат!$C:$C,$B108,Рўйхат!V:V)</f>
        <v/>
      </c>
      <c r="V108" s="18">
        <f>+SUMIF(Рўйхат!$C:$C,$B108,Рўйхат!W:W)</f>
        <v/>
      </c>
      <c r="W108" s="18">
        <f>+SUMIF(Рўйхат!$C:$C,$B108,Рўйхат!X:X)</f>
        <v/>
      </c>
      <c r="X108" s="18">
        <f>+SUMIF(Рўйхат!$C:$C,$B108,Рўйхат!Y:Y)</f>
        <v/>
      </c>
      <c r="Y108" s="18">
        <f>+SUMIF(Рўйхат!$C:$C,$B108,Рўйхат!Z:Z)</f>
        <v/>
      </c>
      <c r="Z108" s="17">
        <f>+SUMIF(Рўйхат!$C:$C,$B108,Рўйхат!AA:AA)</f>
        <v/>
      </c>
      <c r="AA108" s="18">
        <f>+SUMIF(Рўйхат!$C:$C,$B108,Рўйхат!AB:AB)</f>
        <v/>
      </c>
      <c r="AB108" s="18">
        <f>+SUMIF(Рўйхат!$C:$C,$B108,Рўйхат!AC:AC)</f>
        <v/>
      </c>
      <c r="AC108" s="18">
        <f>+SUMIF(Рўйхат!$C:$C,$B108,Рўйхат!AD:AD)</f>
        <v/>
      </c>
      <c r="AD108" s="18">
        <f>+SUMIF(Рўйхат!$C:$C,$B108,Рўйхат!AE:AE)</f>
        <v/>
      </c>
      <c r="AE108" s="17">
        <f>+SUMIF(Рўйхат!$C:$C,$B108,Рўйхат!AF:AF)</f>
        <v/>
      </c>
      <c r="AF108" s="18">
        <f>+SUMIF(Рўйхат!$C:$C,$B108,Рўйхат!AG:AG)</f>
        <v/>
      </c>
      <c r="AG108" s="18">
        <f>+SUMIF(Рўйхат!$C:$C,$B108,Рўйхат!AH:AH)</f>
        <v/>
      </c>
      <c r="AH108" s="33">
        <f>+SUMIF(Рўйхат!$C:$C,$B108,Рўйхат!AI:AI)</f>
        <v/>
      </c>
      <c r="AI108" s="19">
        <f>+SUMIF(Рўйхат!$C:$C,$B108,Рўйхат!AJ:AJ)</f>
        <v/>
      </c>
    </row>
    <row r="109" ht="34" customHeight="1">
      <c r="A109" s="64">
        <f>+A108+1</f>
        <v/>
      </c>
      <c r="B109" s="47" t="inlineStr">
        <is>
          <t>Товар-хомашё биржаси АЖ</t>
        </is>
      </c>
      <c r="C109" s="28">
        <f>IF(IFERROR(VLOOKUP(B109,Рўйхат!C:E,2,0),"")="[NULL]","",IFERROR(VLOOKUP(B109,Рўйхат!C:E,2,0),""))</f>
        <v/>
      </c>
      <c r="D109" s="28">
        <f>IFERROR(VLOOKUP(B109,Рўйхат!C:E,3,0),"")</f>
        <v/>
      </c>
      <c r="E109" s="17">
        <f>+SUMIF(Рўйхат!$C:$C,$B109,Рўйхат!G:G)</f>
        <v/>
      </c>
      <c r="F109" s="18">
        <f>+SUMIF(Рўйхат!$C:$C,$B109,Рўйхат!H:H)</f>
        <v/>
      </c>
      <c r="G109" s="18">
        <f>M109</f>
        <v/>
      </c>
      <c r="H109" s="18">
        <f>R109+W109+AB109+AG109</f>
        <v/>
      </c>
      <c r="I109" s="18">
        <f>+SUMIF(Рўйхат!$C:$C,$B109,Рўйхат!J:J)</f>
        <v/>
      </c>
      <c r="J109" s="18">
        <f>+SUMIF(Рўйхат!$C:$C,$B109,Рўйхат!K:K)</f>
        <v/>
      </c>
      <c r="K109" s="17">
        <f>+SUMIF(Рўйхат!$C:$C,$B109,Рўйхат!L:L)</f>
        <v/>
      </c>
      <c r="L109" s="18">
        <f>+SUMIF(Рўйхат!$C:$C,$B109,Рўйхат!M:M)</f>
        <v/>
      </c>
      <c r="M109" s="18">
        <f>+SUMIF(Рўйхат!$C:$C,$B109,Рўйхат!N:N)</f>
        <v/>
      </c>
      <c r="N109" s="18">
        <f>+SUMIF(Рўйхат!$C:$C,$B109,Рўйхат!O:O)</f>
        <v/>
      </c>
      <c r="O109" s="18">
        <f>+SUMIF(Рўйхат!$C:$C,$B109,Рўйхат!P:P)</f>
        <v/>
      </c>
      <c r="P109" s="17">
        <f>+SUMIF(Рўйхат!$C:$C,$B109,Рўйхат!Q:Q)</f>
        <v/>
      </c>
      <c r="Q109" s="18">
        <f>+SUMIF(Рўйхат!$C:$C,$B109,Рўйхат!R:R)</f>
        <v/>
      </c>
      <c r="R109" s="18">
        <f>+SUMIF(Рўйхат!$C:$C,$B109,Рўйхат!S:S)</f>
        <v/>
      </c>
      <c r="S109" s="18">
        <f>+SUMIF(Рўйхат!$C:$C,$B109,Рўйхат!T:T)</f>
        <v/>
      </c>
      <c r="T109" s="18">
        <f>+SUMIF(Рўйхат!$C:$C,$B109,Рўйхат!U:U)</f>
        <v/>
      </c>
      <c r="U109" s="17">
        <f>+SUMIF(Рўйхат!$C:$C,$B109,Рўйхат!V:V)</f>
        <v/>
      </c>
      <c r="V109" s="18">
        <f>+SUMIF(Рўйхат!$C:$C,$B109,Рўйхат!W:W)</f>
        <v/>
      </c>
      <c r="W109" s="18">
        <f>+SUMIF(Рўйхат!$C:$C,$B109,Рўйхат!X:X)</f>
        <v/>
      </c>
      <c r="X109" s="18">
        <f>+SUMIF(Рўйхат!$C:$C,$B109,Рўйхат!Y:Y)</f>
        <v/>
      </c>
      <c r="Y109" s="18">
        <f>+SUMIF(Рўйхат!$C:$C,$B109,Рўйхат!Z:Z)</f>
        <v/>
      </c>
      <c r="Z109" s="17">
        <f>+SUMIF(Рўйхат!$C:$C,$B109,Рўйхат!AA:AA)</f>
        <v/>
      </c>
      <c r="AA109" s="18">
        <f>+SUMIF(Рўйхат!$C:$C,$B109,Рўйхат!AB:AB)</f>
        <v/>
      </c>
      <c r="AB109" s="18">
        <f>+SUMIF(Рўйхат!$C:$C,$B109,Рўйхат!AC:AC)</f>
        <v/>
      </c>
      <c r="AC109" s="18">
        <f>+SUMIF(Рўйхат!$C:$C,$B109,Рўйхат!AD:AD)</f>
        <v/>
      </c>
      <c r="AD109" s="18">
        <f>+SUMIF(Рўйхат!$C:$C,$B109,Рўйхат!AE:AE)</f>
        <v/>
      </c>
      <c r="AE109" s="17">
        <f>+SUMIF(Рўйхат!$C:$C,$B109,Рўйхат!AF:AF)</f>
        <v/>
      </c>
      <c r="AF109" s="18">
        <f>+SUMIF(Рўйхат!$C:$C,$B109,Рўйхат!AG:AG)</f>
        <v/>
      </c>
      <c r="AG109" s="18">
        <f>+SUMIF(Рўйхат!$C:$C,$B109,Рўйхат!AH:AH)</f>
        <v/>
      </c>
      <c r="AH109" s="33">
        <f>+SUMIF(Рўйхат!$C:$C,$B109,Рўйхат!AI:AI)</f>
        <v/>
      </c>
      <c r="AI109" s="19">
        <f>+SUMIF(Рўйхат!$C:$C,$B109,Рўйхат!AJ:AJ)</f>
        <v/>
      </c>
    </row>
    <row r="110" ht="34" customHeight="1">
      <c r="A110" s="64">
        <f>+A109+1</f>
        <v/>
      </c>
      <c r="B110" s="47" t="inlineStr">
        <is>
          <t>Янги Ангрен иссиқлик электр станцияси АЖ</t>
        </is>
      </c>
      <c r="C110" s="28">
        <f>IF(IFERROR(VLOOKUP(B110,Рўйхат!C:E,2,0),"")="[NULL]","",IFERROR(VLOOKUP(B110,Рўйхат!C:E,2,0),""))</f>
        <v/>
      </c>
      <c r="D110" s="28">
        <f>IFERROR(VLOOKUP(B110,Рўйхат!C:E,3,0),"")</f>
        <v/>
      </c>
      <c r="E110" s="17">
        <f>+SUMIF(Рўйхат!$C:$C,$B110,Рўйхат!G:G)</f>
        <v/>
      </c>
      <c r="F110" s="18">
        <f>+SUMIF(Рўйхат!$C:$C,$B110,Рўйхат!H:H)</f>
        <v/>
      </c>
      <c r="G110" s="18">
        <f>M110</f>
        <v/>
      </c>
      <c r="H110" s="18">
        <f>R110+W110+AB110+AG110</f>
        <v/>
      </c>
      <c r="I110" s="18">
        <f>+SUMIF(Рўйхат!$C:$C,$B110,Рўйхат!J:J)</f>
        <v/>
      </c>
      <c r="J110" s="18">
        <f>+SUMIF(Рўйхат!$C:$C,$B110,Рўйхат!K:K)</f>
        <v/>
      </c>
      <c r="K110" s="17">
        <f>+SUMIF(Рўйхат!$C:$C,$B110,Рўйхат!L:L)</f>
        <v/>
      </c>
      <c r="L110" s="18">
        <f>+SUMIF(Рўйхат!$C:$C,$B110,Рўйхат!M:M)</f>
        <v/>
      </c>
      <c r="M110" s="18">
        <f>+SUMIF(Рўйхат!$C:$C,$B110,Рўйхат!N:N)</f>
        <v/>
      </c>
      <c r="N110" s="18">
        <f>+SUMIF(Рўйхат!$C:$C,$B110,Рўйхат!O:O)</f>
        <v/>
      </c>
      <c r="O110" s="18">
        <f>+SUMIF(Рўйхат!$C:$C,$B110,Рўйхат!P:P)</f>
        <v/>
      </c>
      <c r="P110" s="17">
        <f>+SUMIF(Рўйхат!$C:$C,$B110,Рўйхат!Q:Q)</f>
        <v/>
      </c>
      <c r="Q110" s="18">
        <f>+SUMIF(Рўйхат!$C:$C,$B110,Рўйхат!R:R)</f>
        <v/>
      </c>
      <c r="R110" s="18">
        <f>+SUMIF(Рўйхат!$C:$C,$B110,Рўйхат!S:S)</f>
        <v/>
      </c>
      <c r="S110" s="18">
        <f>+SUMIF(Рўйхат!$C:$C,$B110,Рўйхат!T:T)</f>
        <v/>
      </c>
      <c r="T110" s="18">
        <f>+SUMIF(Рўйхат!$C:$C,$B110,Рўйхат!U:U)</f>
        <v/>
      </c>
      <c r="U110" s="17">
        <f>+SUMIF(Рўйхат!$C:$C,$B110,Рўйхат!V:V)</f>
        <v/>
      </c>
      <c r="V110" s="18">
        <f>+SUMIF(Рўйхат!$C:$C,$B110,Рўйхат!W:W)</f>
        <v/>
      </c>
      <c r="W110" s="18">
        <f>+SUMIF(Рўйхат!$C:$C,$B110,Рўйхат!X:X)</f>
        <v/>
      </c>
      <c r="X110" s="18">
        <f>+SUMIF(Рўйхат!$C:$C,$B110,Рўйхат!Y:Y)</f>
        <v/>
      </c>
      <c r="Y110" s="18">
        <f>+SUMIF(Рўйхат!$C:$C,$B110,Рўйхат!Z:Z)</f>
        <v/>
      </c>
      <c r="Z110" s="17">
        <f>+SUMIF(Рўйхат!$C:$C,$B110,Рўйхат!AA:AA)</f>
        <v/>
      </c>
      <c r="AA110" s="18">
        <f>+SUMIF(Рўйхат!$C:$C,$B110,Рўйхат!AB:AB)</f>
        <v/>
      </c>
      <c r="AB110" s="18">
        <f>+SUMIF(Рўйхат!$C:$C,$B110,Рўйхат!AC:AC)</f>
        <v/>
      </c>
      <c r="AC110" s="18">
        <f>+SUMIF(Рўйхат!$C:$C,$B110,Рўйхат!AD:AD)</f>
        <v/>
      </c>
      <c r="AD110" s="18">
        <f>+SUMIF(Рўйхат!$C:$C,$B110,Рўйхат!AE:AE)</f>
        <v/>
      </c>
      <c r="AE110" s="17">
        <f>+SUMIF(Рўйхат!$C:$C,$B110,Рўйхат!AF:AF)</f>
        <v/>
      </c>
      <c r="AF110" s="18">
        <f>+SUMIF(Рўйхат!$C:$C,$B110,Рўйхат!AG:AG)</f>
        <v/>
      </c>
      <c r="AG110" s="18">
        <f>+SUMIF(Рўйхат!$C:$C,$B110,Рўйхат!AH:AH)</f>
        <v/>
      </c>
      <c r="AH110" s="33">
        <f>+SUMIF(Рўйхат!$C:$C,$B110,Рўйхат!AI:AI)</f>
        <v/>
      </c>
      <c r="AI110" s="19">
        <f>+SUMIF(Рўйхат!$C:$C,$B110,Рўйхат!AJ:AJ)</f>
        <v/>
      </c>
    </row>
    <row r="111" ht="34" customHeight="1">
      <c r="A111" s="64">
        <f>+A110+1</f>
        <v/>
      </c>
      <c r="B111" s="47" t="inlineStr">
        <is>
          <t>Тошкент Республика фонд биржаси АЖ</t>
        </is>
      </c>
      <c r="C111" s="28">
        <f>IF(IFERROR(VLOOKUP(B111,Рўйхат!C:E,2,0),"")="[NULL]","",IFERROR(VLOOKUP(B111,Рўйхат!C:E,2,0),""))</f>
        <v/>
      </c>
      <c r="D111" s="28">
        <f>IFERROR(VLOOKUP(B111,Рўйхат!C:E,3,0),"")</f>
        <v/>
      </c>
      <c r="E111" s="17">
        <f>+SUMIF(Рўйхат!$C:$C,$B111,Рўйхат!G:G)</f>
        <v/>
      </c>
      <c r="F111" s="18">
        <f>+SUMIF(Рўйхат!$C:$C,$B111,Рўйхат!H:H)</f>
        <v/>
      </c>
      <c r="G111" s="18">
        <f>M111</f>
        <v/>
      </c>
      <c r="H111" s="18">
        <f>R111+W111+AB111+AG111</f>
        <v/>
      </c>
      <c r="I111" s="18">
        <f>+SUMIF(Рўйхат!$C:$C,$B111,Рўйхат!J:J)</f>
        <v/>
      </c>
      <c r="J111" s="18">
        <f>+SUMIF(Рўйхат!$C:$C,$B111,Рўйхат!K:K)</f>
        <v/>
      </c>
      <c r="K111" s="17">
        <f>+SUMIF(Рўйхат!$C:$C,$B111,Рўйхат!L:L)</f>
        <v/>
      </c>
      <c r="L111" s="18">
        <f>+SUMIF(Рўйхат!$C:$C,$B111,Рўйхат!M:M)</f>
        <v/>
      </c>
      <c r="M111" s="18">
        <f>+SUMIF(Рўйхат!$C:$C,$B111,Рўйхат!N:N)</f>
        <v/>
      </c>
      <c r="N111" s="18">
        <f>+SUMIF(Рўйхат!$C:$C,$B111,Рўйхат!O:O)</f>
        <v/>
      </c>
      <c r="O111" s="18">
        <f>+SUMIF(Рўйхат!$C:$C,$B111,Рўйхат!P:P)</f>
        <v/>
      </c>
      <c r="P111" s="17">
        <f>+SUMIF(Рўйхат!$C:$C,$B111,Рўйхат!Q:Q)</f>
        <v/>
      </c>
      <c r="Q111" s="18">
        <f>+SUMIF(Рўйхат!$C:$C,$B111,Рўйхат!R:R)</f>
        <v/>
      </c>
      <c r="R111" s="18">
        <f>+SUMIF(Рўйхат!$C:$C,$B111,Рўйхат!S:S)</f>
        <v/>
      </c>
      <c r="S111" s="18">
        <f>+SUMIF(Рўйхат!$C:$C,$B111,Рўйхат!T:T)</f>
        <v/>
      </c>
      <c r="T111" s="18">
        <f>+SUMIF(Рўйхат!$C:$C,$B111,Рўйхат!U:U)</f>
        <v/>
      </c>
      <c r="U111" s="17">
        <f>+SUMIF(Рўйхат!$C:$C,$B111,Рўйхат!V:V)</f>
        <v/>
      </c>
      <c r="V111" s="18">
        <f>+SUMIF(Рўйхат!$C:$C,$B111,Рўйхат!W:W)</f>
        <v/>
      </c>
      <c r="W111" s="18">
        <f>+SUMIF(Рўйхат!$C:$C,$B111,Рўйхат!X:X)</f>
        <v/>
      </c>
      <c r="X111" s="18">
        <f>+SUMIF(Рўйхат!$C:$C,$B111,Рўйхат!Y:Y)</f>
        <v/>
      </c>
      <c r="Y111" s="18">
        <f>+SUMIF(Рўйхат!$C:$C,$B111,Рўйхат!Z:Z)</f>
        <v/>
      </c>
      <c r="Z111" s="17">
        <f>+SUMIF(Рўйхат!$C:$C,$B111,Рўйхат!AA:AA)</f>
        <v/>
      </c>
      <c r="AA111" s="18">
        <f>+SUMIF(Рўйхат!$C:$C,$B111,Рўйхат!AB:AB)</f>
        <v/>
      </c>
      <c r="AB111" s="18">
        <f>+SUMIF(Рўйхат!$C:$C,$B111,Рўйхат!AC:AC)</f>
        <v/>
      </c>
      <c r="AC111" s="18">
        <f>+SUMIF(Рўйхат!$C:$C,$B111,Рўйхат!AD:AD)</f>
        <v/>
      </c>
      <c r="AD111" s="18">
        <f>+SUMIF(Рўйхат!$C:$C,$B111,Рўйхат!AE:AE)</f>
        <v/>
      </c>
      <c r="AE111" s="17">
        <f>+SUMIF(Рўйхат!$C:$C,$B111,Рўйхат!AF:AF)</f>
        <v/>
      </c>
      <c r="AF111" s="18">
        <f>+SUMIF(Рўйхат!$C:$C,$B111,Рўйхат!AG:AG)</f>
        <v/>
      </c>
      <c r="AG111" s="18">
        <f>+SUMIF(Рўйхат!$C:$C,$B111,Рўйхат!AH:AH)</f>
        <v/>
      </c>
      <c r="AH111" s="33">
        <f>+SUMIF(Рўйхат!$C:$C,$B111,Рўйхат!AI:AI)</f>
        <v/>
      </c>
      <c r="AI111" s="19">
        <f>+SUMIF(Рўйхат!$C:$C,$B111,Рўйхат!AJ:AJ)</f>
        <v/>
      </c>
    </row>
    <row r="112" ht="34" customHeight="1">
      <c r="A112" s="64">
        <f>+A111+1</f>
        <v/>
      </c>
      <c r="B112" s="47" t="inlineStr">
        <is>
          <t>Ҳаёт биржа АЖ</t>
        </is>
      </c>
      <c r="C112" s="28">
        <f>IF(IFERROR(VLOOKUP(B112,Рўйхат!C:E,2,0),"")="[NULL]","",IFERROR(VLOOKUP(B112,Рўйхат!C:E,2,0),""))</f>
        <v/>
      </c>
      <c r="D112" s="28">
        <f>IFERROR(VLOOKUP(B112,Рўйхат!C:E,3,0),"")</f>
        <v/>
      </c>
      <c r="E112" s="17">
        <f>+SUMIF(Рўйхат!$C:$C,$B112,Рўйхат!G:G)</f>
        <v/>
      </c>
      <c r="F112" s="18">
        <f>+SUMIF(Рўйхат!$C:$C,$B112,Рўйхат!H:H)</f>
        <v/>
      </c>
      <c r="G112" s="18">
        <f>M112</f>
        <v/>
      </c>
      <c r="H112" s="18">
        <f>R112+W112+AB112+AG112</f>
        <v/>
      </c>
      <c r="I112" s="18">
        <f>+SUMIF(Рўйхат!$C:$C,$B112,Рўйхат!J:J)</f>
        <v/>
      </c>
      <c r="J112" s="18">
        <f>+SUMIF(Рўйхат!$C:$C,$B112,Рўйхат!K:K)</f>
        <v/>
      </c>
      <c r="K112" s="17">
        <f>+SUMIF(Рўйхат!$C:$C,$B112,Рўйхат!L:L)</f>
        <v/>
      </c>
      <c r="L112" s="18">
        <f>+SUMIF(Рўйхат!$C:$C,$B112,Рўйхат!M:M)</f>
        <v/>
      </c>
      <c r="M112" s="18">
        <f>+SUMIF(Рўйхат!$C:$C,$B112,Рўйхат!N:N)</f>
        <v/>
      </c>
      <c r="N112" s="18">
        <f>+SUMIF(Рўйхат!$C:$C,$B112,Рўйхат!O:O)</f>
        <v/>
      </c>
      <c r="O112" s="18">
        <f>+SUMIF(Рўйхат!$C:$C,$B112,Рўйхат!P:P)</f>
        <v/>
      </c>
      <c r="P112" s="17">
        <f>+SUMIF(Рўйхат!$C:$C,$B112,Рўйхат!Q:Q)</f>
        <v/>
      </c>
      <c r="Q112" s="18">
        <f>+SUMIF(Рўйхат!$C:$C,$B112,Рўйхат!R:R)</f>
        <v/>
      </c>
      <c r="R112" s="18">
        <f>+SUMIF(Рўйхат!$C:$C,$B112,Рўйхат!S:S)</f>
        <v/>
      </c>
      <c r="S112" s="18">
        <f>+SUMIF(Рўйхат!$C:$C,$B112,Рўйхат!T:T)</f>
        <v/>
      </c>
      <c r="T112" s="18">
        <f>+SUMIF(Рўйхат!$C:$C,$B112,Рўйхат!U:U)</f>
        <v/>
      </c>
      <c r="U112" s="17">
        <f>+SUMIF(Рўйхат!$C:$C,$B112,Рўйхат!V:V)</f>
        <v/>
      </c>
      <c r="V112" s="18">
        <f>+SUMIF(Рўйхат!$C:$C,$B112,Рўйхат!W:W)</f>
        <v/>
      </c>
      <c r="W112" s="18">
        <f>+SUMIF(Рўйхат!$C:$C,$B112,Рўйхат!X:X)</f>
        <v/>
      </c>
      <c r="X112" s="18">
        <f>+SUMIF(Рўйхат!$C:$C,$B112,Рўйхат!Y:Y)</f>
        <v/>
      </c>
      <c r="Y112" s="18">
        <f>+SUMIF(Рўйхат!$C:$C,$B112,Рўйхат!Z:Z)</f>
        <v/>
      </c>
      <c r="Z112" s="17">
        <f>+SUMIF(Рўйхат!$C:$C,$B112,Рўйхат!AA:AA)</f>
        <v/>
      </c>
      <c r="AA112" s="18">
        <f>+SUMIF(Рўйхат!$C:$C,$B112,Рўйхат!AB:AB)</f>
        <v/>
      </c>
      <c r="AB112" s="18">
        <f>+SUMIF(Рўйхат!$C:$C,$B112,Рўйхат!AC:AC)</f>
        <v/>
      </c>
      <c r="AC112" s="18">
        <f>+SUMIF(Рўйхат!$C:$C,$B112,Рўйхат!AD:AD)</f>
        <v/>
      </c>
      <c r="AD112" s="18">
        <f>+SUMIF(Рўйхат!$C:$C,$B112,Рўйхат!AE:AE)</f>
        <v/>
      </c>
      <c r="AE112" s="17">
        <f>+SUMIF(Рўйхат!$C:$C,$B112,Рўйхат!AF:AF)</f>
        <v/>
      </c>
      <c r="AF112" s="18">
        <f>+SUMIF(Рўйхат!$C:$C,$B112,Рўйхат!AG:AG)</f>
        <v/>
      </c>
      <c r="AG112" s="18">
        <f>+SUMIF(Рўйхат!$C:$C,$B112,Рўйхат!AH:AH)</f>
        <v/>
      </c>
      <c r="AH112" s="33">
        <f>+SUMIF(Рўйхат!$C:$C,$B112,Рўйхат!AI:AI)</f>
        <v/>
      </c>
      <c r="AI112" s="19">
        <f>+SUMIF(Рўйхат!$C:$C,$B112,Рўйхат!AJ:AJ)</f>
        <v/>
      </c>
    </row>
    <row r="113" ht="17" customHeight="1">
      <c r="A113" s="64">
        <f>+A112+1</f>
        <v/>
      </c>
      <c r="B113" s="47" t="inlineStr">
        <is>
          <t>Бюджетдан ташқари Пенсия жамғармаси</t>
        </is>
      </c>
      <c r="C113" s="28">
        <f>IF(IFERROR(VLOOKUP(B113,Рўйхат!C:E,2,0),"")="[NULL]","",IFERROR(VLOOKUP(B113,Рўйхат!C:E,2,0),""))</f>
        <v/>
      </c>
      <c r="D113" s="28">
        <f>IFERROR(VLOOKUP(B113,Рўйхат!C:E,3,0),"")</f>
        <v/>
      </c>
      <c r="E113" s="17">
        <f>+SUMIF(Рўйхат!$C:$C,$B113,Рўйхат!G:G)</f>
        <v/>
      </c>
      <c r="F113" s="18">
        <f>+SUMIF(Рўйхат!$C:$C,$B113,Рўйхат!H:H)</f>
        <v/>
      </c>
      <c r="G113" s="18">
        <f>M113</f>
        <v/>
      </c>
      <c r="H113" s="18">
        <f>R113+W113+AB113+AG113</f>
        <v/>
      </c>
      <c r="I113" s="18">
        <f>+SUMIF(Рўйхат!$C:$C,$B113,Рўйхат!J:J)</f>
        <v/>
      </c>
      <c r="J113" s="18">
        <f>+SUMIF(Рўйхат!$C:$C,$B113,Рўйхат!K:K)</f>
        <v/>
      </c>
      <c r="K113" s="17">
        <f>+SUMIF(Рўйхат!$C:$C,$B113,Рўйхат!L:L)</f>
        <v/>
      </c>
      <c r="L113" s="18">
        <f>+SUMIF(Рўйхат!$C:$C,$B113,Рўйхат!M:M)</f>
        <v/>
      </c>
      <c r="M113" s="18">
        <f>+SUMIF(Рўйхат!$C:$C,$B113,Рўйхат!N:N)</f>
        <v/>
      </c>
      <c r="N113" s="18">
        <f>+SUMIF(Рўйхат!$C:$C,$B113,Рўйхат!O:O)</f>
        <v/>
      </c>
      <c r="O113" s="18">
        <f>+SUMIF(Рўйхат!$C:$C,$B113,Рўйхат!P:P)</f>
        <v/>
      </c>
      <c r="P113" s="17">
        <f>+SUMIF(Рўйхат!$C:$C,$B113,Рўйхат!Q:Q)</f>
        <v/>
      </c>
      <c r="Q113" s="18">
        <f>+SUMIF(Рўйхат!$C:$C,$B113,Рўйхат!R:R)</f>
        <v/>
      </c>
      <c r="R113" s="18">
        <f>+SUMIF(Рўйхат!$C:$C,$B113,Рўйхат!S:S)</f>
        <v/>
      </c>
      <c r="S113" s="18">
        <f>+SUMIF(Рўйхат!$C:$C,$B113,Рўйхат!T:T)</f>
        <v/>
      </c>
      <c r="T113" s="18">
        <f>+SUMIF(Рўйхат!$C:$C,$B113,Рўйхат!U:U)</f>
        <v/>
      </c>
      <c r="U113" s="17">
        <f>+SUMIF(Рўйхат!$C:$C,$B113,Рўйхат!V:V)</f>
        <v/>
      </c>
      <c r="V113" s="18">
        <f>+SUMIF(Рўйхат!$C:$C,$B113,Рўйхат!W:W)</f>
        <v/>
      </c>
      <c r="W113" s="18">
        <f>+SUMIF(Рўйхат!$C:$C,$B113,Рўйхат!X:X)</f>
        <v/>
      </c>
      <c r="X113" s="18">
        <f>+SUMIF(Рўйхат!$C:$C,$B113,Рўйхат!Y:Y)</f>
        <v/>
      </c>
      <c r="Y113" s="18">
        <f>+SUMIF(Рўйхат!$C:$C,$B113,Рўйхат!Z:Z)</f>
        <v/>
      </c>
      <c r="Z113" s="17">
        <f>+SUMIF(Рўйхат!$C:$C,$B113,Рўйхат!AA:AA)</f>
        <v/>
      </c>
      <c r="AA113" s="18">
        <f>+SUMIF(Рўйхат!$C:$C,$B113,Рўйхат!AB:AB)</f>
        <v/>
      </c>
      <c r="AB113" s="18">
        <f>+SUMIF(Рўйхат!$C:$C,$B113,Рўйхат!AC:AC)</f>
        <v/>
      </c>
      <c r="AC113" s="18">
        <f>+SUMIF(Рўйхат!$C:$C,$B113,Рўйхат!AD:AD)</f>
        <v/>
      </c>
      <c r="AD113" s="18">
        <f>+SUMIF(Рўйхат!$C:$C,$B113,Рўйхат!AE:AE)</f>
        <v/>
      </c>
      <c r="AE113" s="17">
        <f>+SUMIF(Рўйхат!$C:$C,$B113,Рўйхат!AF:AF)</f>
        <v/>
      </c>
      <c r="AF113" s="18">
        <f>+SUMIF(Рўйхат!$C:$C,$B113,Рўйхат!AG:AG)</f>
        <v/>
      </c>
      <c r="AG113" s="18">
        <f>+SUMIF(Рўйхат!$C:$C,$B113,Рўйхат!AH:AH)</f>
        <v/>
      </c>
      <c r="AH113" s="33">
        <f>+SUMIF(Рўйхат!$C:$C,$B113,Рўйхат!AI:AI)</f>
        <v/>
      </c>
      <c r="AI113" s="19">
        <f>+SUMIF(Рўйхат!$C:$C,$B113,Рўйхат!AJ:AJ)</f>
        <v/>
      </c>
    </row>
    <row r="114" ht="34" customHeight="1">
      <c r="A114" s="64">
        <f>+A113+1</f>
        <v/>
      </c>
      <c r="B114" s="47" t="inlineStr">
        <is>
          <t>Ўзбеккўмир АЖ</t>
        </is>
      </c>
      <c r="C114" s="28">
        <f>IF(IFERROR(VLOOKUP(B114,Рўйхат!C:E,2,0),"")="[NULL]","",IFERROR(VLOOKUP(B114,Рўйхат!C:E,2,0),""))</f>
        <v/>
      </c>
      <c r="D114" s="28">
        <f>IFERROR(VLOOKUP(B114,Рўйхат!C:E,3,0),"")</f>
        <v/>
      </c>
      <c r="E114" s="17">
        <f>+SUMIF(Рўйхат!$C:$C,$B114,Рўйхат!G:G)</f>
        <v/>
      </c>
      <c r="F114" s="18">
        <f>+SUMIF(Рўйхат!$C:$C,$B114,Рўйхат!H:H)</f>
        <v/>
      </c>
      <c r="G114" s="18">
        <f>M114</f>
        <v/>
      </c>
      <c r="H114" s="18">
        <f>R114+W114+AB114+AG114</f>
        <v/>
      </c>
      <c r="I114" s="18">
        <f>+SUMIF(Рўйхат!$C:$C,$B114,Рўйхат!J:J)</f>
        <v/>
      </c>
      <c r="J114" s="18">
        <f>+SUMIF(Рўйхат!$C:$C,$B114,Рўйхат!K:K)</f>
        <v/>
      </c>
      <c r="K114" s="17">
        <f>+SUMIF(Рўйхат!$C:$C,$B114,Рўйхат!L:L)</f>
        <v/>
      </c>
      <c r="L114" s="18">
        <f>+SUMIF(Рўйхат!$C:$C,$B114,Рўйхат!M:M)</f>
        <v/>
      </c>
      <c r="M114" s="18">
        <f>+SUMIF(Рўйхат!$C:$C,$B114,Рўйхат!N:N)</f>
        <v/>
      </c>
      <c r="N114" s="18">
        <f>+SUMIF(Рўйхат!$C:$C,$B114,Рўйхат!O:O)</f>
        <v/>
      </c>
      <c r="O114" s="18">
        <f>+SUMIF(Рўйхат!$C:$C,$B114,Рўйхат!P:P)</f>
        <v/>
      </c>
      <c r="P114" s="17">
        <f>+SUMIF(Рўйхат!$C:$C,$B114,Рўйхат!Q:Q)</f>
        <v/>
      </c>
      <c r="Q114" s="18">
        <f>+SUMIF(Рўйхат!$C:$C,$B114,Рўйхат!R:R)</f>
        <v/>
      </c>
      <c r="R114" s="18">
        <f>+SUMIF(Рўйхат!$C:$C,$B114,Рўйхат!S:S)</f>
        <v/>
      </c>
      <c r="S114" s="18">
        <f>+SUMIF(Рўйхат!$C:$C,$B114,Рўйхат!T:T)</f>
        <v/>
      </c>
      <c r="T114" s="18">
        <f>+SUMIF(Рўйхат!$C:$C,$B114,Рўйхат!U:U)</f>
        <v/>
      </c>
      <c r="U114" s="17">
        <f>+SUMIF(Рўйхат!$C:$C,$B114,Рўйхат!V:V)</f>
        <v/>
      </c>
      <c r="V114" s="18">
        <f>+SUMIF(Рўйхат!$C:$C,$B114,Рўйхат!W:W)</f>
        <v/>
      </c>
      <c r="W114" s="18">
        <f>+SUMIF(Рўйхат!$C:$C,$B114,Рўйхат!X:X)</f>
        <v/>
      </c>
      <c r="X114" s="18">
        <f>+SUMIF(Рўйхат!$C:$C,$B114,Рўйхат!Y:Y)</f>
        <v/>
      </c>
      <c r="Y114" s="18">
        <f>+SUMIF(Рўйхат!$C:$C,$B114,Рўйхат!Z:Z)</f>
        <v/>
      </c>
      <c r="Z114" s="17">
        <f>+SUMIF(Рўйхат!$C:$C,$B114,Рўйхат!AA:AA)</f>
        <v/>
      </c>
      <c r="AA114" s="18">
        <f>+SUMIF(Рўйхат!$C:$C,$B114,Рўйхат!AB:AB)</f>
        <v/>
      </c>
      <c r="AB114" s="18">
        <f>+SUMIF(Рўйхат!$C:$C,$B114,Рўйхат!AC:AC)</f>
        <v/>
      </c>
      <c r="AC114" s="18">
        <f>+SUMIF(Рўйхат!$C:$C,$B114,Рўйхат!AD:AD)</f>
        <v/>
      </c>
      <c r="AD114" s="18">
        <f>+SUMIF(Рўйхат!$C:$C,$B114,Рўйхат!AE:AE)</f>
        <v/>
      </c>
      <c r="AE114" s="17">
        <f>+SUMIF(Рўйхат!$C:$C,$B114,Рўйхат!AF:AF)</f>
        <v/>
      </c>
      <c r="AF114" s="18">
        <f>+SUMIF(Рўйхат!$C:$C,$B114,Рўйхат!AG:AG)</f>
        <v/>
      </c>
      <c r="AG114" s="18">
        <f>+SUMIF(Рўйхат!$C:$C,$B114,Рўйхат!AH:AH)</f>
        <v/>
      </c>
      <c r="AH114" s="33">
        <f>+SUMIF(Рўйхат!$C:$C,$B114,Рўйхат!AI:AI)</f>
        <v/>
      </c>
      <c r="AI114" s="19">
        <f>+SUMIF(Рўйхат!$C:$C,$B114,Рўйхат!AJ:AJ)</f>
        <v/>
      </c>
    </row>
    <row r="115" ht="17" customHeight="1">
      <c r="A115" s="64">
        <f>+A114+1</f>
        <v/>
      </c>
      <c r="B115" s="47" t="inlineStr">
        <is>
          <t>“Issiqlikta’minoti” АЖ</t>
        </is>
      </c>
      <c r="C115" s="101">
        <f>IF(IFERROR(VLOOKUP(B115,Рўйхат!C:E,2,0),"")="[NULL]","",IFERROR(VLOOKUP(B115,Рўйхат!C:E,2,0),""))</f>
        <v/>
      </c>
      <c r="D115" s="101" t="n"/>
      <c r="E115" s="17">
        <f>+SUMIF(Рўйхат!$C:$C,$B115,Рўйхат!G:G)</f>
        <v/>
      </c>
      <c r="F115" s="18">
        <f>+SUMIF(Рўйхат!$C:$C,$B115,Рўйхат!H:H)</f>
        <v/>
      </c>
      <c r="G115" s="18">
        <f>M115</f>
        <v/>
      </c>
      <c r="H115" s="18">
        <f>R115+W115+AB115+AG115</f>
        <v/>
      </c>
      <c r="I115" s="18">
        <f>+SUMIF(Рўйхат!$C:$C,$B115,Рўйхат!J:J)</f>
        <v/>
      </c>
      <c r="J115" s="18">
        <f>+SUMIF(Рўйхат!$C:$C,$B115,Рўйхат!K:K)</f>
        <v/>
      </c>
      <c r="K115" s="17">
        <f>+SUMIF(Рўйхат!$C:$C,$B115,Рўйхат!L:L)</f>
        <v/>
      </c>
      <c r="L115" s="18">
        <f>+SUMIF(Рўйхат!$C:$C,$B115,Рўйхат!M:M)</f>
        <v/>
      </c>
      <c r="M115" s="18">
        <f>+SUMIF(Рўйхат!$C:$C,$B115,Рўйхат!N:N)</f>
        <v/>
      </c>
      <c r="N115" s="18">
        <f>+SUMIF(Рўйхат!$C:$C,$B115,Рўйхат!O:O)</f>
        <v/>
      </c>
      <c r="O115" s="18">
        <f>+SUMIF(Рўйхат!$C:$C,$B115,Рўйхат!P:P)</f>
        <v/>
      </c>
      <c r="P115" s="17">
        <f>+SUMIF(Рўйхат!$C:$C,$B115,Рўйхат!Q:Q)</f>
        <v/>
      </c>
      <c r="Q115" s="18">
        <f>+SUMIF(Рўйхат!$C:$C,$B115,Рўйхат!R:R)</f>
        <v/>
      </c>
      <c r="R115" s="18">
        <f>+SUMIF(Рўйхат!$C:$C,$B115,Рўйхат!S:S)</f>
        <v/>
      </c>
      <c r="S115" s="18">
        <f>+SUMIF(Рўйхат!$C:$C,$B115,Рўйхат!T:T)</f>
        <v/>
      </c>
      <c r="T115" s="18">
        <f>+SUMIF(Рўйхат!$C:$C,$B115,Рўйхат!U:U)</f>
        <v/>
      </c>
      <c r="U115" s="17">
        <f>+SUMIF(Рўйхат!$C:$C,$B115,Рўйхат!V:V)</f>
        <v/>
      </c>
      <c r="V115" s="18">
        <f>+SUMIF(Рўйхат!$C:$C,$B115,Рўйхат!W:W)</f>
        <v/>
      </c>
      <c r="W115" s="18">
        <f>+SUMIF(Рўйхат!$C:$C,$B115,Рўйхат!X:X)</f>
        <v/>
      </c>
      <c r="X115" s="18">
        <f>+SUMIF(Рўйхат!$C:$C,$B115,Рўйхат!Y:Y)</f>
        <v/>
      </c>
      <c r="Y115" s="18">
        <f>+SUMIF(Рўйхат!$C:$C,$B115,Рўйхат!Z:Z)</f>
        <v/>
      </c>
      <c r="Z115" s="17">
        <f>+SUMIF(Рўйхат!$C:$C,$B115,Рўйхат!AA:AA)</f>
        <v/>
      </c>
      <c r="AA115" s="18">
        <f>+SUMIF(Рўйхат!$C:$C,$B115,Рўйхат!AB:AB)</f>
        <v/>
      </c>
      <c r="AB115" s="18">
        <f>+SUMIF(Рўйхат!$C:$C,$B115,Рўйхат!AC:AC)</f>
        <v/>
      </c>
      <c r="AC115" s="18">
        <f>+SUMIF(Рўйхат!$C:$C,$B115,Рўйхат!AD:AD)</f>
        <v/>
      </c>
      <c r="AD115" s="18">
        <f>+SUMIF(Рўйхат!$C:$C,$B115,Рўйхат!AE:AE)</f>
        <v/>
      </c>
      <c r="AE115" s="17">
        <f>+SUMIF(Рўйхат!$C:$C,$B115,Рўйхат!AF:AF)</f>
        <v/>
      </c>
      <c r="AF115" s="18">
        <f>+SUMIF(Рўйхат!$C:$C,$B115,Рўйхат!AG:AG)</f>
        <v/>
      </c>
      <c r="AG115" s="18">
        <f>+SUMIF(Рўйхат!$C:$C,$B115,Рўйхат!AH:AH)</f>
        <v/>
      </c>
      <c r="AH115" s="33">
        <f>+SUMIF(Рўйхат!$C:$C,$B115,Рўйхат!AI:AI)</f>
        <v/>
      </c>
      <c r="AI115" s="19">
        <f>+SUMIF(Рўйхат!$C:$C,$B115,Рўйхат!AJ:AJ)</f>
        <v/>
      </c>
    </row>
    <row r="116" ht="17" customHeight="1">
      <c r="A116" s="64">
        <f>+A115+1</f>
        <v/>
      </c>
      <c r="B116" s="47" t="inlineStr">
        <is>
          <t>“Навоийазот” АЖ</t>
        </is>
      </c>
      <c r="C116" s="101">
        <f>IF(IFERROR(VLOOKUP(B116,Рўйхат!C:E,2,0),"")="[NULL]","",IFERROR(VLOOKUP(B116,Рўйхат!C:E,2,0),""))</f>
        <v/>
      </c>
      <c r="D116" s="101" t="n"/>
      <c r="E116" s="17">
        <f>+SUMIF(Рўйхат!$C:$C,$B116,Рўйхат!G:G)</f>
        <v/>
      </c>
      <c r="F116" s="18">
        <f>+SUMIF(Рўйхат!$C:$C,$B116,Рўйхат!H:H)</f>
        <v/>
      </c>
      <c r="G116" s="18">
        <f>M116</f>
        <v/>
      </c>
      <c r="H116" s="18">
        <f>R116+W116+AB116+AG116</f>
        <v/>
      </c>
      <c r="I116" s="18">
        <f>+SUMIF(Рўйхат!$C:$C,$B116,Рўйхат!J:J)</f>
        <v/>
      </c>
      <c r="J116" s="18">
        <f>+SUMIF(Рўйхат!$C:$C,$B116,Рўйхат!K:K)</f>
        <v/>
      </c>
      <c r="K116" s="17">
        <f>+SUMIF(Рўйхат!$C:$C,$B116,Рўйхат!L:L)</f>
        <v/>
      </c>
      <c r="L116" s="18">
        <f>+SUMIF(Рўйхат!$C:$C,$B116,Рўйхат!M:M)</f>
        <v/>
      </c>
      <c r="M116" s="18">
        <f>+SUMIF(Рўйхат!$C:$C,$B116,Рўйхат!N:N)</f>
        <v/>
      </c>
      <c r="N116" s="18">
        <f>+SUMIF(Рўйхат!$C:$C,$B116,Рўйхат!O:O)</f>
        <v/>
      </c>
      <c r="O116" s="18">
        <f>+SUMIF(Рўйхат!$C:$C,$B116,Рўйхат!P:P)</f>
        <v/>
      </c>
      <c r="P116" s="17">
        <f>+SUMIF(Рўйхат!$C:$C,$B116,Рўйхат!Q:Q)</f>
        <v/>
      </c>
      <c r="Q116" s="18">
        <f>+SUMIF(Рўйхат!$C:$C,$B116,Рўйхат!R:R)</f>
        <v/>
      </c>
      <c r="R116" s="18">
        <f>+SUMIF(Рўйхат!$C:$C,$B116,Рўйхат!S:S)</f>
        <v/>
      </c>
      <c r="S116" s="18">
        <f>+SUMIF(Рўйхат!$C:$C,$B116,Рўйхат!T:T)</f>
        <v/>
      </c>
      <c r="T116" s="18">
        <f>+SUMIF(Рўйхат!$C:$C,$B116,Рўйхат!U:U)</f>
        <v/>
      </c>
      <c r="U116" s="17">
        <f>+SUMIF(Рўйхат!$C:$C,$B116,Рўйхат!V:V)</f>
        <v/>
      </c>
      <c r="V116" s="18">
        <f>+SUMIF(Рўйхат!$C:$C,$B116,Рўйхат!W:W)</f>
        <v/>
      </c>
      <c r="W116" s="18">
        <f>+SUMIF(Рўйхат!$C:$C,$B116,Рўйхат!X:X)</f>
        <v/>
      </c>
      <c r="X116" s="18">
        <f>+SUMIF(Рўйхат!$C:$C,$B116,Рўйхат!Y:Y)</f>
        <v/>
      </c>
      <c r="Y116" s="18">
        <f>+SUMIF(Рўйхат!$C:$C,$B116,Рўйхат!Z:Z)</f>
        <v/>
      </c>
      <c r="Z116" s="17">
        <f>+SUMIF(Рўйхат!$C:$C,$B116,Рўйхат!AA:AA)</f>
        <v/>
      </c>
      <c r="AA116" s="18">
        <f>+SUMIF(Рўйхат!$C:$C,$B116,Рўйхат!AB:AB)</f>
        <v/>
      </c>
      <c r="AB116" s="18">
        <f>+SUMIF(Рўйхат!$C:$C,$B116,Рўйхат!AC:AC)</f>
        <v/>
      </c>
      <c r="AC116" s="18">
        <f>+SUMIF(Рўйхат!$C:$C,$B116,Рўйхат!AD:AD)</f>
        <v/>
      </c>
      <c r="AD116" s="18">
        <f>+SUMIF(Рўйхат!$C:$C,$B116,Рўйхат!AE:AE)</f>
        <v/>
      </c>
      <c r="AE116" s="17">
        <f>+SUMIF(Рўйхат!$C:$C,$B116,Рўйхат!AF:AF)</f>
        <v/>
      </c>
      <c r="AF116" s="18">
        <f>+SUMIF(Рўйхат!$C:$C,$B116,Рўйхат!AG:AG)</f>
        <v/>
      </c>
      <c r="AG116" s="18">
        <f>+SUMIF(Рўйхат!$C:$C,$B116,Рўйхат!AH:AH)</f>
        <v/>
      </c>
      <c r="AH116" s="33">
        <f>+SUMIF(Рўйхат!$C:$C,$B116,Рўйхат!AI:AI)</f>
        <v/>
      </c>
      <c r="AI116" s="19">
        <f>+SUMIF(Рўйхат!$C:$C,$B116,Рўйхат!AJ:AJ)</f>
        <v/>
      </c>
    </row>
    <row r="117" ht="17" customHeight="1">
      <c r="A117" s="64">
        <f>+A116+1</f>
        <v/>
      </c>
      <c r="B117" s="47" t="inlineStr">
        <is>
          <t>Ўзагролизинг АЖ</t>
        </is>
      </c>
      <c r="C117" s="101">
        <f>IF(IFERROR(VLOOKUP(B117,Рўйхат!C:E,2,0),"")="[NULL]","",IFERROR(VLOOKUP(B117,Рўйхат!C:E,2,0),""))</f>
        <v/>
      </c>
      <c r="D117" s="101" t="n"/>
      <c r="E117" s="17">
        <f>+SUMIF(Рўйхат!$C:$C,$B117,Рўйхат!G:G)</f>
        <v/>
      </c>
      <c r="F117" s="18">
        <f>+SUMIF(Рўйхат!$C:$C,$B117,Рўйхат!H:H)</f>
        <v/>
      </c>
      <c r="G117" s="18">
        <f>M117</f>
        <v/>
      </c>
      <c r="H117" s="18">
        <f>R117+W117+AB117+AG117</f>
        <v/>
      </c>
      <c r="I117" s="18">
        <f>+SUMIF(Рўйхат!$C:$C,$B117,Рўйхат!J:J)</f>
        <v/>
      </c>
      <c r="J117" s="18">
        <f>+SUMIF(Рўйхат!$C:$C,$B117,Рўйхат!K:K)</f>
        <v/>
      </c>
      <c r="K117" s="17">
        <f>+SUMIF(Рўйхат!$C:$C,$B117,Рўйхат!L:L)</f>
        <v/>
      </c>
      <c r="L117" s="18">
        <f>+SUMIF(Рўйхат!$C:$C,$B117,Рўйхат!M:M)</f>
        <v/>
      </c>
      <c r="M117" s="18">
        <f>+SUMIF(Рўйхат!$C:$C,$B117,Рўйхат!N:N)</f>
        <v/>
      </c>
      <c r="N117" s="18">
        <f>+SUMIF(Рўйхат!$C:$C,$B117,Рўйхат!O:O)</f>
        <v/>
      </c>
      <c r="O117" s="18">
        <f>+SUMIF(Рўйхат!$C:$C,$B117,Рўйхат!P:P)</f>
        <v/>
      </c>
      <c r="P117" s="17">
        <f>+SUMIF(Рўйхат!$C:$C,$B117,Рўйхат!Q:Q)</f>
        <v/>
      </c>
      <c r="Q117" s="18">
        <f>+SUMIF(Рўйхат!$C:$C,$B117,Рўйхат!R:R)</f>
        <v/>
      </c>
      <c r="R117" s="18">
        <f>+SUMIF(Рўйхат!$C:$C,$B117,Рўйхат!S:S)</f>
        <v/>
      </c>
      <c r="S117" s="18">
        <f>+SUMIF(Рўйхат!$C:$C,$B117,Рўйхат!T:T)</f>
        <v/>
      </c>
      <c r="T117" s="18">
        <f>+SUMIF(Рўйхат!$C:$C,$B117,Рўйхат!U:U)</f>
        <v/>
      </c>
      <c r="U117" s="17">
        <f>+SUMIF(Рўйхат!$C:$C,$B117,Рўйхат!V:V)</f>
        <v/>
      </c>
      <c r="V117" s="18">
        <f>+SUMIF(Рўйхат!$C:$C,$B117,Рўйхат!W:W)</f>
        <v/>
      </c>
      <c r="W117" s="18">
        <f>+SUMIF(Рўйхат!$C:$C,$B117,Рўйхат!X:X)</f>
        <v/>
      </c>
      <c r="X117" s="18">
        <f>+SUMIF(Рўйхат!$C:$C,$B117,Рўйхат!Y:Y)</f>
        <v/>
      </c>
      <c r="Y117" s="18">
        <f>+SUMIF(Рўйхат!$C:$C,$B117,Рўйхат!Z:Z)</f>
        <v/>
      </c>
      <c r="Z117" s="17">
        <f>+SUMIF(Рўйхат!$C:$C,$B117,Рўйхат!AA:AA)</f>
        <v/>
      </c>
      <c r="AA117" s="18">
        <f>+SUMIF(Рўйхат!$C:$C,$B117,Рўйхат!AB:AB)</f>
        <v/>
      </c>
      <c r="AB117" s="18">
        <f>+SUMIF(Рўйхат!$C:$C,$B117,Рўйхат!AC:AC)</f>
        <v/>
      </c>
      <c r="AC117" s="18">
        <f>+SUMIF(Рўйхат!$C:$C,$B117,Рўйхат!AD:AD)</f>
        <v/>
      </c>
      <c r="AD117" s="18">
        <f>+SUMIF(Рўйхат!$C:$C,$B117,Рўйхат!AE:AE)</f>
        <v/>
      </c>
      <c r="AE117" s="17">
        <f>+SUMIF(Рўйхат!$C:$C,$B117,Рўйхат!AF:AF)</f>
        <v/>
      </c>
      <c r="AF117" s="18">
        <f>+SUMIF(Рўйхат!$C:$C,$B117,Рўйхат!AG:AG)</f>
        <v/>
      </c>
      <c r="AG117" s="18">
        <f>+SUMIF(Рўйхат!$C:$C,$B117,Рўйхат!AH:AH)</f>
        <v/>
      </c>
      <c r="AH117" s="33">
        <f>+SUMIF(Рўйхат!$C:$C,$B117,Рўйхат!AI:AI)</f>
        <v/>
      </c>
      <c r="AI117" s="19">
        <f>+SUMIF(Рўйхат!$C:$C,$B117,Рўйхат!AJ:AJ)</f>
        <v/>
      </c>
    </row>
    <row r="118" ht="17" customHeight="1">
      <c r="A118" s="64">
        <f>+A117+1</f>
        <v/>
      </c>
      <c r="B118" s="47" t="inlineStr">
        <is>
          <t>ЎЗБEКИСТОН РEСПУБЛИКА ВАЛЮТА БИРЖАСИ АЖ</t>
        </is>
      </c>
      <c r="C118" s="101">
        <f>IF(IFERROR(VLOOKUP(B118,Рўйхат!C:E,2,0),"")="[NULL]","",IFERROR(VLOOKUP(B118,Рўйхат!C:E,2,0),""))</f>
        <v/>
      </c>
      <c r="D118" s="101" t="n"/>
      <c r="E118" s="17">
        <f>+SUMIF(Рўйхат!$C:$C,$B118,Рўйхат!G:G)</f>
        <v/>
      </c>
      <c r="F118" s="18">
        <f>+SUMIF(Рўйхат!$C:$C,$B118,Рўйхат!H:H)</f>
        <v/>
      </c>
      <c r="G118" s="18">
        <f>M118</f>
        <v/>
      </c>
      <c r="H118" s="18">
        <f>R118+W118+AB118+AG118</f>
        <v/>
      </c>
      <c r="I118" s="18">
        <f>+SUMIF(Рўйхат!$C:$C,$B118,Рўйхат!J:J)</f>
        <v/>
      </c>
      <c r="J118" s="18">
        <f>+SUMIF(Рўйхат!$C:$C,$B118,Рўйхат!K:K)</f>
        <v/>
      </c>
      <c r="K118" s="17">
        <f>+SUMIF(Рўйхат!$C:$C,$B118,Рўйхат!L:L)</f>
        <v/>
      </c>
      <c r="L118" s="18">
        <f>+SUMIF(Рўйхат!$C:$C,$B118,Рўйхат!M:M)</f>
        <v/>
      </c>
      <c r="M118" s="18">
        <f>+SUMIF(Рўйхат!$C:$C,$B118,Рўйхат!N:N)</f>
        <v/>
      </c>
      <c r="N118" s="18">
        <f>+SUMIF(Рўйхат!$C:$C,$B118,Рўйхат!O:O)</f>
        <v/>
      </c>
      <c r="O118" s="18">
        <f>+SUMIF(Рўйхат!$C:$C,$B118,Рўйхат!P:P)</f>
        <v/>
      </c>
      <c r="P118" s="17">
        <f>+SUMIF(Рўйхат!$C:$C,$B118,Рўйхат!Q:Q)</f>
        <v/>
      </c>
      <c r="Q118" s="18">
        <f>+SUMIF(Рўйхат!$C:$C,$B118,Рўйхат!R:R)</f>
        <v/>
      </c>
      <c r="R118" s="18">
        <f>+SUMIF(Рўйхат!$C:$C,$B118,Рўйхат!S:S)</f>
        <v/>
      </c>
      <c r="S118" s="18">
        <f>+SUMIF(Рўйхат!$C:$C,$B118,Рўйхат!T:T)</f>
        <v/>
      </c>
      <c r="T118" s="18">
        <f>+SUMIF(Рўйхат!$C:$C,$B118,Рўйхат!U:U)</f>
        <v/>
      </c>
      <c r="U118" s="17">
        <f>+SUMIF(Рўйхат!$C:$C,$B118,Рўйхат!V:V)</f>
        <v/>
      </c>
      <c r="V118" s="18">
        <f>+SUMIF(Рўйхат!$C:$C,$B118,Рўйхат!W:W)</f>
        <v/>
      </c>
      <c r="W118" s="18">
        <f>+SUMIF(Рўйхат!$C:$C,$B118,Рўйхат!X:X)</f>
        <v/>
      </c>
      <c r="X118" s="18">
        <f>+SUMIF(Рўйхат!$C:$C,$B118,Рўйхат!Y:Y)</f>
        <v/>
      </c>
      <c r="Y118" s="18">
        <f>+SUMIF(Рўйхат!$C:$C,$B118,Рўйхат!Z:Z)</f>
        <v/>
      </c>
      <c r="Z118" s="17">
        <f>+SUMIF(Рўйхат!$C:$C,$B118,Рўйхат!AA:AA)</f>
        <v/>
      </c>
      <c r="AA118" s="18">
        <f>+SUMIF(Рўйхат!$C:$C,$B118,Рўйхат!AB:AB)</f>
        <v/>
      </c>
      <c r="AB118" s="18">
        <f>+SUMIF(Рўйхат!$C:$C,$B118,Рўйхат!AC:AC)</f>
        <v/>
      </c>
      <c r="AC118" s="18">
        <f>+SUMIF(Рўйхат!$C:$C,$B118,Рўйхат!AD:AD)</f>
        <v/>
      </c>
      <c r="AD118" s="18">
        <f>+SUMIF(Рўйхат!$C:$C,$B118,Рўйхат!AE:AE)</f>
        <v/>
      </c>
      <c r="AE118" s="17">
        <f>+SUMIF(Рўйхат!$C:$C,$B118,Рўйхат!AF:AF)</f>
        <v/>
      </c>
      <c r="AF118" s="18">
        <f>+SUMIF(Рўйхат!$C:$C,$B118,Рўйхат!AG:AG)</f>
        <v/>
      </c>
      <c r="AG118" s="18">
        <f>+SUMIF(Рўйхат!$C:$C,$B118,Рўйхат!AH:AH)</f>
        <v/>
      </c>
      <c r="AH118" s="33">
        <f>+SUMIF(Рўйхат!$C:$C,$B118,Рўйхат!AI:AI)</f>
        <v/>
      </c>
      <c r="AI118" s="19">
        <f>+SUMIF(Рўйхат!$C:$C,$B118,Рўйхат!AJ:AJ)</f>
        <v/>
      </c>
    </row>
    <row r="119" ht="17" customHeight="1">
      <c r="A119" s="64">
        <f>+A118+1</f>
        <v/>
      </c>
      <c r="B119" s="47" t="inlineStr">
        <is>
          <t>ЎЗАГРОСЕРВИС АЖ</t>
        </is>
      </c>
      <c r="C119" s="101">
        <f>IF(IFERROR(VLOOKUP(B119,Рўйхат!C:E,2,0),"")="[NULL]","",IFERROR(VLOOKUP(B119,Рўйхат!C:E,2,0),""))</f>
        <v/>
      </c>
      <c r="D119" s="101" t="n"/>
      <c r="E119" s="17">
        <f>+SUMIF(Рўйхат!$C:$C,$B119,Рўйхат!G:G)</f>
        <v/>
      </c>
      <c r="F119" s="18">
        <f>+SUMIF(Рўйхат!$C:$C,$B119,Рўйхат!H:H)</f>
        <v/>
      </c>
      <c r="G119" s="18">
        <f>M119</f>
        <v/>
      </c>
      <c r="H119" s="18">
        <f>R119+W119+AB119+AG119</f>
        <v/>
      </c>
      <c r="I119" s="18">
        <f>+SUMIF(Рўйхат!$C:$C,$B119,Рўйхат!J:J)</f>
        <v/>
      </c>
      <c r="J119" s="18">
        <f>+SUMIF(Рўйхат!$C:$C,$B119,Рўйхат!K:K)</f>
        <v/>
      </c>
      <c r="K119" s="17">
        <f>+SUMIF(Рўйхат!$C:$C,$B119,Рўйхат!L:L)</f>
        <v/>
      </c>
      <c r="L119" s="18">
        <f>+SUMIF(Рўйхат!$C:$C,$B119,Рўйхат!M:M)</f>
        <v/>
      </c>
      <c r="M119" s="18">
        <f>+SUMIF(Рўйхат!$C:$C,$B119,Рўйхат!N:N)</f>
        <v/>
      </c>
      <c r="N119" s="18">
        <f>+SUMIF(Рўйхат!$C:$C,$B119,Рўйхат!O:O)</f>
        <v/>
      </c>
      <c r="O119" s="18">
        <f>+SUMIF(Рўйхат!$C:$C,$B119,Рўйхат!P:P)</f>
        <v/>
      </c>
      <c r="P119" s="17">
        <f>+SUMIF(Рўйхат!$C:$C,$B119,Рўйхат!Q:Q)</f>
        <v/>
      </c>
      <c r="Q119" s="18">
        <f>+SUMIF(Рўйхат!$C:$C,$B119,Рўйхат!R:R)</f>
        <v/>
      </c>
      <c r="R119" s="18">
        <f>+SUMIF(Рўйхат!$C:$C,$B119,Рўйхат!S:S)</f>
        <v/>
      </c>
      <c r="S119" s="18">
        <f>+SUMIF(Рўйхат!$C:$C,$B119,Рўйхат!T:T)</f>
        <v/>
      </c>
      <c r="T119" s="18">
        <f>+SUMIF(Рўйхат!$C:$C,$B119,Рўйхат!U:U)</f>
        <v/>
      </c>
      <c r="U119" s="17">
        <f>+SUMIF(Рўйхат!$C:$C,$B119,Рўйхат!V:V)</f>
        <v/>
      </c>
      <c r="V119" s="18">
        <f>+SUMIF(Рўйхат!$C:$C,$B119,Рўйхат!W:W)</f>
        <v/>
      </c>
      <c r="W119" s="18">
        <f>+SUMIF(Рўйхат!$C:$C,$B119,Рўйхат!X:X)</f>
        <v/>
      </c>
      <c r="X119" s="18">
        <f>+SUMIF(Рўйхат!$C:$C,$B119,Рўйхат!Y:Y)</f>
        <v/>
      </c>
      <c r="Y119" s="18">
        <f>+SUMIF(Рўйхат!$C:$C,$B119,Рўйхат!Z:Z)</f>
        <v/>
      </c>
      <c r="Z119" s="17">
        <f>+SUMIF(Рўйхат!$C:$C,$B119,Рўйхат!AA:AA)</f>
        <v/>
      </c>
      <c r="AA119" s="18">
        <f>+SUMIF(Рўйхат!$C:$C,$B119,Рўйхат!AB:AB)</f>
        <v/>
      </c>
      <c r="AB119" s="18">
        <f>+SUMIF(Рўйхат!$C:$C,$B119,Рўйхат!AC:AC)</f>
        <v/>
      </c>
      <c r="AC119" s="18">
        <f>+SUMIF(Рўйхат!$C:$C,$B119,Рўйхат!AD:AD)</f>
        <v/>
      </c>
      <c r="AD119" s="18">
        <f>+SUMIF(Рўйхат!$C:$C,$B119,Рўйхат!AE:AE)</f>
        <v/>
      </c>
      <c r="AE119" s="17">
        <f>+SUMIF(Рўйхат!$C:$C,$B119,Рўйхат!AF:AF)</f>
        <v/>
      </c>
      <c r="AF119" s="18">
        <f>+SUMIF(Рўйхат!$C:$C,$B119,Рўйхат!AG:AG)</f>
        <v/>
      </c>
      <c r="AG119" s="18">
        <f>+SUMIF(Рўйхат!$C:$C,$B119,Рўйхат!AH:AH)</f>
        <v/>
      </c>
      <c r="AH119" s="33">
        <f>+SUMIF(Рўйхат!$C:$C,$B119,Рўйхат!AI:AI)</f>
        <v/>
      </c>
      <c r="AI119" s="19">
        <f>+SUMIF(Рўйхат!$C:$C,$B119,Рўйхат!AJ:AJ)</f>
        <v/>
      </c>
    </row>
    <row r="120" ht="17" customHeight="1">
      <c r="A120" s="64">
        <f>+A119+1</f>
        <v/>
      </c>
      <c r="B120" s="47" t="inlineStr">
        <is>
          <t>Электрон онлайн-аукционларни ташкил этиш АЖ</t>
        </is>
      </c>
      <c r="C120" s="101">
        <f>IF(IFERROR(VLOOKUP(B120,Рўйхат!C:E,2,0),"")="[NULL]","",IFERROR(VLOOKUP(B120,Рўйхат!C:E,2,0),""))</f>
        <v/>
      </c>
      <c r="D120" s="101" t="n"/>
      <c r="E120" s="17">
        <f>+SUMIF(Рўйхат!$C:$C,$B120,Рўйхат!G:G)</f>
        <v/>
      </c>
      <c r="F120" s="18">
        <f>+SUMIF(Рўйхат!$C:$C,$B120,Рўйхат!H:H)</f>
        <v/>
      </c>
      <c r="G120" s="18">
        <f>M120</f>
        <v/>
      </c>
      <c r="H120" s="18">
        <f>R120+W120+AB120+AG120</f>
        <v/>
      </c>
      <c r="I120" s="18">
        <f>+SUMIF(Рўйхат!$C:$C,$B120,Рўйхат!J:J)</f>
        <v/>
      </c>
      <c r="J120" s="18">
        <f>+SUMIF(Рўйхат!$C:$C,$B120,Рўйхат!K:K)</f>
        <v/>
      </c>
      <c r="K120" s="17">
        <f>+SUMIF(Рўйхат!$C:$C,$B120,Рўйхат!L:L)</f>
        <v/>
      </c>
      <c r="L120" s="18">
        <f>+SUMIF(Рўйхат!$C:$C,$B120,Рўйхат!M:M)</f>
        <v/>
      </c>
      <c r="M120" s="18">
        <f>+SUMIF(Рўйхат!$C:$C,$B120,Рўйхат!N:N)</f>
        <v/>
      </c>
      <c r="N120" s="18">
        <f>+SUMIF(Рўйхат!$C:$C,$B120,Рўйхат!O:O)</f>
        <v/>
      </c>
      <c r="O120" s="18">
        <f>+SUMIF(Рўйхат!$C:$C,$B120,Рўйхат!P:P)</f>
        <v/>
      </c>
      <c r="P120" s="17">
        <f>+SUMIF(Рўйхат!$C:$C,$B120,Рўйхат!Q:Q)</f>
        <v/>
      </c>
      <c r="Q120" s="18">
        <f>+SUMIF(Рўйхат!$C:$C,$B120,Рўйхат!R:R)</f>
        <v/>
      </c>
      <c r="R120" s="18">
        <f>+SUMIF(Рўйхат!$C:$C,$B120,Рўйхат!S:S)</f>
        <v/>
      </c>
      <c r="S120" s="18">
        <f>+SUMIF(Рўйхат!$C:$C,$B120,Рўйхат!T:T)</f>
        <v/>
      </c>
      <c r="T120" s="18">
        <f>+SUMIF(Рўйхат!$C:$C,$B120,Рўйхат!U:U)</f>
        <v/>
      </c>
      <c r="U120" s="17">
        <f>+SUMIF(Рўйхат!$C:$C,$B120,Рўйхат!V:V)</f>
        <v/>
      </c>
      <c r="V120" s="18">
        <f>+SUMIF(Рўйхат!$C:$C,$B120,Рўйхат!W:W)</f>
        <v/>
      </c>
      <c r="W120" s="18">
        <f>+SUMIF(Рўйхат!$C:$C,$B120,Рўйхат!X:X)</f>
        <v/>
      </c>
      <c r="X120" s="18">
        <f>+SUMIF(Рўйхат!$C:$C,$B120,Рўйхат!Y:Y)</f>
        <v/>
      </c>
      <c r="Y120" s="18">
        <f>+SUMIF(Рўйхат!$C:$C,$B120,Рўйхат!Z:Z)</f>
        <v/>
      </c>
      <c r="Z120" s="17">
        <f>+SUMIF(Рўйхат!$C:$C,$B120,Рўйхат!AA:AA)</f>
        <v/>
      </c>
      <c r="AA120" s="18">
        <f>+SUMIF(Рўйхат!$C:$C,$B120,Рўйхат!AB:AB)</f>
        <v/>
      </c>
      <c r="AB120" s="18">
        <f>+SUMIF(Рўйхат!$C:$C,$B120,Рўйхат!AC:AC)</f>
        <v/>
      </c>
      <c r="AC120" s="18">
        <f>+SUMIF(Рўйхат!$C:$C,$B120,Рўйхат!AD:AD)</f>
        <v/>
      </c>
      <c r="AD120" s="18">
        <f>+SUMIF(Рўйхат!$C:$C,$B120,Рўйхат!AE:AE)</f>
        <v/>
      </c>
      <c r="AE120" s="17">
        <f>+SUMIF(Рўйхат!$C:$C,$B120,Рўйхат!AF:AF)</f>
        <v/>
      </c>
      <c r="AF120" s="18">
        <f>+SUMIF(Рўйхат!$C:$C,$B120,Рўйхат!AG:AG)</f>
        <v/>
      </c>
      <c r="AG120" s="18">
        <f>+SUMIF(Рўйхат!$C:$C,$B120,Рўйхат!AH:AH)</f>
        <v/>
      </c>
      <c r="AH120" s="33">
        <f>+SUMIF(Рўйхат!$C:$C,$B120,Рўйхат!AI:AI)</f>
        <v/>
      </c>
      <c r="AI120" s="19">
        <f>+SUMIF(Рўйхат!$C:$C,$B120,Рўйхат!AJ:AJ)</f>
        <v/>
      </c>
    </row>
    <row r="121" ht="17" customHeight="1">
      <c r="A121" s="64">
        <f>+A120+1</f>
        <v/>
      </c>
      <c r="B121" s="47" t="inlineStr">
        <is>
          <t>Uzbekistan airports АЖ</t>
        </is>
      </c>
      <c r="C121" s="101">
        <f>IF(IFERROR(VLOOKUP(B121,Рўйхат!C:E,2,0),"")="[NULL]","",IFERROR(VLOOKUP(B121,Рўйхат!C:E,2,0),""))</f>
        <v/>
      </c>
      <c r="D121" s="101" t="n"/>
      <c r="E121" s="17">
        <f>+SUMIF(Рўйхат!$C:$C,$B121,Рўйхат!G:G)</f>
        <v/>
      </c>
      <c r="F121" s="18">
        <f>+SUMIF(Рўйхат!$C:$C,$B121,Рўйхат!H:H)</f>
        <v/>
      </c>
      <c r="G121" s="18">
        <f>M121</f>
        <v/>
      </c>
      <c r="H121" s="18">
        <f>R121+W121+AB121+AG121</f>
        <v/>
      </c>
      <c r="I121" s="18">
        <f>+SUMIF(Рўйхат!$C:$C,$B121,Рўйхат!J:J)</f>
        <v/>
      </c>
      <c r="J121" s="18">
        <f>+SUMIF(Рўйхат!$C:$C,$B121,Рўйхат!K:K)</f>
        <v/>
      </c>
      <c r="K121" s="17">
        <f>+SUMIF(Рўйхат!$C:$C,$B121,Рўйхат!L:L)</f>
        <v/>
      </c>
      <c r="L121" s="18">
        <f>+SUMIF(Рўйхат!$C:$C,$B121,Рўйхат!M:M)</f>
        <v/>
      </c>
      <c r="M121" s="18">
        <f>+SUMIF(Рўйхат!$C:$C,$B121,Рўйхат!N:N)</f>
        <v/>
      </c>
      <c r="N121" s="18">
        <f>+SUMIF(Рўйхат!$C:$C,$B121,Рўйхат!O:O)</f>
        <v/>
      </c>
      <c r="O121" s="18">
        <f>+SUMIF(Рўйхат!$C:$C,$B121,Рўйхат!P:P)</f>
        <v/>
      </c>
      <c r="P121" s="17">
        <f>+SUMIF(Рўйхат!$C:$C,$B121,Рўйхат!Q:Q)</f>
        <v/>
      </c>
      <c r="Q121" s="18">
        <f>+SUMIF(Рўйхат!$C:$C,$B121,Рўйхат!R:R)</f>
        <v/>
      </c>
      <c r="R121" s="18">
        <f>+SUMIF(Рўйхат!$C:$C,$B121,Рўйхат!S:S)</f>
        <v/>
      </c>
      <c r="S121" s="18">
        <f>+SUMIF(Рўйхат!$C:$C,$B121,Рўйхат!T:T)</f>
        <v/>
      </c>
      <c r="T121" s="18">
        <f>+SUMIF(Рўйхат!$C:$C,$B121,Рўйхат!U:U)</f>
        <v/>
      </c>
      <c r="U121" s="17">
        <f>+SUMIF(Рўйхат!$C:$C,$B121,Рўйхат!V:V)</f>
        <v/>
      </c>
      <c r="V121" s="18">
        <f>+SUMIF(Рўйхат!$C:$C,$B121,Рўйхат!W:W)</f>
        <v/>
      </c>
      <c r="W121" s="18">
        <f>+SUMIF(Рўйхат!$C:$C,$B121,Рўйхат!X:X)</f>
        <v/>
      </c>
      <c r="X121" s="18">
        <f>+SUMIF(Рўйхат!$C:$C,$B121,Рўйхат!Y:Y)</f>
        <v/>
      </c>
      <c r="Y121" s="18">
        <f>+SUMIF(Рўйхат!$C:$C,$B121,Рўйхат!Z:Z)</f>
        <v/>
      </c>
      <c r="Z121" s="17">
        <f>+SUMIF(Рўйхат!$C:$C,$B121,Рўйхат!AA:AA)</f>
        <v/>
      </c>
      <c r="AA121" s="18">
        <f>+SUMIF(Рўйхат!$C:$C,$B121,Рўйхат!AB:AB)</f>
        <v/>
      </c>
      <c r="AB121" s="18">
        <f>+SUMIF(Рўйхат!$C:$C,$B121,Рўйхат!AC:AC)</f>
        <v/>
      </c>
      <c r="AC121" s="18">
        <f>+SUMIF(Рўйхат!$C:$C,$B121,Рўйхат!AD:AD)</f>
        <v/>
      </c>
      <c r="AD121" s="18">
        <f>+SUMIF(Рўйхат!$C:$C,$B121,Рўйхат!AE:AE)</f>
        <v/>
      </c>
      <c r="AE121" s="17">
        <f>+SUMIF(Рўйхат!$C:$C,$B121,Рўйхат!AF:AF)</f>
        <v/>
      </c>
      <c r="AF121" s="18">
        <f>+SUMIF(Рўйхат!$C:$C,$B121,Рўйхат!AG:AG)</f>
        <v/>
      </c>
      <c r="AG121" s="18">
        <f>+SUMIF(Рўйхат!$C:$C,$B121,Рўйхат!AH:AH)</f>
        <v/>
      </c>
      <c r="AH121" s="33">
        <f>+SUMIF(Рўйхат!$C:$C,$B121,Рўйхат!AI:AI)</f>
        <v/>
      </c>
      <c r="AI121" s="19">
        <f>+SUMIF(Рўйхат!$C:$C,$B121,Рўйхат!AJ:AJ)</f>
        <v/>
      </c>
    </row>
    <row r="122" ht="34" customHeight="1">
      <c r="A122" s="64">
        <f>+A121+1</f>
        <v/>
      </c>
      <c r="B122" s="47" t="inlineStr">
        <is>
          <t>O`ZBEKISTON RESPUBLIKASI OLIY MAJLISI QONUNCHILIK PALATASINING DEVONI</t>
        </is>
      </c>
      <c r="C122" s="101">
        <f>IF(IFERROR(VLOOKUP(B122,Рўйхат!C:E,2,0),"")="[NULL]","",IFERROR(VLOOKUP(B122,Рўйхат!C:E,2,0),""))</f>
        <v/>
      </c>
      <c r="D122" s="101" t="n"/>
      <c r="E122" s="17">
        <f>+SUMIF(Рўйхат!$C:$C,$B122,Рўйхат!G:G)</f>
        <v/>
      </c>
      <c r="F122" s="18">
        <f>+SUMIF(Рўйхат!$C:$C,$B122,Рўйхат!H:H)</f>
        <v/>
      </c>
      <c r="G122" s="18">
        <f>M122</f>
        <v/>
      </c>
      <c r="H122" s="18">
        <f>R122+W122+AB122+AG122</f>
        <v/>
      </c>
      <c r="I122" s="18">
        <f>+SUMIF(Рўйхат!$C:$C,$B122,Рўйхат!J:J)</f>
        <v/>
      </c>
      <c r="J122" s="18">
        <f>+SUMIF(Рўйхат!$C:$C,$B122,Рўйхат!K:K)</f>
        <v/>
      </c>
      <c r="K122" s="17">
        <f>+SUMIF(Рўйхат!$C:$C,$B122,Рўйхат!L:L)</f>
        <v/>
      </c>
      <c r="L122" s="18">
        <f>+SUMIF(Рўйхат!$C:$C,$B122,Рўйхат!M:M)</f>
        <v/>
      </c>
      <c r="M122" s="18">
        <f>+SUMIF(Рўйхат!$C:$C,$B122,Рўйхат!N:N)</f>
        <v/>
      </c>
      <c r="N122" s="18">
        <f>+SUMIF(Рўйхат!$C:$C,$B122,Рўйхат!O:O)</f>
        <v/>
      </c>
      <c r="O122" s="18">
        <f>+SUMIF(Рўйхат!$C:$C,$B122,Рўйхат!P:P)</f>
        <v/>
      </c>
      <c r="P122" s="17">
        <f>+SUMIF(Рўйхат!$C:$C,$B122,Рўйхат!Q:Q)</f>
        <v/>
      </c>
      <c r="Q122" s="18">
        <f>+SUMIF(Рўйхат!$C:$C,$B122,Рўйхат!R:R)</f>
        <v/>
      </c>
      <c r="R122" s="18">
        <f>+SUMIF(Рўйхат!$C:$C,$B122,Рўйхат!S:S)</f>
        <v/>
      </c>
      <c r="S122" s="18">
        <f>+SUMIF(Рўйхат!$C:$C,$B122,Рўйхат!T:T)</f>
        <v/>
      </c>
      <c r="T122" s="18">
        <f>+SUMIF(Рўйхат!$C:$C,$B122,Рўйхат!U:U)</f>
        <v/>
      </c>
      <c r="U122" s="17">
        <f>+SUMIF(Рўйхат!$C:$C,$B122,Рўйхат!V:V)</f>
        <v/>
      </c>
      <c r="V122" s="18">
        <f>+SUMIF(Рўйхат!$C:$C,$B122,Рўйхат!W:W)</f>
        <v/>
      </c>
      <c r="W122" s="18">
        <f>+SUMIF(Рўйхат!$C:$C,$B122,Рўйхат!X:X)</f>
        <v/>
      </c>
      <c r="X122" s="18">
        <f>+SUMIF(Рўйхат!$C:$C,$B122,Рўйхат!Y:Y)</f>
        <v/>
      </c>
      <c r="Y122" s="18">
        <f>+SUMIF(Рўйхат!$C:$C,$B122,Рўйхат!Z:Z)</f>
        <v/>
      </c>
      <c r="Z122" s="17">
        <f>+SUMIF(Рўйхат!$C:$C,$B122,Рўйхат!AA:AA)</f>
        <v/>
      </c>
      <c r="AA122" s="18">
        <f>+SUMIF(Рўйхат!$C:$C,$B122,Рўйхат!AB:AB)</f>
        <v/>
      </c>
      <c r="AB122" s="18">
        <f>+SUMIF(Рўйхат!$C:$C,$B122,Рўйхат!AC:AC)</f>
        <v/>
      </c>
      <c r="AC122" s="18">
        <f>+SUMIF(Рўйхат!$C:$C,$B122,Рўйхат!AD:AD)</f>
        <v/>
      </c>
      <c r="AD122" s="18">
        <f>+SUMIF(Рўйхат!$C:$C,$B122,Рўйхат!AE:AE)</f>
        <v/>
      </c>
      <c r="AE122" s="17">
        <f>+SUMIF(Рўйхат!$C:$C,$B122,Рўйхат!AF:AF)</f>
        <v/>
      </c>
      <c r="AF122" s="18">
        <f>+SUMIF(Рўйхат!$C:$C,$B122,Рўйхат!AG:AG)</f>
        <v/>
      </c>
      <c r="AG122" s="18">
        <f>+SUMIF(Рўйхат!$C:$C,$B122,Рўйхат!AH:AH)</f>
        <v/>
      </c>
      <c r="AH122" s="33">
        <f>+SUMIF(Рўйхат!$C:$C,$B122,Рўйхат!AI:AI)</f>
        <v/>
      </c>
      <c r="AI122" s="19">
        <f>+SUMIF(Рўйхат!$C:$C,$B122,Рўйхат!AJ:AJ)</f>
        <v/>
      </c>
    </row>
    <row r="123" ht="17" customHeight="1">
      <c r="A123" s="64">
        <f>+A122+1</f>
        <v/>
      </c>
      <c r="B123" s="47" t="inlineStr">
        <is>
          <t>Туризм қўмитаси</t>
        </is>
      </c>
      <c r="C123" s="101">
        <f>IF(IFERROR(VLOOKUP(B123,Рўйхат!C:E,2,0),"")="[NULL]","",IFERROR(VLOOKUP(B123,Рўйхат!C:E,2,0),""))</f>
        <v/>
      </c>
      <c r="D123" s="101" t="n"/>
      <c r="E123" s="17">
        <f>+SUMIF(Рўйхат!$C:$C,$B123,Рўйхат!G:G)</f>
        <v/>
      </c>
      <c r="F123" s="18">
        <f>+SUMIF(Рўйхат!$C:$C,$B123,Рўйхат!H:H)</f>
        <v/>
      </c>
      <c r="G123" s="18">
        <f>M123</f>
        <v/>
      </c>
      <c r="H123" s="18">
        <f>R123+W123+AB123+AG123</f>
        <v/>
      </c>
      <c r="I123" s="18">
        <f>+SUMIF(Рўйхат!$C:$C,$B123,Рўйхат!J:J)</f>
        <v/>
      </c>
      <c r="J123" s="18">
        <f>+SUMIF(Рўйхат!$C:$C,$B123,Рўйхат!K:K)</f>
        <v/>
      </c>
      <c r="K123" s="17">
        <f>+SUMIF(Рўйхат!$C:$C,$B123,Рўйхат!L:L)</f>
        <v/>
      </c>
      <c r="L123" s="18">
        <f>+SUMIF(Рўйхат!$C:$C,$B123,Рўйхат!M:M)</f>
        <v/>
      </c>
      <c r="M123" s="18">
        <f>+SUMIF(Рўйхат!$C:$C,$B123,Рўйхат!N:N)</f>
        <v/>
      </c>
      <c r="N123" s="18">
        <f>+SUMIF(Рўйхат!$C:$C,$B123,Рўйхат!O:O)</f>
        <v/>
      </c>
      <c r="O123" s="18">
        <f>+SUMIF(Рўйхат!$C:$C,$B123,Рўйхат!P:P)</f>
        <v/>
      </c>
      <c r="P123" s="17">
        <f>+SUMIF(Рўйхат!$C:$C,$B123,Рўйхат!Q:Q)</f>
        <v/>
      </c>
      <c r="Q123" s="18">
        <f>+SUMIF(Рўйхат!$C:$C,$B123,Рўйхат!R:R)</f>
        <v/>
      </c>
      <c r="R123" s="18">
        <f>+SUMIF(Рўйхат!$C:$C,$B123,Рўйхат!S:S)</f>
        <v/>
      </c>
      <c r="S123" s="18">
        <f>+SUMIF(Рўйхат!$C:$C,$B123,Рўйхат!T:T)</f>
        <v/>
      </c>
      <c r="T123" s="18">
        <f>+SUMIF(Рўйхат!$C:$C,$B123,Рўйхат!U:U)</f>
        <v/>
      </c>
      <c r="U123" s="17">
        <f>+SUMIF(Рўйхат!$C:$C,$B123,Рўйхат!V:V)</f>
        <v/>
      </c>
      <c r="V123" s="18">
        <f>+SUMIF(Рўйхат!$C:$C,$B123,Рўйхат!W:W)</f>
        <v/>
      </c>
      <c r="W123" s="18">
        <f>+SUMIF(Рўйхат!$C:$C,$B123,Рўйхат!X:X)</f>
        <v/>
      </c>
      <c r="X123" s="18">
        <f>+SUMIF(Рўйхат!$C:$C,$B123,Рўйхат!Y:Y)</f>
        <v/>
      </c>
      <c r="Y123" s="18">
        <f>+SUMIF(Рўйхат!$C:$C,$B123,Рўйхат!Z:Z)</f>
        <v/>
      </c>
      <c r="Z123" s="17">
        <f>+SUMIF(Рўйхат!$C:$C,$B123,Рўйхат!AA:AA)</f>
        <v/>
      </c>
      <c r="AA123" s="18">
        <f>+SUMIF(Рўйхат!$C:$C,$B123,Рўйхат!AB:AB)</f>
        <v/>
      </c>
      <c r="AB123" s="18">
        <f>+SUMIF(Рўйхат!$C:$C,$B123,Рўйхат!AC:AC)</f>
        <v/>
      </c>
      <c r="AC123" s="18">
        <f>+SUMIF(Рўйхат!$C:$C,$B123,Рўйхат!AD:AD)</f>
        <v/>
      </c>
      <c r="AD123" s="18">
        <f>+SUMIF(Рўйхат!$C:$C,$B123,Рўйхат!AE:AE)</f>
        <v/>
      </c>
      <c r="AE123" s="17">
        <f>+SUMIF(Рўйхат!$C:$C,$B123,Рўйхат!AF:AF)</f>
        <v/>
      </c>
      <c r="AF123" s="18">
        <f>+SUMIF(Рўйхат!$C:$C,$B123,Рўйхат!AG:AG)</f>
        <v/>
      </c>
      <c r="AG123" s="18">
        <f>+SUMIF(Рўйхат!$C:$C,$B123,Рўйхат!AH:AH)</f>
        <v/>
      </c>
      <c r="AH123" s="33">
        <f>+SUMIF(Рўйхат!$C:$C,$B123,Рўйхат!AI:AI)</f>
        <v/>
      </c>
      <c r="AI123" s="19">
        <f>+SUMIF(Рўйхат!$C:$C,$B123,Рўйхат!AJ:AJ)</f>
        <v/>
      </c>
    </row>
    <row r="124" ht="34" customHeight="1">
      <c r="A124" s="64">
        <f>+A123+1</f>
        <v/>
      </c>
      <c r="B124" s="47" t="inlineStr">
        <is>
          <t>Ўзбекистон Республикаси Фанлар академияси ишлар бошқармаси</t>
        </is>
      </c>
      <c r="C124" s="101">
        <f>IF(IFERROR(VLOOKUP(B124,Рўйхат!C:E,2,0),"")="[NULL]","",IFERROR(VLOOKUP(B124,Рўйхат!C:E,2,0),""))</f>
        <v/>
      </c>
      <c r="D124" s="101" t="n"/>
      <c r="E124" s="17">
        <f>+SUMIF(Рўйхат!$C:$C,$B124,Рўйхат!G:G)</f>
        <v/>
      </c>
      <c r="F124" s="18">
        <f>+SUMIF(Рўйхат!$C:$C,$B124,Рўйхат!H:H)</f>
        <v/>
      </c>
      <c r="G124" s="18">
        <f>M124</f>
        <v/>
      </c>
      <c r="H124" s="18">
        <f>R124+W124+AB124+AG124</f>
        <v/>
      </c>
      <c r="I124" s="18">
        <f>+SUMIF(Рўйхат!$C:$C,$B124,Рўйхат!J:J)</f>
        <v/>
      </c>
      <c r="J124" s="18">
        <f>+SUMIF(Рўйхат!$C:$C,$B124,Рўйхат!K:K)</f>
        <v/>
      </c>
      <c r="K124" s="17">
        <f>+SUMIF(Рўйхат!$C:$C,$B124,Рўйхат!L:L)</f>
        <v/>
      </c>
      <c r="L124" s="18">
        <f>+SUMIF(Рўйхат!$C:$C,$B124,Рўйхат!M:M)</f>
        <v/>
      </c>
      <c r="M124" s="18">
        <f>+SUMIF(Рўйхат!$C:$C,$B124,Рўйхат!N:N)</f>
        <v/>
      </c>
      <c r="N124" s="18">
        <f>+SUMIF(Рўйхат!$C:$C,$B124,Рўйхат!O:O)</f>
        <v/>
      </c>
      <c r="O124" s="18">
        <f>+SUMIF(Рўйхат!$C:$C,$B124,Рўйхат!P:P)</f>
        <v/>
      </c>
      <c r="P124" s="17">
        <f>+SUMIF(Рўйхат!$C:$C,$B124,Рўйхат!Q:Q)</f>
        <v/>
      </c>
      <c r="Q124" s="18">
        <f>+SUMIF(Рўйхат!$C:$C,$B124,Рўйхат!R:R)</f>
        <v/>
      </c>
      <c r="R124" s="18">
        <f>+SUMIF(Рўйхат!$C:$C,$B124,Рўйхат!S:S)</f>
        <v/>
      </c>
      <c r="S124" s="18">
        <f>+SUMIF(Рўйхат!$C:$C,$B124,Рўйхат!T:T)</f>
        <v/>
      </c>
      <c r="T124" s="18">
        <f>+SUMIF(Рўйхат!$C:$C,$B124,Рўйхат!U:U)</f>
        <v/>
      </c>
      <c r="U124" s="17">
        <f>+SUMIF(Рўйхат!$C:$C,$B124,Рўйхат!V:V)</f>
        <v/>
      </c>
      <c r="V124" s="18">
        <f>+SUMIF(Рўйхат!$C:$C,$B124,Рўйхат!W:W)</f>
        <v/>
      </c>
      <c r="W124" s="18">
        <f>+SUMIF(Рўйхат!$C:$C,$B124,Рўйхат!X:X)</f>
        <v/>
      </c>
      <c r="X124" s="18">
        <f>+SUMIF(Рўйхат!$C:$C,$B124,Рўйхат!Y:Y)</f>
        <v/>
      </c>
      <c r="Y124" s="18">
        <f>+SUMIF(Рўйхат!$C:$C,$B124,Рўйхат!Z:Z)</f>
        <v/>
      </c>
      <c r="Z124" s="17">
        <f>+SUMIF(Рўйхат!$C:$C,$B124,Рўйхат!AA:AA)</f>
        <v/>
      </c>
      <c r="AA124" s="18">
        <f>+SUMIF(Рўйхат!$C:$C,$B124,Рўйхат!AB:AB)</f>
        <v/>
      </c>
      <c r="AB124" s="18">
        <f>+SUMIF(Рўйхат!$C:$C,$B124,Рўйхат!AC:AC)</f>
        <v/>
      </c>
      <c r="AC124" s="18">
        <f>+SUMIF(Рўйхат!$C:$C,$B124,Рўйхат!AD:AD)</f>
        <v/>
      </c>
      <c r="AD124" s="18">
        <f>+SUMIF(Рўйхат!$C:$C,$B124,Рўйхат!AE:AE)</f>
        <v/>
      </c>
      <c r="AE124" s="17">
        <f>+SUMIF(Рўйхат!$C:$C,$B124,Рўйхат!AF:AF)</f>
        <v/>
      </c>
      <c r="AF124" s="18">
        <f>+SUMIF(Рўйхат!$C:$C,$B124,Рўйхат!AG:AG)</f>
        <v/>
      </c>
      <c r="AG124" s="18">
        <f>+SUMIF(Рўйхат!$C:$C,$B124,Рўйхат!AH:AH)</f>
        <v/>
      </c>
      <c r="AH124" s="33">
        <f>+SUMIF(Рўйхат!$C:$C,$B124,Рўйхат!AI:AI)</f>
        <v/>
      </c>
      <c r="AI124" s="19">
        <f>+SUMIF(Рўйхат!$C:$C,$B124,Рўйхат!AJ:AJ)</f>
        <v/>
      </c>
    </row>
    <row r="125" ht="34" customHeight="1">
      <c r="A125" s="64" t="n">
        <v>120</v>
      </c>
      <c r="B125" s="47" t="inlineStr">
        <is>
          <t>“Юнеско ишлари бўйича” Ўзбекистон Республикаси миллий коммисияси</t>
        </is>
      </c>
      <c r="C125" s="101">
        <f>IF(IFERROR(VLOOKUP(B125,Рўйхат!C:E,2,0),"")="[NULL]","",IFERROR(VLOOKUP(B125,Рўйхат!C:E,2,0),""))</f>
        <v/>
      </c>
      <c r="D125" s="101" t="n"/>
      <c r="E125" s="17">
        <f>+SUMIF(Рўйхат!$C:$C,$B125,Рўйхат!G:G)</f>
        <v/>
      </c>
      <c r="F125" s="18">
        <f>+SUMIF(Рўйхат!$C:$C,$B125,Рўйхат!H:H)</f>
        <v/>
      </c>
      <c r="G125" s="18">
        <f>M125</f>
        <v/>
      </c>
      <c r="H125" s="18">
        <f>R125+W125+AB125+AG125</f>
        <v/>
      </c>
      <c r="I125" s="18">
        <f>+SUMIF(Рўйхат!$C:$C,$B125,Рўйхат!J:J)</f>
        <v/>
      </c>
      <c r="J125" s="18">
        <f>+SUMIF(Рўйхат!$C:$C,$B125,Рўйхат!K:K)</f>
        <v/>
      </c>
      <c r="K125" s="17">
        <f>+SUMIF(Рўйхат!$C:$C,$B125,Рўйхат!L:L)</f>
        <v/>
      </c>
      <c r="L125" s="18">
        <f>+SUMIF(Рўйхат!$C:$C,$B125,Рўйхат!M:M)</f>
        <v/>
      </c>
      <c r="M125" s="18">
        <f>+SUMIF(Рўйхат!$C:$C,$B125,Рўйхат!N:N)</f>
        <v/>
      </c>
      <c r="N125" s="18">
        <f>+SUMIF(Рўйхат!$C:$C,$B125,Рўйхат!O:O)</f>
        <v/>
      </c>
      <c r="O125" s="18">
        <f>+SUMIF(Рўйхат!$C:$C,$B125,Рўйхат!P:P)</f>
        <v/>
      </c>
      <c r="P125" s="17">
        <f>+SUMIF(Рўйхат!$C:$C,$B125,Рўйхат!Q:Q)</f>
        <v/>
      </c>
      <c r="Q125" s="18">
        <f>+SUMIF(Рўйхат!$C:$C,$B125,Рўйхат!R:R)</f>
        <v/>
      </c>
      <c r="R125" s="18">
        <f>+SUMIF(Рўйхат!$C:$C,$B125,Рўйхат!S:S)</f>
        <v/>
      </c>
      <c r="S125" s="18">
        <f>+SUMIF(Рўйхат!$C:$C,$B125,Рўйхат!T:T)</f>
        <v/>
      </c>
      <c r="T125" s="18">
        <f>+SUMIF(Рўйхат!$C:$C,$B125,Рўйхат!U:U)</f>
        <v/>
      </c>
      <c r="U125" s="17">
        <f>+SUMIF(Рўйхат!$C:$C,$B125,Рўйхат!V:V)</f>
        <v/>
      </c>
      <c r="V125" s="18">
        <f>+SUMIF(Рўйхат!$C:$C,$B125,Рўйхат!W:W)</f>
        <v/>
      </c>
      <c r="W125" s="18">
        <f>+SUMIF(Рўйхат!$C:$C,$B125,Рўйхат!X:X)</f>
        <v/>
      </c>
      <c r="X125" s="18">
        <f>+SUMIF(Рўйхат!$C:$C,$B125,Рўйхат!Y:Y)</f>
        <v/>
      </c>
      <c r="Y125" s="18">
        <f>+SUMIF(Рўйхат!$C:$C,$B125,Рўйхат!Z:Z)</f>
        <v/>
      </c>
      <c r="Z125" s="17">
        <f>+SUMIF(Рўйхат!$C:$C,$B125,Рўйхат!AA:AA)</f>
        <v/>
      </c>
      <c r="AA125" s="18">
        <f>+SUMIF(Рўйхат!$C:$C,$B125,Рўйхат!AB:AB)</f>
        <v/>
      </c>
      <c r="AB125" s="18">
        <f>+SUMIF(Рўйхат!$C:$C,$B125,Рўйхат!AC:AC)</f>
        <v/>
      </c>
      <c r="AC125" s="18">
        <f>+SUMIF(Рўйхат!$C:$C,$B125,Рўйхат!AD:AD)</f>
        <v/>
      </c>
      <c r="AD125" s="18">
        <f>+SUMIF(Рўйхат!$C:$C,$B125,Рўйхат!AE:AE)</f>
        <v/>
      </c>
      <c r="AE125" s="17">
        <f>+SUMIF(Рўйхат!$C:$C,$B125,Рўйхат!AF:AF)</f>
        <v/>
      </c>
      <c r="AF125" s="18">
        <f>+SUMIF(Рўйхат!$C:$C,$B125,Рўйхат!AG:AG)</f>
        <v/>
      </c>
      <c r="AG125" s="18">
        <f>+SUMIF(Рўйхат!$C:$C,$B125,Рўйхат!AH:AH)</f>
        <v/>
      </c>
      <c r="AH125" s="33">
        <f>+SUMIF(Рўйхат!$C:$C,$B125,Рўйхат!AI:AI)</f>
        <v/>
      </c>
      <c r="AI125" s="19">
        <f>+SUMIF(Рўйхат!$C:$C,$B125,Рўйхат!AJ:AJ)</f>
        <v/>
      </c>
    </row>
    <row r="126" ht="17" customHeight="1">
      <c r="A126" s="64" t="n">
        <v>121</v>
      </c>
      <c r="B126" s="47" t="inlineStr">
        <is>
          <t>Енгил саноатни ривожлантириш агентлиги</t>
        </is>
      </c>
      <c r="C126" s="101">
        <f>IF(IFERROR(VLOOKUP(B126,Рўйхат!C:E,2,0),"")="[NULL]","",IFERROR(VLOOKUP(B126,Рўйхат!C:E,2,0),""))</f>
        <v/>
      </c>
      <c r="D126" s="101" t="n"/>
      <c r="E126" s="17">
        <f>+SUMIF(Рўйхат!$C:$C,$B126,Рўйхат!G:G)</f>
        <v/>
      </c>
      <c r="F126" s="18">
        <f>+SUMIF(Рўйхат!$C:$C,$B126,Рўйхат!H:H)</f>
        <v/>
      </c>
      <c r="G126" s="18">
        <f>M126</f>
        <v/>
      </c>
      <c r="H126" s="18">
        <f>R126+W126+AB126+AG126</f>
        <v/>
      </c>
      <c r="I126" s="18">
        <f>+SUMIF(Рўйхат!$C:$C,$B126,Рўйхат!J:J)</f>
        <v/>
      </c>
      <c r="J126" s="18">
        <f>+SUMIF(Рўйхат!$C:$C,$B126,Рўйхат!K:K)</f>
        <v/>
      </c>
      <c r="K126" s="17">
        <f>+SUMIF(Рўйхат!$C:$C,$B126,Рўйхат!L:L)</f>
        <v/>
      </c>
      <c r="L126" s="18">
        <f>+SUMIF(Рўйхат!$C:$C,$B126,Рўйхат!M:M)</f>
        <v/>
      </c>
      <c r="M126" s="18">
        <f>+SUMIF(Рўйхат!$C:$C,$B126,Рўйхат!N:N)</f>
        <v/>
      </c>
      <c r="N126" s="18">
        <f>+SUMIF(Рўйхат!$C:$C,$B126,Рўйхат!O:O)</f>
        <v/>
      </c>
      <c r="O126" s="18">
        <f>+SUMIF(Рўйхат!$C:$C,$B126,Рўйхат!P:P)</f>
        <v/>
      </c>
      <c r="P126" s="17">
        <f>+SUMIF(Рўйхат!$C:$C,$B126,Рўйхат!Q:Q)</f>
        <v/>
      </c>
      <c r="Q126" s="18">
        <f>+SUMIF(Рўйхат!$C:$C,$B126,Рўйхат!R:R)</f>
        <v/>
      </c>
      <c r="R126" s="18">
        <f>+SUMIF(Рўйхат!$C:$C,$B126,Рўйхат!S:S)</f>
        <v/>
      </c>
      <c r="S126" s="18">
        <f>+SUMIF(Рўйхат!$C:$C,$B126,Рўйхат!T:T)</f>
        <v/>
      </c>
      <c r="T126" s="18">
        <f>+SUMIF(Рўйхат!$C:$C,$B126,Рўйхат!U:U)</f>
        <v/>
      </c>
      <c r="U126" s="17">
        <f>+SUMIF(Рўйхат!$C:$C,$B126,Рўйхат!V:V)</f>
        <v/>
      </c>
      <c r="V126" s="18">
        <f>+SUMIF(Рўйхат!$C:$C,$B126,Рўйхат!W:W)</f>
        <v/>
      </c>
      <c r="W126" s="18">
        <f>+SUMIF(Рўйхат!$C:$C,$B126,Рўйхат!X:X)</f>
        <v/>
      </c>
      <c r="X126" s="18">
        <f>+SUMIF(Рўйхат!$C:$C,$B126,Рўйхат!Y:Y)</f>
        <v/>
      </c>
      <c r="Y126" s="18">
        <f>+SUMIF(Рўйхат!$C:$C,$B126,Рўйхат!Z:Z)</f>
        <v/>
      </c>
      <c r="Z126" s="17">
        <f>+SUMIF(Рўйхат!$C:$C,$B126,Рўйхат!AA:AA)</f>
        <v/>
      </c>
      <c r="AA126" s="18">
        <f>+SUMIF(Рўйхат!$C:$C,$B126,Рўйхат!AB:AB)</f>
        <v/>
      </c>
      <c r="AB126" s="18">
        <f>+SUMIF(Рўйхат!$C:$C,$B126,Рўйхат!AC:AC)</f>
        <v/>
      </c>
      <c r="AC126" s="18">
        <f>+SUMIF(Рўйхат!$C:$C,$B126,Рўйхат!AD:AD)</f>
        <v/>
      </c>
      <c r="AD126" s="18">
        <f>+SUMIF(Рўйхат!$C:$C,$B126,Рўйхат!AE:AE)</f>
        <v/>
      </c>
      <c r="AE126" s="17">
        <f>+SUMIF(Рўйхат!$C:$C,$B126,Рўйхат!AF:AF)</f>
        <v/>
      </c>
      <c r="AF126" s="18">
        <f>+SUMIF(Рўйхат!$C:$C,$B126,Рўйхат!AG:AG)</f>
        <v/>
      </c>
      <c r="AG126" s="18">
        <f>+SUMIF(Рўйхат!$C:$C,$B126,Рўйхат!AH:AH)</f>
        <v/>
      </c>
      <c r="AH126" s="33">
        <f>+SUMIF(Рўйхат!$C:$C,$B126,Рўйхат!AI:AI)</f>
        <v/>
      </c>
      <c r="AI126" s="19">
        <f>+SUMIF(Рўйхат!$C:$C,$B126,Рўйхат!AJ:AJ)</f>
        <v/>
      </c>
    </row>
    <row r="127" ht="17" customHeight="1">
      <c r="A127" s="64" t="n">
        <v>122</v>
      </c>
      <c r="B127" s="47" t="inlineStr">
        <is>
          <t>Ўзбекистон Республикаси Олий суди</t>
        </is>
      </c>
      <c r="C127" s="101">
        <f>IF(IFERROR(VLOOKUP(B127,Рўйхат!C:E,2,0),"")="[NULL]","",IFERROR(VLOOKUP(B127,Рўйхат!C:E,2,0),""))</f>
        <v/>
      </c>
      <c r="D127" s="101" t="n"/>
      <c r="E127" s="17">
        <f>+SUMIF(Рўйхат!$C:$C,$B127,Рўйхат!G:G)</f>
        <v/>
      </c>
      <c r="F127" s="18">
        <f>+SUMIF(Рўйхат!$C:$C,$B127,Рўйхат!H:H)</f>
        <v/>
      </c>
      <c r="G127" s="18">
        <f>M127</f>
        <v/>
      </c>
      <c r="H127" s="18">
        <f>R127+W127+AB127+AG127</f>
        <v/>
      </c>
      <c r="I127" s="18">
        <f>+SUMIF(Рўйхат!$C:$C,$B127,Рўйхат!J:J)</f>
        <v/>
      </c>
      <c r="J127" s="18">
        <f>+SUMIF(Рўйхат!$C:$C,$B127,Рўйхат!K:K)</f>
        <v/>
      </c>
      <c r="K127" s="17">
        <f>+SUMIF(Рўйхат!$C:$C,$B127,Рўйхат!L:L)</f>
        <v/>
      </c>
      <c r="L127" s="18">
        <f>+SUMIF(Рўйхат!$C:$C,$B127,Рўйхат!M:M)</f>
        <v/>
      </c>
      <c r="M127" s="18">
        <f>+SUMIF(Рўйхат!$C:$C,$B127,Рўйхат!N:N)</f>
        <v/>
      </c>
      <c r="N127" s="18">
        <f>+SUMIF(Рўйхат!$C:$C,$B127,Рўйхат!O:O)</f>
        <v/>
      </c>
      <c r="O127" s="18">
        <f>+SUMIF(Рўйхат!$C:$C,$B127,Рўйхат!P:P)</f>
        <v/>
      </c>
      <c r="P127" s="17">
        <f>+SUMIF(Рўйхат!$C:$C,$B127,Рўйхат!Q:Q)</f>
        <v/>
      </c>
      <c r="Q127" s="18">
        <f>+SUMIF(Рўйхат!$C:$C,$B127,Рўйхат!R:R)</f>
        <v/>
      </c>
      <c r="R127" s="18">
        <f>+SUMIF(Рўйхат!$C:$C,$B127,Рўйхат!S:S)</f>
        <v/>
      </c>
      <c r="S127" s="18">
        <f>+SUMIF(Рўйхат!$C:$C,$B127,Рўйхат!T:T)</f>
        <v/>
      </c>
      <c r="T127" s="18">
        <f>+SUMIF(Рўйхат!$C:$C,$B127,Рўйхат!U:U)</f>
        <v/>
      </c>
      <c r="U127" s="17">
        <f>+SUMIF(Рўйхат!$C:$C,$B127,Рўйхат!V:V)</f>
        <v/>
      </c>
      <c r="V127" s="18">
        <f>+SUMIF(Рўйхат!$C:$C,$B127,Рўйхат!W:W)</f>
        <v/>
      </c>
      <c r="W127" s="18">
        <f>+SUMIF(Рўйхат!$C:$C,$B127,Рўйхат!X:X)</f>
        <v/>
      </c>
      <c r="X127" s="18">
        <f>+SUMIF(Рўйхат!$C:$C,$B127,Рўйхат!Y:Y)</f>
        <v/>
      </c>
      <c r="Y127" s="18">
        <f>+SUMIF(Рўйхат!$C:$C,$B127,Рўйхат!Z:Z)</f>
        <v/>
      </c>
      <c r="Z127" s="17">
        <f>+SUMIF(Рўйхат!$C:$C,$B127,Рўйхат!AA:AA)</f>
        <v/>
      </c>
      <c r="AA127" s="18">
        <f>+SUMIF(Рўйхат!$C:$C,$B127,Рўйхат!AB:AB)</f>
        <v/>
      </c>
      <c r="AB127" s="18">
        <f>+SUMIF(Рўйхат!$C:$C,$B127,Рўйхат!AC:AC)</f>
        <v/>
      </c>
      <c r="AC127" s="18">
        <f>+SUMIF(Рўйхат!$C:$C,$B127,Рўйхат!AD:AD)</f>
        <v/>
      </c>
      <c r="AD127" s="18">
        <f>+SUMIF(Рўйхат!$C:$C,$B127,Рўйхат!AE:AE)</f>
        <v/>
      </c>
      <c r="AE127" s="17">
        <f>+SUMIF(Рўйхат!$C:$C,$B127,Рўйхат!AF:AF)</f>
        <v/>
      </c>
      <c r="AF127" s="18">
        <f>+SUMIF(Рўйхат!$C:$C,$B127,Рўйхат!AG:AG)</f>
        <v/>
      </c>
      <c r="AG127" s="18">
        <f>+SUMIF(Рўйхат!$C:$C,$B127,Рўйхат!AH:AH)</f>
        <v/>
      </c>
      <c r="AH127" s="33">
        <f>+SUMIF(Рўйхат!$C:$C,$B127,Рўйхат!AI:AI)</f>
        <v/>
      </c>
      <c r="AI127" s="19">
        <f>+SUMIF(Рўйхат!$C:$C,$B127,Рўйхат!AJ:AJ)</f>
        <v/>
      </c>
    </row>
    <row r="128" ht="17" customHeight="1">
      <c r="A128" s="64" t="n">
        <v>123</v>
      </c>
      <c r="B128" s="47" t="inlineStr">
        <is>
          <t>Андижон биокимё заводи АЖ</t>
        </is>
      </c>
      <c r="C128" s="101">
        <f>IF(IFERROR(VLOOKUP(B128,Рўйхат!C:E,2,0),"")="[NULL]","",IFERROR(VLOOKUP(B128,Рўйхат!C:E,2,0),""))</f>
        <v/>
      </c>
      <c r="D128" s="101" t="n"/>
      <c r="E128" s="17">
        <f>+SUMIF(Рўйхат!$C:$C,$B128,Рўйхат!G:G)</f>
        <v/>
      </c>
      <c r="F128" s="18">
        <f>+SUMIF(Рўйхат!$C:$C,$B128,Рўйхат!H:H)</f>
        <v/>
      </c>
      <c r="G128" s="18">
        <f>M128</f>
        <v/>
      </c>
      <c r="H128" s="18">
        <f>R128+W128+AB128+AG128</f>
        <v/>
      </c>
      <c r="I128" s="18">
        <f>+SUMIF(Рўйхат!$C:$C,$B128,Рўйхат!J:J)</f>
        <v/>
      </c>
      <c r="J128" s="18">
        <f>+SUMIF(Рўйхат!$C:$C,$B128,Рўйхат!K:K)</f>
        <v/>
      </c>
      <c r="K128" s="17">
        <f>+SUMIF(Рўйхат!$C:$C,$B128,Рўйхат!L:L)</f>
        <v/>
      </c>
      <c r="L128" s="18">
        <f>+SUMIF(Рўйхат!$C:$C,$B128,Рўйхат!M:M)</f>
        <v/>
      </c>
      <c r="M128" s="18">
        <f>+SUMIF(Рўйхат!$C:$C,$B128,Рўйхат!N:N)</f>
        <v/>
      </c>
      <c r="N128" s="18">
        <f>+SUMIF(Рўйхат!$C:$C,$B128,Рўйхат!O:O)</f>
        <v/>
      </c>
      <c r="O128" s="18">
        <f>+SUMIF(Рўйхат!$C:$C,$B128,Рўйхат!P:P)</f>
        <v/>
      </c>
      <c r="P128" s="17">
        <f>+SUMIF(Рўйхат!$C:$C,$B128,Рўйхат!Q:Q)</f>
        <v/>
      </c>
      <c r="Q128" s="18">
        <f>+SUMIF(Рўйхат!$C:$C,$B128,Рўйхат!R:R)</f>
        <v/>
      </c>
      <c r="R128" s="18">
        <f>+SUMIF(Рўйхат!$C:$C,$B128,Рўйхат!S:S)</f>
        <v/>
      </c>
      <c r="S128" s="18">
        <f>+SUMIF(Рўйхат!$C:$C,$B128,Рўйхат!T:T)</f>
        <v/>
      </c>
      <c r="T128" s="18">
        <f>+SUMIF(Рўйхат!$C:$C,$B128,Рўйхат!U:U)</f>
        <v/>
      </c>
      <c r="U128" s="17">
        <f>+SUMIF(Рўйхат!$C:$C,$B128,Рўйхат!V:V)</f>
        <v/>
      </c>
      <c r="V128" s="18">
        <f>+SUMIF(Рўйхат!$C:$C,$B128,Рўйхат!W:W)</f>
        <v/>
      </c>
      <c r="W128" s="18">
        <f>+SUMIF(Рўйхат!$C:$C,$B128,Рўйхат!X:X)</f>
        <v/>
      </c>
      <c r="X128" s="18">
        <f>+SUMIF(Рўйхат!$C:$C,$B128,Рўйхат!Y:Y)</f>
        <v/>
      </c>
      <c r="Y128" s="18">
        <f>+SUMIF(Рўйхат!$C:$C,$B128,Рўйхат!Z:Z)</f>
        <v/>
      </c>
      <c r="Z128" s="17">
        <f>+SUMIF(Рўйхат!$C:$C,$B128,Рўйхат!AA:AA)</f>
        <v/>
      </c>
      <c r="AA128" s="18">
        <f>+SUMIF(Рўйхат!$C:$C,$B128,Рўйхат!AB:AB)</f>
        <v/>
      </c>
      <c r="AB128" s="18">
        <f>+SUMIF(Рўйхат!$C:$C,$B128,Рўйхат!AC:AC)</f>
        <v/>
      </c>
      <c r="AC128" s="18">
        <f>+SUMIF(Рўйхат!$C:$C,$B128,Рўйхат!AD:AD)</f>
        <v/>
      </c>
      <c r="AD128" s="18">
        <f>+SUMIF(Рўйхат!$C:$C,$B128,Рўйхат!AE:AE)</f>
        <v/>
      </c>
      <c r="AE128" s="17">
        <f>+SUMIF(Рўйхат!$C:$C,$B128,Рўйхат!AF:AF)</f>
        <v/>
      </c>
      <c r="AF128" s="18">
        <f>+SUMIF(Рўйхат!$C:$C,$B128,Рўйхат!AG:AG)</f>
        <v/>
      </c>
      <c r="AG128" s="18">
        <f>+SUMIF(Рўйхат!$C:$C,$B128,Рўйхат!AH:AH)</f>
        <v/>
      </c>
      <c r="AH128" s="33">
        <f>+SUMIF(Рўйхат!$C:$C,$B128,Рўйхат!AI:AI)</f>
        <v/>
      </c>
      <c r="AI128" s="19">
        <f>+SUMIF(Рўйхат!$C:$C,$B128,Рўйхат!AJ:AJ)</f>
        <v/>
      </c>
    </row>
    <row r="129" ht="17" customHeight="1">
      <c r="A129" s="64" t="n">
        <v>124</v>
      </c>
      <c r="B129" s="47" t="inlineStr">
        <is>
          <t>Ўзбекистон Республикаси Ҳисоб Палатаси</t>
        </is>
      </c>
      <c r="C129" s="101">
        <f>IF(IFERROR(VLOOKUP(B129,Рўйхат!C:E,2,0),"")="[NULL]","",IFERROR(VLOOKUP(B129,Рўйхат!C:E,2,0),""))</f>
        <v/>
      </c>
      <c r="D129" s="101" t="n"/>
      <c r="E129" s="17">
        <f>+SUMIF(Рўйхат!$C:$C,$B129,Рўйхат!G:G)</f>
        <v/>
      </c>
      <c r="F129" s="18">
        <f>+SUMIF(Рўйхат!$C:$C,$B129,Рўйхат!H:H)</f>
        <v/>
      </c>
      <c r="G129" s="18">
        <f>M129</f>
        <v/>
      </c>
      <c r="H129" s="18">
        <f>R129+W129+AB129+AG129</f>
        <v/>
      </c>
      <c r="I129" s="18">
        <f>+SUMIF(Рўйхат!$C:$C,$B129,Рўйхат!J:J)</f>
        <v/>
      </c>
      <c r="J129" s="18">
        <f>+SUMIF(Рўйхат!$C:$C,$B129,Рўйхат!K:K)</f>
        <v/>
      </c>
      <c r="K129" s="17">
        <f>+SUMIF(Рўйхат!$C:$C,$B129,Рўйхат!L:L)</f>
        <v/>
      </c>
      <c r="L129" s="18">
        <f>+SUMIF(Рўйхат!$C:$C,$B129,Рўйхат!M:M)</f>
        <v/>
      </c>
      <c r="M129" s="18">
        <f>+SUMIF(Рўйхат!$C:$C,$B129,Рўйхат!N:N)</f>
        <v/>
      </c>
      <c r="N129" s="18">
        <f>+SUMIF(Рўйхат!$C:$C,$B129,Рўйхат!O:O)</f>
        <v/>
      </c>
      <c r="O129" s="18">
        <f>+SUMIF(Рўйхат!$C:$C,$B129,Рўйхат!P:P)</f>
        <v/>
      </c>
      <c r="P129" s="17">
        <f>+SUMIF(Рўйхат!$C:$C,$B129,Рўйхат!Q:Q)</f>
        <v/>
      </c>
      <c r="Q129" s="18">
        <f>+SUMIF(Рўйхат!$C:$C,$B129,Рўйхат!R:R)</f>
        <v/>
      </c>
      <c r="R129" s="18">
        <f>+SUMIF(Рўйхат!$C:$C,$B129,Рўйхат!S:S)</f>
        <v/>
      </c>
      <c r="S129" s="18">
        <f>+SUMIF(Рўйхат!$C:$C,$B129,Рўйхат!T:T)</f>
        <v/>
      </c>
      <c r="T129" s="18">
        <f>+SUMIF(Рўйхат!$C:$C,$B129,Рўйхат!U:U)</f>
        <v/>
      </c>
      <c r="U129" s="17">
        <f>+SUMIF(Рўйхат!$C:$C,$B129,Рўйхат!V:V)</f>
        <v/>
      </c>
      <c r="V129" s="18">
        <f>+SUMIF(Рўйхат!$C:$C,$B129,Рўйхат!W:W)</f>
        <v/>
      </c>
      <c r="W129" s="18">
        <f>+SUMIF(Рўйхат!$C:$C,$B129,Рўйхат!X:X)</f>
        <v/>
      </c>
      <c r="X129" s="18">
        <f>+SUMIF(Рўйхат!$C:$C,$B129,Рўйхат!Y:Y)</f>
        <v/>
      </c>
      <c r="Y129" s="18">
        <f>+SUMIF(Рўйхат!$C:$C,$B129,Рўйхат!Z:Z)</f>
        <v/>
      </c>
      <c r="Z129" s="17">
        <f>+SUMIF(Рўйхат!$C:$C,$B129,Рўйхат!AA:AA)</f>
        <v/>
      </c>
      <c r="AA129" s="18">
        <f>+SUMIF(Рўйхат!$C:$C,$B129,Рўйхат!AB:AB)</f>
        <v/>
      </c>
      <c r="AB129" s="18">
        <f>+SUMIF(Рўйхат!$C:$C,$B129,Рўйхат!AC:AC)</f>
        <v/>
      </c>
      <c r="AC129" s="18">
        <f>+SUMIF(Рўйхат!$C:$C,$B129,Рўйхат!AD:AD)</f>
        <v/>
      </c>
      <c r="AD129" s="18">
        <f>+SUMIF(Рўйхат!$C:$C,$B129,Рўйхат!AE:AE)</f>
        <v/>
      </c>
      <c r="AE129" s="17">
        <f>+SUMIF(Рўйхат!$C:$C,$B129,Рўйхат!AF:AF)</f>
        <v/>
      </c>
      <c r="AF129" s="18">
        <f>+SUMIF(Рўйхат!$C:$C,$B129,Рўйхат!AG:AG)</f>
        <v/>
      </c>
      <c r="AG129" s="18">
        <f>+SUMIF(Рўйхат!$C:$C,$B129,Рўйхат!AH:AH)</f>
        <v/>
      </c>
      <c r="AH129" s="33">
        <f>+SUMIF(Рўйхат!$C:$C,$B129,Рўйхат!AI:AI)</f>
        <v/>
      </c>
      <c r="AI129" s="19">
        <f>+SUMIF(Рўйхат!$C:$C,$B129,Рўйхат!AJ:AJ)</f>
        <v/>
      </c>
    </row>
    <row r="130" ht="17" customHeight="1">
      <c r="A130" s="64" t="n">
        <v>125</v>
      </c>
      <c r="B130" s="47" t="inlineStr">
        <is>
          <t>UzGasTrade АЖ</t>
        </is>
      </c>
      <c r="C130" s="101">
        <f>IF(IFERROR(VLOOKUP(B130,Рўйхат!C:E,2,0),"")="[NULL]","",IFERROR(VLOOKUP(B130,Рўйхат!C:E,2,0),""))</f>
        <v/>
      </c>
      <c r="D130" s="101" t="n"/>
      <c r="E130" s="17">
        <f>+SUMIF(Рўйхат!$C:$C,$B130,Рўйхат!G:G)</f>
        <v/>
      </c>
      <c r="F130" s="18">
        <f>+SUMIF(Рўйхат!$C:$C,$B130,Рўйхат!H:H)</f>
        <v/>
      </c>
      <c r="G130" s="18">
        <f>M130</f>
        <v/>
      </c>
      <c r="H130" s="18">
        <f>R130+W130+AB130+AG130</f>
        <v/>
      </c>
      <c r="I130" s="18">
        <f>+SUMIF(Рўйхат!$C:$C,$B130,Рўйхат!J:J)</f>
        <v/>
      </c>
      <c r="J130" s="18">
        <f>+SUMIF(Рўйхат!$C:$C,$B130,Рўйхат!K:K)</f>
        <v/>
      </c>
      <c r="K130" s="17">
        <f>+SUMIF(Рўйхат!$C:$C,$B130,Рўйхат!L:L)</f>
        <v/>
      </c>
      <c r="L130" s="18">
        <f>+SUMIF(Рўйхат!$C:$C,$B130,Рўйхат!M:M)</f>
        <v/>
      </c>
      <c r="M130" s="18">
        <f>+SUMIF(Рўйхат!$C:$C,$B130,Рўйхат!N:N)</f>
        <v/>
      </c>
      <c r="N130" s="18">
        <f>+SUMIF(Рўйхат!$C:$C,$B130,Рўйхат!O:O)</f>
        <v/>
      </c>
      <c r="O130" s="18">
        <f>+SUMIF(Рўйхат!$C:$C,$B130,Рўйхат!P:P)</f>
        <v/>
      </c>
      <c r="P130" s="17">
        <f>+SUMIF(Рўйхат!$C:$C,$B130,Рўйхат!Q:Q)</f>
        <v/>
      </c>
      <c r="Q130" s="18">
        <f>+SUMIF(Рўйхат!$C:$C,$B130,Рўйхат!R:R)</f>
        <v/>
      </c>
      <c r="R130" s="18">
        <f>+SUMIF(Рўйхат!$C:$C,$B130,Рўйхат!S:S)</f>
        <v/>
      </c>
      <c r="S130" s="18">
        <f>+SUMIF(Рўйхат!$C:$C,$B130,Рўйхат!T:T)</f>
        <v/>
      </c>
      <c r="T130" s="18">
        <f>+SUMIF(Рўйхат!$C:$C,$B130,Рўйхат!U:U)</f>
        <v/>
      </c>
      <c r="U130" s="17">
        <f>+SUMIF(Рўйхат!$C:$C,$B130,Рўйхат!V:V)</f>
        <v/>
      </c>
      <c r="V130" s="18">
        <f>+SUMIF(Рўйхат!$C:$C,$B130,Рўйхат!W:W)</f>
        <v/>
      </c>
      <c r="W130" s="18">
        <f>+SUMIF(Рўйхат!$C:$C,$B130,Рўйхат!X:X)</f>
        <v/>
      </c>
      <c r="X130" s="18">
        <f>+SUMIF(Рўйхат!$C:$C,$B130,Рўйхат!Y:Y)</f>
        <v/>
      </c>
      <c r="Y130" s="18">
        <f>+SUMIF(Рўйхат!$C:$C,$B130,Рўйхат!Z:Z)</f>
        <v/>
      </c>
      <c r="Z130" s="17">
        <f>+SUMIF(Рўйхат!$C:$C,$B130,Рўйхат!AA:AA)</f>
        <v/>
      </c>
      <c r="AA130" s="18">
        <f>+SUMIF(Рўйхат!$C:$C,$B130,Рўйхат!AB:AB)</f>
        <v/>
      </c>
      <c r="AB130" s="18">
        <f>+SUMIF(Рўйхат!$C:$C,$B130,Рўйхат!AC:AC)</f>
        <v/>
      </c>
      <c r="AC130" s="18">
        <f>+SUMIF(Рўйхат!$C:$C,$B130,Рўйхат!AD:AD)</f>
        <v/>
      </c>
      <c r="AD130" s="18">
        <f>+SUMIF(Рўйхат!$C:$C,$B130,Рўйхат!AE:AE)</f>
        <v/>
      </c>
      <c r="AE130" s="17">
        <f>+SUMIF(Рўйхат!$C:$C,$B130,Рўйхат!AF:AF)</f>
        <v/>
      </c>
      <c r="AF130" s="18">
        <f>+SUMIF(Рўйхат!$C:$C,$B130,Рўйхат!AG:AG)</f>
        <v/>
      </c>
      <c r="AG130" s="18">
        <f>+SUMIF(Рўйхат!$C:$C,$B130,Рўйхат!AH:AH)</f>
        <v/>
      </c>
      <c r="AH130" s="33">
        <f>+SUMIF(Рўйхат!$C:$C,$B130,Рўйхат!AI:AI)</f>
        <v/>
      </c>
      <c r="AI130" s="19">
        <f>+SUMIF(Рўйхат!$C:$C,$B130,Рўйхат!AJ:AJ)</f>
        <v/>
      </c>
    </row>
    <row r="131" ht="17" customHeight="1">
      <c r="A131" s="64" t="n">
        <v>126</v>
      </c>
      <c r="B131" s="47" t="inlineStr">
        <is>
          <t>“УзАссетс Инвестиция Компанияси” АЖ</t>
        </is>
      </c>
      <c r="C131" s="101">
        <f>IF(IFERROR(VLOOKUP(B131,Рўйхат!C:E,2,0),"")="[NULL]","",IFERROR(VLOOKUP(B131,Рўйхат!C:E,2,0),""))</f>
        <v/>
      </c>
      <c r="D131" s="101" t="n"/>
      <c r="E131" s="17">
        <f>+SUMIF(Рўйхат!$C:$C,$B131,Рўйхат!G:G)</f>
        <v/>
      </c>
      <c r="F131" s="18">
        <f>+SUMIF(Рўйхат!$C:$C,$B131,Рўйхат!H:H)</f>
        <v/>
      </c>
      <c r="G131" s="18">
        <f>M131</f>
        <v/>
      </c>
      <c r="H131" s="18">
        <f>R131+W131+AB131+AG131</f>
        <v/>
      </c>
      <c r="I131" s="18">
        <f>+SUMIF(Рўйхат!$C:$C,$B131,Рўйхат!J:J)</f>
        <v/>
      </c>
      <c r="J131" s="18">
        <f>+SUMIF(Рўйхат!$C:$C,$B131,Рўйхат!K:K)</f>
        <v/>
      </c>
      <c r="K131" s="17">
        <f>+SUMIF(Рўйхат!$C:$C,$B131,Рўйхат!L:L)</f>
        <v/>
      </c>
      <c r="L131" s="18">
        <f>+SUMIF(Рўйхат!$C:$C,$B131,Рўйхат!M:M)</f>
        <v/>
      </c>
      <c r="M131" s="18">
        <f>+SUMIF(Рўйхат!$C:$C,$B131,Рўйхат!N:N)</f>
        <v/>
      </c>
      <c r="N131" s="18">
        <f>+SUMIF(Рўйхат!$C:$C,$B131,Рўйхат!O:O)</f>
        <v/>
      </c>
      <c r="O131" s="18">
        <f>+SUMIF(Рўйхат!$C:$C,$B131,Рўйхат!P:P)</f>
        <v/>
      </c>
      <c r="P131" s="17">
        <f>+SUMIF(Рўйхат!$C:$C,$B131,Рўйхат!Q:Q)</f>
        <v/>
      </c>
      <c r="Q131" s="18">
        <f>+SUMIF(Рўйхат!$C:$C,$B131,Рўйхат!R:R)</f>
        <v/>
      </c>
      <c r="R131" s="18">
        <f>+SUMIF(Рўйхат!$C:$C,$B131,Рўйхат!S:S)</f>
        <v/>
      </c>
      <c r="S131" s="18">
        <f>+SUMIF(Рўйхат!$C:$C,$B131,Рўйхат!T:T)</f>
        <v/>
      </c>
      <c r="T131" s="18">
        <f>+SUMIF(Рўйхат!$C:$C,$B131,Рўйхат!U:U)</f>
        <v/>
      </c>
      <c r="U131" s="17">
        <f>+SUMIF(Рўйхат!$C:$C,$B131,Рўйхат!V:V)</f>
        <v/>
      </c>
      <c r="V131" s="18">
        <f>+SUMIF(Рўйхат!$C:$C,$B131,Рўйхат!W:W)</f>
        <v/>
      </c>
      <c r="W131" s="18">
        <f>+SUMIF(Рўйхат!$C:$C,$B131,Рўйхат!X:X)</f>
        <v/>
      </c>
      <c r="X131" s="18">
        <f>+SUMIF(Рўйхат!$C:$C,$B131,Рўйхат!Y:Y)</f>
        <v/>
      </c>
      <c r="Y131" s="18">
        <f>+SUMIF(Рўйхат!$C:$C,$B131,Рўйхат!Z:Z)</f>
        <v/>
      </c>
      <c r="Z131" s="17">
        <f>+SUMIF(Рўйхат!$C:$C,$B131,Рўйхат!AA:AA)</f>
        <v/>
      </c>
      <c r="AA131" s="18">
        <f>+SUMIF(Рўйхат!$C:$C,$B131,Рўйхат!AB:AB)</f>
        <v/>
      </c>
      <c r="AB131" s="18">
        <f>+SUMIF(Рўйхат!$C:$C,$B131,Рўйхат!AC:AC)</f>
        <v/>
      </c>
      <c r="AC131" s="18">
        <f>+SUMIF(Рўйхат!$C:$C,$B131,Рўйхат!AD:AD)</f>
        <v/>
      </c>
      <c r="AD131" s="18">
        <f>+SUMIF(Рўйхат!$C:$C,$B131,Рўйхат!AE:AE)</f>
        <v/>
      </c>
      <c r="AE131" s="17">
        <f>+SUMIF(Рўйхат!$C:$C,$B131,Рўйхат!AF:AF)</f>
        <v/>
      </c>
      <c r="AF131" s="18">
        <f>+SUMIF(Рўйхат!$C:$C,$B131,Рўйхат!AG:AG)</f>
        <v/>
      </c>
      <c r="AG131" s="18">
        <f>+SUMIF(Рўйхат!$C:$C,$B131,Рўйхат!AH:AH)</f>
        <v/>
      </c>
      <c r="AH131" s="33">
        <f>+SUMIF(Рўйхат!$C:$C,$B131,Рўйхат!AI:AI)</f>
        <v/>
      </c>
      <c r="AI131" s="19">
        <f>+SUMIF(Рўйхат!$C:$C,$B131,Рўйхат!AJ:AJ)</f>
        <v/>
      </c>
    </row>
    <row r="132" ht="18" customHeight="1" thickBot="1">
      <c r="A132" s="45" t="n">
        <v>127</v>
      </c>
      <c r="B132" s="27" t="inlineStr">
        <is>
          <t>Бошқалар</t>
        </is>
      </c>
      <c r="C132" s="29">
        <f>IF(IFERROR(VLOOKUP(B132,Рўйхат!C:E,2,0),"")="[NULL]","",IFERROR(VLOOKUP(B132,Рўйхат!C:E,2,0),""))</f>
        <v/>
      </c>
      <c r="D132" s="29">
        <f>IFERROR(VLOOKUP(B132,Рўйхат!C:E,3,0),"")</f>
        <v/>
      </c>
      <c r="E132" s="22">
        <f>+SUMIF(Рўйхат!$C:$C,$B132,Рўйхат!G:G)</f>
        <v/>
      </c>
      <c r="F132" s="23">
        <f>+SUMIF(Рўйхат!$C:$C,$B132,Рўйхат!H:H)</f>
        <v/>
      </c>
      <c r="G132" s="23">
        <f>M132</f>
        <v/>
      </c>
      <c r="H132" s="23">
        <f>R132+W132+AB132+AG132</f>
        <v/>
      </c>
      <c r="I132" s="23">
        <f>+SUMIF(Рўйхат!$C:$C,$B132,Рўйхат!J:J)</f>
        <v/>
      </c>
      <c r="J132" s="23">
        <f>+SUMIF(Рўйхат!$C:$C,$B132,Рўйхат!K:K)</f>
        <v/>
      </c>
      <c r="K132" s="22">
        <f>+SUMIF(Рўйхат!$C:$C,$B132,Рўйхат!L:L)</f>
        <v/>
      </c>
      <c r="L132" s="23">
        <f>+SUMIF(Рўйхат!$C:$C,$B132,Рўйхат!M:M)</f>
        <v/>
      </c>
      <c r="M132" s="23">
        <f>+SUMIF(Рўйхат!$C:$C,$B132,Рўйхат!N:N)</f>
        <v/>
      </c>
      <c r="N132" s="23">
        <f>+SUMIF(Рўйхат!$C:$C,$B132,Рўйхат!O:O)</f>
        <v/>
      </c>
      <c r="O132" s="23">
        <f>+SUMIF(Рўйхат!$C:$C,$B132,Рўйхат!P:P)</f>
        <v/>
      </c>
      <c r="P132" s="22">
        <f>+SUMIF(Рўйхат!$C:$C,$B132,Рўйхат!Q:Q)</f>
        <v/>
      </c>
      <c r="Q132" s="23">
        <f>+SUMIF(Рўйхат!$C:$C,$B132,Рўйхат!R:R)</f>
        <v/>
      </c>
      <c r="R132" s="23">
        <f>+SUMIF(Рўйхат!$C:$C,$B132,Рўйхат!S:S)</f>
        <v/>
      </c>
      <c r="S132" s="23">
        <f>+SUMIF(Рўйхат!$C:$C,$B132,Рўйхат!T:T)</f>
        <v/>
      </c>
      <c r="T132" s="23">
        <f>+SUMIF(Рўйхат!$C:$C,$B132,Рўйхат!U:U)</f>
        <v/>
      </c>
      <c r="U132" s="22">
        <f>+SUMIF(Рўйхат!$C:$C,$B132,Рўйхат!V:V)</f>
        <v/>
      </c>
      <c r="V132" s="23">
        <f>+SUMIF(Рўйхат!$C:$C,$B132,Рўйхат!W:W)</f>
        <v/>
      </c>
      <c r="W132" s="23">
        <f>+SUMIF(Рўйхат!$C:$C,$B132,Рўйхат!X:X)</f>
        <v/>
      </c>
      <c r="X132" s="23">
        <f>+SUMIF(Рўйхат!$C:$C,$B132,Рўйхат!Y:Y)</f>
        <v/>
      </c>
      <c r="Y132" s="23">
        <f>+SUMIF(Рўйхат!$C:$C,$B132,Рўйхат!Z:Z)</f>
        <v/>
      </c>
      <c r="Z132" s="22">
        <f>+SUMIF(Рўйхат!$C:$C,$B132,Рўйхат!AA:AA)</f>
        <v/>
      </c>
      <c r="AA132" s="23">
        <f>+SUMIF(Рўйхат!$C:$C,$B132,Рўйхат!AB:AB)</f>
        <v/>
      </c>
      <c r="AB132" s="23">
        <f>+SUMIF(Рўйхат!$C:$C,$B132,Рўйхат!AC:AC)</f>
        <v/>
      </c>
      <c r="AC132" s="23">
        <f>+SUMIF(Рўйхат!$C:$C,$B132,Рўйхат!AD:AD)</f>
        <v/>
      </c>
      <c r="AD132" s="23">
        <f>+SUMIF(Рўйхат!$C:$C,$B132,Рўйхат!AE:AE)</f>
        <v/>
      </c>
      <c r="AE132" s="22">
        <f>+SUMIF(Рўйхат!$C:$C,$B132,Рўйхат!AF:AF)</f>
        <v/>
      </c>
      <c r="AF132" s="23">
        <f>+SUMIF(Рўйхат!$C:$C,$B132,Рўйхат!AG:AG)</f>
        <v/>
      </c>
      <c r="AG132" s="23">
        <f>+SUMIF(Рўйхат!$C:$C,$B132,Рўйхат!AH:AH)</f>
        <v/>
      </c>
      <c r="AH132" s="34">
        <f>+SUMIF(Рўйхат!$C:$C,$B132,Рўйхат!AI:AI)</f>
        <v/>
      </c>
      <c r="AI132" s="24">
        <f>+SUMIF(Рўйхат!$C:$C,$B132,Рўйхат!AJ:AJ)</f>
        <v/>
      </c>
    </row>
  </sheetData>
  <autoFilter ref="A5:AI132"/>
  <mergeCells count="11">
    <mergeCell ref="K3:O3"/>
    <mergeCell ref="Z3:AD3"/>
    <mergeCell ref="P3:T3"/>
    <mergeCell ref="AE3:AI3"/>
    <mergeCell ref="C3:C4"/>
    <mergeCell ref="B3:B4"/>
    <mergeCell ref="A3:A4"/>
    <mergeCell ref="A1:AI1"/>
    <mergeCell ref="U3:Y3"/>
    <mergeCell ref="D3:D4"/>
    <mergeCell ref="E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AG31"/>
  <sheetViews>
    <sheetView tabSelected="1" zoomScale="90" zoomScaleNormal="90" workbookViewId="0">
      <selection activeCell="B3" sqref="B3:B4"/>
    </sheetView>
  </sheetViews>
  <sheetFormatPr baseColWidth="10" defaultColWidth="11.5" defaultRowHeight="16"/>
  <cols>
    <col width="3.1640625" bestFit="1" customWidth="1" min="1" max="1"/>
    <col width="35.6640625" bestFit="1" customWidth="1" min="2" max="2"/>
    <col width="13.6640625" customWidth="1" min="3" max="5"/>
    <col width="22.83203125" customWidth="1" min="6" max="6"/>
    <col width="20.5" customWidth="1" min="7" max="7"/>
    <col width="13.6640625" customWidth="1" min="8" max="10"/>
    <col width="23.83203125" customWidth="1" min="11" max="11"/>
    <col width="20.5" customWidth="1" min="12" max="12"/>
    <col width="13.6640625" customWidth="1" min="13" max="13"/>
    <col hidden="1" width="13.6640625" customWidth="1" min="14" max="15"/>
    <col hidden="1" width="23" customWidth="1" min="16" max="16"/>
    <col hidden="1" width="20.5" customWidth="1" min="17" max="17"/>
    <col hidden="1" width="24.5" customWidth="1" min="18" max="18"/>
    <col hidden="1" width="13.6640625" customWidth="1" min="19" max="20"/>
    <col width="23" customWidth="1" min="21" max="21"/>
    <col width="20.5" customWidth="1" min="22" max="22"/>
    <col width="13.6640625" customWidth="1" min="23" max="25"/>
    <col width="23" customWidth="1" min="26" max="26"/>
    <col width="20.5" customWidth="1" min="27" max="27"/>
    <col width="13.6640625" customWidth="1" min="28" max="30"/>
    <col width="23" customWidth="1" min="31" max="31"/>
    <col width="20.5" customWidth="1" min="32" max="32"/>
    <col width="13.6640625" customWidth="1" min="33" max="33"/>
  </cols>
  <sheetData>
    <row r="1" ht="33" customHeight="1">
      <c r="A1" s="112" t="inlineStr">
        <is>
          <t>"Масофавий аудит" ААТ томонидан аниқланган риск ҳолатларини назоратга олиш ҳамда уларни бартараф этилиши тўғрисида "Масофавий назорат" маркази ходимлари кесимида маълумот</t>
        </is>
      </c>
      <c r="N1" s="70" t="n"/>
      <c r="O1" s="70" t="n"/>
      <c r="P1" s="70" t="n"/>
      <c r="Q1" s="70" t="n"/>
      <c r="R1" s="70" t="n"/>
      <c r="S1" s="70" t="n"/>
      <c r="T1" s="70" t="n"/>
      <c r="U1" s="70" t="n"/>
      <c r="V1" s="70" t="n"/>
      <c r="W1" s="70" t="n"/>
      <c r="X1" s="70" t="n"/>
      <c r="Y1" s="70" t="n"/>
      <c r="Z1" s="70" t="n"/>
      <c r="AA1" s="70" t="n"/>
      <c r="AB1" s="70" t="n"/>
      <c r="AC1" s="70" t="n"/>
      <c r="AD1" s="70" t="n"/>
      <c r="AE1" s="70" t="n"/>
      <c r="AF1" s="70" t="n"/>
      <c r="AG1" s="70" t="n"/>
    </row>
    <row r="2" ht="17" customHeight="1" thickBot="1">
      <c r="C2" s="37" t="n"/>
      <c r="D2" s="37" t="n"/>
      <c r="E2" s="37" t="n"/>
      <c r="F2" s="37" t="n"/>
      <c r="G2" s="37" t="n"/>
      <c r="H2" s="37" t="n"/>
    </row>
    <row r="3" ht="32" customHeight="1">
      <c r="A3" s="105" t="inlineStr">
        <is>
          <t>№</t>
        </is>
      </c>
      <c r="B3" s="116" t="inlineStr">
        <is>
          <t>Масъул ходим</t>
        </is>
      </c>
      <c r="C3" s="113" t="inlineStr">
        <is>
          <t>Жами (тизим ишга тушгандан)</t>
        </is>
      </c>
      <c r="D3" s="136" t="n"/>
      <c r="E3" s="136" t="n"/>
      <c r="F3" s="136" t="n"/>
      <c r="G3" s="136" t="n"/>
      <c r="H3" s="137" t="n"/>
      <c r="I3" s="141" t="inlineStr">
        <is>
          <t>Охирги 16 кунликда</t>
        </is>
      </c>
      <c r="J3" s="136" t="n"/>
      <c r="K3" s="136" t="n"/>
      <c r="L3" s="136" t="n"/>
      <c r="M3" s="142" t="n"/>
    </row>
    <row r="4" ht="50" customFormat="1" customHeight="1" s="1">
      <c r="A4" s="138" t="n"/>
      <c r="B4" s="139" t="n"/>
      <c r="C4" s="71" t="inlineStr">
        <is>
          <t>Аниқланган</t>
        </is>
      </c>
      <c r="D4" s="109" t="inlineStr">
        <is>
          <t>Назоратга олинмаган</t>
        </is>
      </c>
      <c r="E4" s="73" t="inlineStr">
        <is>
          <t>Назоратга олинган</t>
        </is>
      </c>
      <c r="F4" s="74" t="inlineStr">
        <is>
          <t>Назоратга олинган лекин ижроси таъминланмаган</t>
        </is>
      </c>
      <c r="G4" s="75" t="inlineStr">
        <is>
          <t>Шундан назоратдан ечиш учун юборилган</t>
        </is>
      </c>
      <c r="H4" s="73" t="inlineStr">
        <is>
          <t>Назоратдан ечилган</t>
        </is>
      </c>
      <c r="I4" s="71" t="inlineStr">
        <is>
          <t>Аниқланган</t>
        </is>
      </c>
      <c r="J4" s="109" t="inlineStr">
        <is>
          <t>Назоратга олинмаган</t>
        </is>
      </c>
      <c r="K4" s="73" t="inlineStr">
        <is>
          <t>Назоратга олинган</t>
        </is>
      </c>
      <c r="L4" s="75" t="inlineStr">
        <is>
          <t>Шундан назоратдан ечиш учун юборилган</t>
        </is>
      </c>
      <c r="M4" s="76" t="inlineStr">
        <is>
          <t>Назоратдан ечилган</t>
        </is>
      </c>
      <c r="O4" s="1" t="inlineStr">
        <is>
          <t>Аниқланган</t>
        </is>
      </c>
      <c r="P4" s="1" t="inlineStr">
        <is>
          <t>Назоратга олинмаган</t>
        </is>
      </c>
      <c r="Q4" s="1" t="inlineStr">
        <is>
          <t>Назоратга олинган</t>
        </is>
      </c>
      <c r="R4" s="1" t="inlineStr">
        <is>
          <t>Шундан назоратдан ечиш учун юборилган</t>
        </is>
      </c>
      <c r="S4" s="1" t="inlineStr">
        <is>
          <t>Назоратдан ечилган</t>
        </is>
      </c>
    </row>
    <row r="5" ht="31" customFormat="1" customHeight="1" s="1">
      <c r="A5" s="20" t="n"/>
      <c r="B5" s="134" t="inlineStr">
        <is>
          <t>Жами</t>
        </is>
      </c>
      <c r="C5" s="10">
        <f>SUM(C6:C11)</f>
        <v/>
      </c>
      <c r="D5" s="110">
        <f>SUM(D6:D11)</f>
        <v/>
      </c>
      <c r="E5" s="12">
        <f>SUM(E6:E11)</f>
        <v/>
      </c>
      <c r="F5" s="13">
        <f>SUM(F6:F11)</f>
        <v/>
      </c>
      <c r="G5" s="36">
        <f>SUM(G6:G11)</f>
        <v/>
      </c>
      <c r="H5" s="12">
        <f>SUM(H6:H11)</f>
        <v/>
      </c>
      <c r="I5" s="10">
        <f>SUM(I6:I11)</f>
        <v/>
      </c>
      <c r="J5" s="110">
        <f>SUM(J6:J11)</f>
        <v/>
      </c>
      <c r="K5" s="12">
        <f>SUM(K6:K11)</f>
        <v/>
      </c>
      <c r="L5" s="36">
        <f>SUM(L6:L11)</f>
        <v/>
      </c>
      <c r="M5" s="14">
        <f>SUM(M6:M11)</f>
        <v/>
      </c>
    </row>
    <row r="6" ht="36" customFormat="1" customHeight="1" s="44">
      <c r="A6" s="38" t="n">
        <v>1</v>
      </c>
      <c r="B6" s="65" t="inlineStr">
        <is>
          <t>ATAXODJAYEV MUZAFFARXON BAXODIRXONOVICH</t>
        </is>
      </c>
      <c r="C6" s="40">
        <f>+SUMIF(Рўйхат!$E:$E,$B6,Рўйхат!G:G)</f>
        <v/>
      </c>
      <c r="D6" s="41">
        <f>+SUMIF(Рўйхат!$E:$E,$B6,Рўйхат!H:H)</f>
        <v/>
      </c>
      <c r="E6" s="41">
        <f>K6</f>
        <v/>
      </c>
      <c r="F6" s="41">
        <f>F16+K16+F26+K26</f>
        <v/>
      </c>
      <c r="G6" s="41">
        <f>+SUMIF(Рўйхат!$E:$E,$B6,Рўйхат!J:J)</f>
        <v/>
      </c>
      <c r="H6" s="41">
        <f>+SUMIF(Рўйхат!$E:$E,$B6,Рўйхат!K:K)</f>
        <v/>
      </c>
      <c r="I6" s="40">
        <f>+SUMIF(Рўйхат!$E:$E,$B6,Рўйхат!L:L)</f>
        <v/>
      </c>
      <c r="J6" s="41">
        <f>+SUMIF(Рўйхат!$E:$E,$B6,Рўйхат!M:M)</f>
        <v/>
      </c>
      <c r="K6" s="41">
        <f>+SUMIF(Рўйхат!$E:$E,$B6,Рўйхат!N:N)</f>
        <v/>
      </c>
      <c r="L6" s="41">
        <f>+SUMIF(Рўйхат!$E:$E,$B6,Рўйхат!O:O)</f>
        <v/>
      </c>
      <c r="M6" s="43">
        <f>+SUMIF(Рўйхат!$E:$E,$B6,Рўйхат!P:P)</f>
        <v/>
      </c>
      <c r="O6" s="93">
        <f>C6-I6-C16-I16-C26-I26</f>
        <v/>
      </c>
      <c r="P6" s="93">
        <f>D6-J6-D16-J16-D26-J26</f>
        <v/>
      </c>
      <c r="R6" s="93">
        <f>F6-N6-F16-K16-F26-L26</f>
        <v/>
      </c>
      <c r="S6" s="93">
        <f>G6-L6-G16-L16-G26-L26</f>
        <v/>
      </c>
    </row>
    <row r="7" ht="36" customFormat="1" customHeight="1" s="44">
      <c r="A7" s="79" t="n">
        <v>2</v>
      </c>
      <c r="B7" s="80" t="inlineStr">
        <is>
          <t>NOROV AKBAR RUZIMAMATOVICH</t>
        </is>
      </c>
      <c r="C7" s="81">
        <f>+SUMIF(Рўйхат!$E:$E,$B7,Рўйхат!G:G)</f>
        <v/>
      </c>
      <c r="D7" s="82">
        <f>+SUMIF(Рўйхат!$E:$E,$B7,Рўйхат!H:H)</f>
        <v/>
      </c>
      <c r="E7" s="82">
        <f>K7</f>
        <v/>
      </c>
      <c r="F7" s="82">
        <f>F17+K17+F27+K27</f>
        <v/>
      </c>
      <c r="G7" s="82">
        <f>+SUMIF(Рўйхат!$E:$E,$B7,Рўйхат!J:J)</f>
        <v/>
      </c>
      <c r="H7" s="82">
        <f>+SUMIF(Рўйхат!$E:$E,$B7,Рўйхат!K:K)</f>
        <v/>
      </c>
      <c r="I7" s="81">
        <f>+SUMIF(Рўйхат!$E:$E,$B7,Рўйхат!L:L)</f>
        <v/>
      </c>
      <c r="J7" s="82">
        <f>+SUMIF(Рўйхат!$E:$E,$B7,Рўйхат!M:M)</f>
        <v/>
      </c>
      <c r="K7" s="82">
        <f>+SUMIF(Рўйхат!$E:$E,$B7,Рўйхат!N:N)</f>
        <v/>
      </c>
      <c r="L7" s="82">
        <f>+SUMIF(Рўйхат!$E:$E,$B7,Рўйхат!O:O)</f>
        <v/>
      </c>
      <c r="M7" s="83">
        <f>+SUMIF(Рўйхат!$E:$E,$B7,Рўйхат!P:P)</f>
        <v/>
      </c>
      <c r="O7" s="93">
        <f>C7-I7-C17-I17-C27-I27</f>
        <v/>
      </c>
      <c r="P7" s="93">
        <f>D7-J7-D17-J17-D27-J27</f>
        <v/>
      </c>
      <c r="R7" s="93">
        <f>F7-N7-F17-K17-F27-L27</f>
        <v/>
      </c>
      <c r="S7" s="93">
        <f>G7-L7-G17-L17-G27-L27</f>
        <v/>
      </c>
    </row>
    <row r="8" ht="36" customFormat="1" customHeight="1" s="44">
      <c r="A8" s="38" t="n">
        <v>3</v>
      </c>
      <c r="B8" s="39" t="inlineStr">
        <is>
          <t>KARIMOV ANVAR JONAZOQOVICH</t>
        </is>
      </c>
      <c r="C8" s="40">
        <f>+SUMIF(Рўйхат!$E:$E,$B8,Рўйхат!G:G)</f>
        <v/>
      </c>
      <c r="D8" s="41">
        <f>+SUMIF(Рўйхат!$E:$E,$B8,Рўйхат!H:H)</f>
        <v/>
      </c>
      <c r="E8" s="41">
        <f>K8</f>
        <v/>
      </c>
      <c r="F8" s="41">
        <f>F18+K18+F28+K28</f>
        <v/>
      </c>
      <c r="G8" s="41">
        <f>+SUMIF(Рўйхат!$E:$E,$B8,Рўйхат!J:J)</f>
        <v/>
      </c>
      <c r="H8" s="41">
        <f>+SUMIF(Рўйхат!$E:$E,$B8,Рўйхат!K:K)</f>
        <v/>
      </c>
      <c r="I8" s="40">
        <f>+SUMIF(Рўйхат!$E:$E,$B8,Рўйхат!L:L)</f>
        <v/>
      </c>
      <c r="J8" s="41">
        <f>+SUMIF(Рўйхат!$E:$E,$B8,Рўйхат!M:M)</f>
        <v/>
      </c>
      <c r="K8" s="41">
        <f>+SUMIF(Рўйхат!$E:$E,$B8,Рўйхат!N:N)</f>
        <v/>
      </c>
      <c r="L8" s="41">
        <f>+SUMIF(Рўйхат!$E:$E,$B8,Рўйхат!O:O)</f>
        <v/>
      </c>
      <c r="M8" s="43">
        <f>+SUMIF(Рўйхат!$E:$E,$B8,Рўйхат!P:P)</f>
        <v/>
      </c>
      <c r="O8" s="93">
        <f>C8-I8-C18-I18-C28-I28</f>
        <v/>
      </c>
      <c r="P8" s="93">
        <f>D8-J8-D18-J18-D28-J28</f>
        <v/>
      </c>
      <c r="R8" s="93">
        <f>F8-N8-F18-K18-F28-L28</f>
        <v/>
      </c>
      <c r="S8" s="93">
        <f>G8-L8-G18-L18-G28-L28</f>
        <v/>
      </c>
    </row>
    <row r="9" ht="36" customFormat="1" customHeight="1" s="44">
      <c r="A9" s="79" t="n">
        <v>4</v>
      </c>
      <c r="B9" s="102" t="inlineStr">
        <is>
          <t>SATTAROV XUDOYBERDI PALVANNAZAR O‘G‘LI</t>
        </is>
      </c>
      <c r="C9" s="81">
        <f>+SUMIF(Рўйхат!$E:$E,$B9,Рўйхат!G:G)</f>
        <v/>
      </c>
      <c r="D9" s="82">
        <f>+SUMIF(Рўйхат!$E:$E,$B9,Рўйхат!H:H)</f>
        <v/>
      </c>
      <c r="E9" s="82">
        <f>K9</f>
        <v/>
      </c>
      <c r="F9" s="82">
        <f>F19+K19+F29+K29</f>
        <v/>
      </c>
      <c r="G9" s="82">
        <f>+SUMIF(Рўйхат!$E:$E,$B9,Рўйхат!J:J)</f>
        <v/>
      </c>
      <c r="H9" s="82">
        <f>+SUMIF(Рўйхат!$E:$E,$B9,Рўйхат!K:K)</f>
        <v/>
      </c>
      <c r="I9" s="81">
        <f>+SUMIF(Рўйхат!$E:$E,$B9,Рўйхат!L:L)</f>
        <v/>
      </c>
      <c r="J9" s="82">
        <f>+SUMIF(Рўйхат!$E:$E,$B9,Рўйхат!M:M)</f>
        <v/>
      </c>
      <c r="K9" s="82">
        <f>+SUMIF(Рўйхат!$E:$E,$B9,Рўйхат!N:N)</f>
        <v/>
      </c>
      <c r="L9" s="82">
        <f>+SUMIF(Рўйхат!$E:$E,$B9,Рўйхат!O:O)</f>
        <v/>
      </c>
      <c r="M9" s="83">
        <f>+SUMIF(Рўйхат!$E:$E,$B9,Рўйхат!P:P)</f>
        <v/>
      </c>
      <c r="O9" s="93">
        <f>C9-I9-C19-I19-C29-I29</f>
        <v/>
      </c>
      <c r="P9" s="93">
        <f>D9-J9-D19-J19-D29-J29</f>
        <v/>
      </c>
      <c r="R9" s="93">
        <f>F9-N9-F19-K19-F29-L29</f>
        <v/>
      </c>
      <c r="S9" s="93">
        <f>G9-L9-G19-L19-G29-L29</f>
        <v/>
      </c>
    </row>
    <row r="10" ht="36" customFormat="1" customHeight="1" s="44">
      <c r="A10" s="38" t="n">
        <v>5</v>
      </c>
      <c r="B10" s="39" t="inlineStr">
        <is>
          <t>TANGRIYEV UMIDJON UKTAMJONOVICH</t>
        </is>
      </c>
      <c r="C10" s="40">
        <f>+SUMIF(Рўйхат!$E:$E,$B10,Рўйхат!G:G)</f>
        <v/>
      </c>
      <c r="D10" s="41">
        <f>+SUMIF(Рўйхат!$E:$E,$B10,Рўйхат!H:H)</f>
        <v/>
      </c>
      <c r="E10" s="41">
        <f>K10</f>
        <v/>
      </c>
      <c r="F10" s="41">
        <f>F20+K20+F30+K30</f>
        <v/>
      </c>
      <c r="G10" s="41">
        <f>+SUMIF(Рўйхат!$E:$E,$B10,Рўйхат!J:J)</f>
        <v/>
      </c>
      <c r="H10" s="41">
        <f>+SUMIF(Рўйхат!$E:$E,$B10,Рўйхат!K:K)</f>
        <v/>
      </c>
      <c r="I10" s="40">
        <f>+SUMIF(Рўйхат!$E:$E,$B10,Рўйхат!L:L)</f>
        <v/>
      </c>
      <c r="J10" s="41">
        <f>+SUMIF(Рўйхат!$E:$E,$B10,Рўйхат!M:M)</f>
        <v/>
      </c>
      <c r="K10" s="41">
        <f>+SUMIF(Рўйхат!$E:$E,$B10,Рўйхат!N:N)</f>
        <v/>
      </c>
      <c r="L10" s="41">
        <f>+SUMIF(Рўйхат!$E:$E,$B10,Рўйхат!O:O)</f>
        <v/>
      </c>
      <c r="M10" s="43">
        <f>+SUMIF(Рўйхат!$E:$E,$B10,Рўйхат!P:P)</f>
        <v/>
      </c>
      <c r="O10" s="93">
        <f>C10-I10-C20-I20-C30-I30</f>
        <v/>
      </c>
      <c r="P10" s="93">
        <f>D10-J10-D20-J20-D30-J30</f>
        <v/>
      </c>
      <c r="R10" s="93">
        <f>F10-N10-F20-K20-F30-L30</f>
        <v/>
      </c>
      <c r="S10" s="93">
        <f>G10-L10-G20-L20-G30-L30</f>
        <v/>
      </c>
    </row>
    <row r="11" ht="36" customFormat="1" customHeight="1" s="44" thickBot="1">
      <c r="A11" s="84" t="n">
        <v>6</v>
      </c>
      <c r="B11" s="85" t="inlineStr">
        <is>
          <t>QOSIMOV MIRAGZAM XALIL OGLI</t>
        </is>
      </c>
      <c r="C11" s="86">
        <f>+SUMIF(Рўйхат!$E:$E,$B11,Рўйхат!G:G)</f>
        <v/>
      </c>
      <c r="D11" s="87">
        <f>+SUMIF(Рўйхат!$E:$E,$B11,Рўйхат!H:H)</f>
        <v/>
      </c>
      <c r="E11" s="87">
        <f>K11</f>
        <v/>
      </c>
      <c r="F11" s="87">
        <f>F21+K21+F31+K31</f>
        <v/>
      </c>
      <c r="G11" s="87">
        <f>+SUMIF(Рўйхат!$E:$E,$B11,Рўйхат!J:J)</f>
        <v/>
      </c>
      <c r="H11" s="87">
        <f>+SUMIF(Рўйхат!$E:$E,$B11,Рўйхат!K:K)</f>
        <v/>
      </c>
      <c r="I11" s="86">
        <f>+SUMIF(Рўйхат!$E:$E,$B11,Рўйхат!L:L)</f>
        <v/>
      </c>
      <c r="J11" s="87">
        <f>+SUMIF(Рўйхат!$E:$E,$B11,Рўйхат!M:M)</f>
        <v/>
      </c>
      <c r="K11" s="87">
        <f>+SUMIF(Рўйхат!$E:$E,$B11,Рўйхат!N:N)</f>
        <v/>
      </c>
      <c r="L11" s="87">
        <f>+SUMIF(Рўйхат!$E:$E,$B11,Рўйхат!O:O)</f>
        <v/>
      </c>
      <c r="M11" s="88">
        <f>+SUMIF(Рўйхат!$E:$E,$B11,Рўйхат!P:P)</f>
        <v/>
      </c>
      <c r="O11" s="93">
        <f>C11-I11-C21-I21-C31-I31</f>
        <v/>
      </c>
      <c r="P11" s="93">
        <f>D11-J11-D21-J21-D31-J31</f>
        <v/>
      </c>
      <c r="R11" s="93">
        <f>F11-N11-F21-K21-F31-L31</f>
        <v/>
      </c>
      <c r="S11" s="93">
        <f>G11-L11-G21-L21-G31-L31</f>
        <v/>
      </c>
    </row>
    <row r="12" ht="17" customHeight="1" thickBot="1"/>
    <row r="13" ht="32" customHeight="1">
      <c r="A13" s="105" t="inlineStr">
        <is>
          <t>№</t>
        </is>
      </c>
      <c r="B13" s="116" t="inlineStr">
        <is>
          <t>Масъул ходим</t>
        </is>
      </c>
      <c r="C13" s="113" t="inlineStr">
        <is>
          <t>Охирги 16 - 30 кунликда</t>
        </is>
      </c>
      <c r="D13" s="136" t="n"/>
      <c r="E13" s="136" t="n"/>
      <c r="F13" s="136" t="n"/>
      <c r="G13" s="136" t="n"/>
      <c r="H13" s="137" t="n"/>
      <c r="I13" s="113" t="inlineStr">
        <is>
          <t>Охирги 1 - 6 ойгача</t>
        </is>
      </c>
      <c r="J13" s="136" t="n"/>
      <c r="K13" s="136" t="n"/>
      <c r="L13" s="136" t="n"/>
      <c r="M13" s="137" t="n"/>
    </row>
    <row r="14" ht="34" customHeight="1">
      <c r="A14" s="138" t="n"/>
      <c r="B14" s="139" t="n"/>
      <c r="C14" s="71" t="inlineStr">
        <is>
          <t>Аниқланган</t>
        </is>
      </c>
      <c r="D14" s="109" t="inlineStr">
        <is>
          <t>Назоратга олинмаган</t>
        </is>
      </c>
      <c r="E14" s="143" t="n"/>
      <c r="F14" s="74" t="inlineStr">
        <is>
          <t>Назоратга олинган лекин ижроси таъминланмаган</t>
        </is>
      </c>
      <c r="G14" s="75" t="inlineStr">
        <is>
          <t>Шундан назоратдан ечиш учун юборилган</t>
        </is>
      </c>
      <c r="H14" s="77" t="inlineStr">
        <is>
          <t>Назоратдан ечилган</t>
        </is>
      </c>
      <c r="I14" s="71" t="inlineStr">
        <is>
          <t>Аниқланган</t>
        </is>
      </c>
      <c r="J14" s="109" t="inlineStr">
        <is>
          <t>Назоратга олинмаган</t>
        </is>
      </c>
      <c r="K14" s="74" t="inlineStr">
        <is>
          <t>Назоратга олинган лекин ижроси таъминланмаган</t>
        </is>
      </c>
      <c r="L14" s="75" t="inlineStr">
        <is>
          <t>Шундан назоратдан ечиш учун юборилган</t>
        </is>
      </c>
      <c r="M14" s="76" t="inlineStr">
        <is>
          <t>Назоратдан ечилган</t>
        </is>
      </c>
    </row>
    <row r="15" ht="31" customHeight="1">
      <c r="A15" s="20" t="n"/>
      <c r="B15" s="134" t="inlineStr">
        <is>
          <t>Жами</t>
        </is>
      </c>
      <c r="C15" s="10">
        <f>SUM(C16:C21)</f>
        <v/>
      </c>
      <c r="D15" s="110">
        <f>SUM(D16:D21)</f>
        <v/>
      </c>
      <c r="E15" s="143" t="n"/>
      <c r="F15" s="13">
        <f>SUM(F16:F21)</f>
        <v/>
      </c>
      <c r="G15" s="36">
        <f>SUM(G16:G21)</f>
        <v/>
      </c>
      <c r="H15" s="69">
        <f>SUM(H16:H21)</f>
        <v/>
      </c>
      <c r="I15" s="10">
        <f>SUM(I16:I21)</f>
        <v/>
      </c>
      <c r="J15" s="110">
        <f>SUM(J16:J21)</f>
        <v/>
      </c>
      <c r="K15" s="13">
        <f>SUM(K16:K21)</f>
        <v/>
      </c>
      <c r="L15" s="36">
        <f>SUM(L16:L21)</f>
        <v/>
      </c>
      <c r="M15" s="14">
        <f>SUM(M16:M21)</f>
        <v/>
      </c>
    </row>
    <row r="16" ht="36" customHeight="1">
      <c r="A16" s="38" t="n">
        <v>1</v>
      </c>
      <c r="B16" s="65" t="inlineStr">
        <is>
          <t>ATAXODJAYEV MUZAFFARXON BAXODIRXONOVICH</t>
        </is>
      </c>
      <c r="C16" s="40">
        <f>+SUMIF(Рўйхат!$E:$E,$B6,Рўйхат!Q:Q)</f>
        <v/>
      </c>
      <c r="D16" s="103">
        <f>+SUMIF(Рўйхат!$E:$E,$B6,Рўйхат!R:R)</f>
        <v/>
      </c>
      <c r="E16" s="143" t="n"/>
      <c r="F16" s="41">
        <f>+SUMIF(Рўйхат!$E:$E,$B6,Рўйхат!S:S)</f>
        <v/>
      </c>
      <c r="G16" s="41">
        <f>+SUMIF(Рўйхат!$E:$E,$B6,Рўйхат!T:T)</f>
        <v/>
      </c>
      <c r="H16" s="42">
        <f>+SUMIF(Рўйхат!$E:$E,$B6,Рўйхат!U:U)</f>
        <v/>
      </c>
      <c r="I16" s="40">
        <f>+SUMIF(Рўйхат!$E:$E,$B6,Рўйхат!V:V)</f>
        <v/>
      </c>
      <c r="J16" s="41">
        <f>+SUMIF(Рўйхат!$E:$E,$B6,Рўйхат!W:W)</f>
        <v/>
      </c>
      <c r="K16" s="41">
        <f>+SUMIF(Рўйхат!$E:$E,$B6,Рўйхат!X:X)</f>
        <v/>
      </c>
      <c r="L16" s="41">
        <f>+SUMIF(Рўйхат!$E:$E,$B6,Рўйхат!Y:Y)</f>
        <v/>
      </c>
      <c r="M16" s="43">
        <f>+SUMIF(Рўйхат!$E:$E,$B6,Рўйхат!Z:Z)</f>
        <v/>
      </c>
    </row>
    <row r="17" ht="36" customHeight="1">
      <c r="A17" s="79" t="n">
        <v>2</v>
      </c>
      <c r="B17" s="80" t="inlineStr">
        <is>
          <t>USMANOV AKMAL YAXYOYEVICH</t>
        </is>
      </c>
      <c r="C17" s="81">
        <f>+SUMIF(Рўйхат!$E:$E,$B7,Рўйхат!Q:Q)</f>
        <v/>
      </c>
      <c r="D17" s="111">
        <f>+SUMIF(Рўйхат!$E:$E,$B7,Рўйхат!R:R)</f>
        <v/>
      </c>
      <c r="E17" s="143" t="n"/>
      <c r="F17" s="82">
        <f>+SUMIF(Рўйхат!$E:$E,$B7,Рўйхат!S:S)</f>
        <v/>
      </c>
      <c r="G17" s="82">
        <f>+SUMIF(Рўйхат!$E:$E,$B7,Рўйхат!T:T)</f>
        <v/>
      </c>
      <c r="H17" s="89">
        <f>+SUMIF(Рўйхат!$E:$E,$B7,Рўйхат!U:U)</f>
        <v/>
      </c>
      <c r="I17" s="81">
        <f>+SUMIF(Рўйхат!$E:$E,$B7,Рўйхат!V:V)</f>
        <v/>
      </c>
      <c r="J17" s="82">
        <f>+SUMIF(Рўйхат!$E:$E,$B7,Рўйхат!W:W)</f>
        <v/>
      </c>
      <c r="K17" s="82">
        <f>+SUMIF(Рўйхат!$E:$E,$B7,Рўйхат!X:X)</f>
        <v/>
      </c>
      <c r="L17" s="82">
        <f>+SUMIF(Рўйхат!$E:$E,$B7,Рўйхат!Y:Y)</f>
        <v/>
      </c>
      <c r="M17" s="83">
        <f>+SUMIF(Рўйхат!$E:$E,$B7,Рўйхат!Z:Z)</f>
        <v/>
      </c>
    </row>
    <row r="18" ht="36" customHeight="1">
      <c r="A18" s="38" t="n">
        <v>3</v>
      </c>
      <c r="B18" s="39" t="inlineStr">
        <is>
          <t>KARIMOV ANVAR JONAZOQOVICH</t>
        </is>
      </c>
      <c r="C18" s="40">
        <f>+SUMIF(Рўйхат!$E:$E,$B8,Рўйхат!Q:Q)</f>
        <v/>
      </c>
      <c r="D18" s="103">
        <f>+SUMIF(Рўйхат!$E:$E,$B8,Рўйхат!R:R)</f>
        <v/>
      </c>
      <c r="E18" s="143" t="n"/>
      <c r="F18" s="41">
        <f>+SUMIF(Рўйхат!$E:$E,$B8,Рўйхат!S:S)</f>
        <v/>
      </c>
      <c r="G18" s="41">
        <f>+SUMIF(Рўйхат!$E:$E,$B8,Рўйхат!T:T)</f>
        <v/>
      </c>
      <c r="H18" s="42">
        <f>+SUMIF(Рўйхат!$E:$E,$B8,Рўйхат!U:U)</f>
        <v/>
      </c>
      <c r="I18" s="40">
        <f>+SUMIF(Рўйхат!$E:$E,$B8,Рўйхат!V:V)</f>
        <v/>
      </c>
      <c r="J18" s="41">
        <f>+SUMIF(Рўйхат!$E:$E,$B8,Рўйхат!W:W)</f>
        <v/>
      </c>
      <c r="K18" s="41">
        <f>+SUMIF(Рўйхат!$E:$E,$B8,Рўйхат!X:X)</f>
        <v/>
      </c>
      <c r="L18" s="41">
        <f>+SUMIF(Рўйхат!$E:$E,$B8,Рўйхат!Y:Y)</f>
        <v/>
      </c>
      <c r="M18" s="43">
        <f>+SUMIF(Рўйхат!$E:$E,$B8,Рўйхат!Z:Z)</f>
        <v/>
      </c>
    </row>
    <row r="19" ht="36" customHeight="1">
      <c r="A19" s="79" t="n">
        <v>4</v>
      </c>
      <c r="B19" s="102" t="inlineStr">
        <is>
          <t>SATTAROV XUDOYBERDI PALVANNAZAR O‘G‘LI</t>
        </is>
      </c>
      <c r="C19" s="81">
        <f>+SUMIF(Рўйхат!$E:$E,$B9,Рўйхат!Q:Q)</f>
        <v/>
      </c>
      <c r="D19" s="111">
        <f>+SUMIF(Рўйхат!$E:$E,$B9,Рўйхат!R:R)</f>
        <v/>
      </c>
      <c r="E19" s="143" t="n"/>
      <c r="F19" s="82">
        <f>+SUMIF(Рўйхат!$E:$E,$B9,Рўйхат!S:S)</f>
        <v/>
      </c>
      <c r="G19" s="82">
        <f>+SUMIF(Рўйхат!$E:$E,$B9,Рўйхат!T:T)</f>
        <v/>
      </c>
      <c r="H19" s="89">
        <f>+SUMIF(Рўйхат!$E:$E,$B9,Рўйхат!U:U)</f>
        <v/>
      </c>
      <c r="I19" s="81">
        <f>+SUMIF(Рўйхат!$E:$E,$B9,Рўйхат!V:V)</f>
        <v/>
      </c>
      <c r="J19" s="82">
        <f>+SUMIF(Рўйхат!$E:$E,$B9,Рўйхат!W:W)</f>
        <v/>
      </c>
      <c r="K19" s="82">
        <f>+SUMIF(Рўйхат!$E:$E,$B9,Рўйхат!X:X)</f>
        <v/>
      </c>
      <c r="L19" s="82">
        <f>+SUMIF(Рўйхат!$E:$E,$B9,Рўйхат!Y:Y)</f>
        <v/>
      </c>
      <c r="M19" s="83">
        <f>+SUMIF(Рўйхат!$E:$E,$B9,Рўйхат!Z:Z)</f>
        <v/>
      </c>
    </row>
    <row r="20" ht="36" customHeight="1">
      <c r="A20" s="38" t="n">
        <v>5</v>
      </c>
      <c r="B20" s="39" t="inlineStr">
        <is>
          <t>TANGRIYEV UMIDJON UKTAMJONOVICH</t>
        </is>
      </c>
      <c r="C20" s="40">
        <f>+SUMIF(Рўйхат!$E:$E,$B10,Рўйхат!Q:Q)</f>
        <v/>
      </c>
      <c r="D20" s="103">
        <f>+SUMIF(Рўйхат!$E:$E,$B10,Рўйхат!R:R)</f>
        <v/>
      </c>
      <c r="E20" s="143" t="n"/>
      <c r="F20" s="41">
        <f>+SUMIF(Рўйхат!$E:$E,$B10,Рўйхат!S:S)</f>
        <v/>
      </c>
      <c r="G20" s="41">
        <f>+SUMIF(Рўйхат!$E:$E,$B10,Рўйхат!T:T)</f>
        <v/>
      </c>
      <c r="H20" s="42">
        <f>+SUMIF(Рўйхат!$E:$E,$B10,Рўйхат!U:U)</f>
        <v/>
      </c>
      <c r="I20" s="40">
        <f>+SUMIF(Рўйхат!$E:$E,$B10,Рўйхат!V:V)</f>
        <v/>
      </c>
      <c r="J20" s="41">
        <f>+SUMIF(Рўйхат!$E:$E,$B10,Рўйхат!W:W)</f>
        <v/>
      </c>
      <c r="K20" s="41">
        <f>+SUMIF(Рўйхат!$E:$E,$B10,Рўйхат!X:X)</f>
        <v/>
      </c>
      <c r="L20" s="41">
        <f>+SUMIF(Рўйхат!$E:$E,$B10,Рўйхат!Y:Y)</f>
        <v/>
      </c>
      <c r="M20" s="43">
        <f>+SUMIF(Рўйхат!$E:$E,$B10,Рўйхат!Z:Z)</f>
        <v/>
      </c>
    </row>
    <row r="21" ht="36" customHeight="1" thickBot="1">
      <c r="A21" s="84" t="n">
        <v>6</v>
      </c>
      <c r="B21" s="85" t="inlineStr">
        <is>
          <t>QOSIMOV MIRAGZAM XALIL OGLI</t>
        </is>
      </c>
      <c r="C21" s="86">
        <f>+SUMIF(Рўйхат!$E:$E,$B11,Рўйхат!Q:Q)</f>
        <v/>
      </c>
      <c r="D21" s="104">
        <f>+SUMIF(Рўйхат!$E:$E,$B11,Рўйхат!R:R)</f>
        <v/>
      </c>
      <c r="E21" s="144" t="n"/>
      <c r="F21" s="87">
        <f>+SUMIF(Рўйхат!$E:$E,$B11,Рўйхат!S:S)</f>
        <v/>
      </c>
      <c r="G21" s="87">
        <f>+SUMIF(Рўйхат!$E:$E,$B11,Рўйхат!T:T)</f>
        <v/>
      </c>
      <c r="H21" s="90">
        <f>+SUMIF(Рўйхат!$E:$E,$B11,Рўйхат!U:U)</f>
        <v/>
      </c>
      <c r="I21" s="86">
        <f>+SUMIF(Рўйхат!$E:$E,$B11,Рўйхат!V:V)</f>
        <v/>
      </c>
      <c r="J21" s="87">
        <f>+SUMIF(Рўйхат!$E:$E,$B11,Рўйхат!W:W)</f>
        <v/>
      </c>
      <c r="K21" s="87">
        <f>+SUMIF(Рўйхат!$E:$E,$B11,Рўйхат!X:X)</f>
        <v/>
      </c>
      <c r="L21" s="87">
        <f>+SUMIF(Рўйхат!$E:$E,$B11,Рўйхат!Y:Y)</f>
        <v/>
      </c>
      <c r="M21" s="88">
        <f>+SUMIF(Рўйхат!$E:$E,$B11,Рўйхат!Z:Z)</f>
        <v/>
      </c>
    </row>
    <row r="22" ht="17" customHeight="1" thickBot="1"/>
    <row r="23" ht="32" customHeight="1">
      <c r="A23" s="105" t="inlineStr">
        <is>
          <t>№</t>
        </is>
      </c>
      <c r="B23" s="107" t="inlineStr">
        <is>
          <t>Масъул ходим</t>
        </is>
      </c>
      <c r="C23" s="122" t="inlineStr">
        <is>
          <t>Охирги 6 - 12 ойгача</t>
        </is>
      </c>
      <c r="D23" s="136" t="n"/>
      <c r="E23" s="136" t="n"/>
      <c r="F23" s="136" t="n"/>
      <c r="G23" s="136" t="n"/>
      <c r="H23" s="137" t="n"/>
      <c r="I23" s="113" t="inlineStr">
        <is>
          <t>1 йилдан ортиқ</t>
        </is>
      </c>
      <c r="J23" s="136" t="n"/>
      <c r="K23" s="136" t="n"/>
      <c r="L23" s="136" t="n"/>
      <c r="M23" s="137" t="n"/>
    </row>
    <row r="24" ht="34" customHeight="1">
      <c r="A24" s="138" t="n"/>
      <c r="B24" s="140" t="n"/>
      <c r="C24" s="78" t="inlineStr">
        <is>
          <t>Аниқланган</t>
        </is>
      </c>
      <c r="D24" s="109" t="inlineStr">
        <is>
          <t>Назоратга олинмаган</t>
        </is>
      </c>
      <c r="E24" s="143" t="n"/>
      <c r="F24" s="74" t="inlineStr">
        <is>
          <t>Назоратга олинган лекин ижроси таъминланмаган</t>
        </is>
      </c>
      <c r="G24" s="75" t="inlineStr">
        <is>
          <t>Шундан назоратдан ечиш учун юборилган</t>
        </is>
      </c>
      <c r="H24" s="77" t="inlineStr">
        <is>
          <t>Назоратдан ечилган</t>
        </is>
      </c>
      <c r="I24" s="71" t="inlineStr">
        <is>
          <t>Аниқланган</t>
        </is>
      </c>
      <c r="J24" s="109" t="inlineStr">
        <is>
          <t>Назоратга олинмаган</t>
        </is>
      </c>
      <c r="K24" s="74" t="inlineStr">
        <is>
          <t>Назоратга олинган лекин ижроси таъминланмаган</t>
        </is>
      </c>
      <c r="L24" s="75" t="inlineStr">
        <is>
          <t>Шундан назоратдан ечиш учун юборилган</t>
        </is>
      </c>
      <c r="M24" s="76" t="inlineStr">
        <is>
          <t>Назоратдан ечилган</t>
        </is>
      </c>
    </row>
    <row r="25" ht="31" customHeight="1">
      <c r="A25" s="20" t="n"/>
      <c r="B25" s="68" t="inlineStr">
        <is>
          <t>Жами</t>
        </is>
      </c>
      <c r="C25" s="66">
        <f>SUM(C26:C31)</f>
        <v/>
      </c>
      <c r="D25" s="110">
        <f>SUM(D26:D31)</f>
        <v/>
      </c>
      <c r="E25" s="143" t="n"/>
      <c r="F25" s="13">
        <f>SUM(F26:F31)</f>
        <v/>
      </c>
      <c r="G25" s="36">
        <f>SUM(G26:G31)</f>
        <v/>
      </c>
      <c r="H25" s="69">
        <f>SUM(H26:H31)</f>
        <v/>
      </c>
      <c r="I25" s="10">
        <f>SUM(I26:I31)</f>
        <v/>
      </c>
      <c r="J25" s="110">
        <f>SUM(J26:J31)</f>
        <v/>
      </c>
      <c r="K25" s="13">
        <f>SUM(K26:K31)</f>
        <v/>
      </c>
      <c r="L25" s="36">
        <f>SUM(L26:L31)</f>
        <v/>
      </c>
      <c r="M25" s="14">
        <f>SUM(M26:M31)</f>
        <v/>
      </c>
    </row>
    <row r="26" ht="36" customHeight="1">
      <c r="A26" s="38" t="n">
        <v>1</v>
      </c>
      <c r="B26" s="65" t="inlineStr">
        <is>
          <t>ATAXODJAYEV MUZAFFARXON BAXODIRXONOVICH</t>
        </is>
      </c>
      <c r="C26" s="67">
        <f>+SUMIF(Рўйхат!$E:$E,$B6,Рўйхат!AA:AA)</f>
        <v/>
      </c>
      <c r="D26" s="103">
        <f>+SUMIF(Рўйхат!$E:$E,$B6,Рўйхат!AB:AB)</f>
        <v/>
      </c>
      <c r="E26" s="143" t="n"/>
      <c r="F26" s="41">
        <f>+SUMIF(Рўйхат!$E:$E,$B6,Рўйхат!AC:AC)</f>
        <v/>
      </c>
      <c r="G26" s="41">
        <f>+SUMIF(Рўйхат!$E:$E,$B6,Рўйхат!AD:AD)</f>
        <v/>
      </c>
      <c r="H26" s="42">
        <f>+SUMIF(Рўйхат!$E:$E,$B6,Рўйхат!AE:AE)</f>
        <v/>
      </c>
      <c r="I26" s="40">
        <f>+SUMIF(Рўйхат!$E:$E,$B6,Рўйхат!AF:AF)</f>
        <v/>
      </c>
      <c r="J26" s="41">
        <f>+SUMIF(Рўйхат!$E:$E,$B6,Рўйхат!AG:AG)</f>
        <v/>
      </c>
      <c r="K26" s="41">
        <f>+SUMIF(Рўйхат!$E:$E,$B6,Рўйхат!AH:AH)</f>
        <v/>
      </c>
      <c r="L26" s="41">
        <f>+SUMIF(Рўйхат!$E:$E,$B6,Рўйхат!AI:AI)</f>
        <v/>
      </c>
      <c r="M26" s="43">
        <f>+SUMIF(Рўйхат!$E:$E,$B6,Рўйхат!AJ:AJ)</f>
        <v/>
      </c>
    </row>
    <row r="27" ht="36" customHeight="1">
      <c r="A27" s="79" t="n">
        <v>2</v>
      </c>
      <c r="B27" s="80" t="inlineStr">
        <is>
          <t>USMANOV AKMAL YAXYOYEVICH</t>
        </is>
      </c>
      <c r="C27" s="91">
        <f>+SUMIF(Рўйхат!$E:$E,$B7,Рўйхат!AA:AA)</f>
        <v/>
      </c>
      <c r="D27" s="111">
        <f>+SUMIF(Рўйхат!$E:$E,$B7,Рўйхат!AB:AB)</f>
        <v/>
      </c>
      <c r="E27" s="143" t="n"/>
      <c r="F27" s="82">
        <f>+SUMIF(Рўйхат!$E:$E,$B7,Рўйхат!AC:AC)</f>
        <v/>
      </c>
      <c r="G27" s="82">
        <f>+SUMIF(Рўйхат!$E:$E,$B7,Рўйхат!AD:AD)</f>
        <v/>
      </c>
      <c r="H27" s="89">
        <f>+SUMIF(Рўйхат!$E:$E,$B7,Рўйхат!AE:AE)</f>
        <v/>
      </c>
      <c r="I27" s="81">
        <f>+SUMIF(Рўйхат!$E:$E,$B7,Рўйхат!AF:AF)</f>
        <v/>
      </c>
      <c r="J27" s="82">
        <f>+SUMIF(Рўйхат!$E:$E,$B7,Рўйхат!AG:AG)</f>
        <v/>
      </c>
      <c r="K27" s="82">
        <f>+SUMIF(Рўйхат!$E:$E,$B7,Рўйхат!AH:AH)</f>
        <v/>
      </c>
      <c r="L27" s="82">
        <f>+SUMIF(Рўйхат!$E:$E,$B7,Рўйхат!AI:AI)</f>
        <v/>
      </c>
      <c r="M27" s="83">
        <f>+SUMIF(Рўйхат!$E:$E,$B7,Рўйхат!AJ:AJ)</f>
        <v/>
      </c>
    </row>
    <row r="28" ht="36" customHeight="1">
      <c r="A28" s="38" t="n">
        <v>3</v>
      </c>
      <c r="B28" s="39" t="inlineStr">
        <is>
          <t>KARIMOV ANVAR JONAZOQOVICH</t>
        </is>
      </c>
      <c r="C28" s="67">
        <f>+SUMIF(Рўйхат!$E:$E,$B8,Рўйхат!AA:AA)</f>
        <v/>
      </c>
      <c r="D28" s="103">
        <f>+SUMIF(Рўйхат!$E:$E,$B8,Рўйхат!AB:AB)</f>
        <v/>
      </c>
      <c r="E28" s="143" t="n"/>
      <c r="F28" s="41">
        <f>+SUMIF(Рўйхат!$E:$E,$B8,Рўйхат!AC:AC)</f>
        <v/>
      </c>
      <c r="G28" s="41">
        <f>+SUMIF(Рўйхат!$E:$E,$B8,Рўйхат!AD:AD)</f>
        <v/>
      </c>
      <c r="H28" s="42">
        <f>+SUMIF(Рўйхат!$E:$E,$B8,Рўйхат!AE:AE)</f>
        <v/>
      </c>
      <c r="I28" s="40">
        <f>+SUMIF(Рўйхат!$E:$E,$B8,Рўйхат!AF:AF)</f>
        <v/>
      </c>
      <c r="J28" s="41">
        <f>+SUMIF(Рўйхат!$E:$E,$B8,Рўйхат!AG:AG)</f>
        <v/>
      </c>
      <c r="K28" s="41">
        <f>+SUMIF(Рўйхат!$E:$E,$B8,Рўйхат!AH:AH)</f>
        <v/>
      </c>
      <c r="L28" s="41">
        <f>+SUMIF(Рўйхат!$E:$E,$B8,Рўйхат!AI:AI)</f>
        <v/>
      </c>
      <c r="M28" s="43">
        <f>+SUMIF(Рўйхат!$E:$E,$B8,Рўйхат!AJ:AJ)</f>
        <v/>
      </c>
    </row>
    <row r="29" ht="36" customHeight="1">
      <c r="A29" s="79" t="n">
        <v>4</v>
      </c>
      <c r="B29" s="102" t="inlineStr">
        <is>
          <t>SATTAROV XUDOYBERDI PALVANNAZAR O‘G‘LI</t>
        </is>
      </c>
      <c r="C29" s="91">
        <f>+SUMIF(Рўйхат!$E:$E,$B9,Рўйхат!AA:AA)</f>
        <v/>
      </c>
      <c r="D29" s="111">
        <f>+SUMIF(Рўйхат!$E:$E,$B9,Рўйхат!AB:AB)</f>
        <v/>
      </c>
      <c r="E29" s="143" t="n"/>
      <c r="F29" s="82">
        <f>+SUMIF(Рўйхат!$E:$E,$B9,Рўйхат!AC:AC)</f>
        <v/>
      </c>
      <c r="G29" s="82">
        <f>+SUMIF(Рўйхат!$E:$E,$B9,Рўйхат!AD:AD)</f>
        <v/>
      </c>
      <c r="H29" s="89">
        <f>+SUMIF(Рўйхат!$E:$E,$B9,Рўйхат!AE:AE)</f>
        <v/>
      </c>
      <c r="I29" s="81">
        <f>+SUMIF(Рўйхат!$E:$E,$B9,Рўйхат!AF:AF)</f>
        <v/>
      </c>
      <c r="J29" s="82">
        <f>+SUMIF(Рўйхат!$E:$E,$B9,Рўйхат!AG:AG)</f>
        <v/>
      </c>
      <c r="K29" s="82">
        <f>+SUMIF(Рўйхат!$E:$E,$B9,Рўйхат!AH:AH)</f>
        <v/>
      </c>
      <c r="L29" s="82">
        <f>+SUMIF(Рўйхат!$E:$E,$B9,Рўйхат!AI:AI)</f>
        <v/>
      </c>
      <c r="M29" s="83">
        <f>+SUMIF(Рўйхат!$E:$E,$B9,Рўйхат!AJ:AJ)</f>
        <v/>
      </c>
    </row>
    <row r="30" ht="36" customHeight="1">
      <c r="A30" s="38" t="n">
        <v>5</v>
      </c>
      <c r="B30" s="39" t="inlineStr">
        <is>
          <t>TANGRIYEV UMIDJON UKTAMJONOVICH</t>
        </is>
      </c>
      <c r="C30" s="67">
        <f>+SUMIF(Рўйхат!$E:$E,$B10,Рўйхат!AA:AA)</f>
        <v/>
      </c>
      <c r="D30" s="103">
        <f>+SUMIF(Рўйхат!$E:$E,$B10,Рўйхат!AB:AB)</f>
        <v/>
      </c>
      <c r="E30" s="143" t="n"/>
      <c r="F30" s="41">
        <f>+SUMIF(Рўйхат!$E:$E,$B10,Рўйхат!AC:AC)</f>
        <v/>
      </c>
      <c r="G30" s="41">
        <f>+SUMIF(Рўйхат!$E:$E,$B10,Рўйхат!AD:AD)</f>
        <v/>
      </c>
      <c r="H30" s="42">
        <f>+SUMIF(Рўйхат!$E:$E,$B10,Рўйхат!AE:AE)</f>
        <v/>
      </c>
      <c r="I30" s="40">
        <f>+SUMIF(Рўйхат!$E:$E,$B10,Рўйхат!AF:AF)</f>
        <v/>
      </c>
      <c r="J30" s="41">
        <f>+SUMIF(Рўйхат!$E:$E,$B10,Рўйхат!AG:AG)</f>
        <v/>
      </c>
      <c r="K30" s="41">
        <f>+SUMIF(Рўйхат!$E:$E,$B10,Рўйхат!AH:AH)</f>
        <v/>
      </c>
      <c r="L30" s="41">
        <f>+SUMIF(Рўйхат!$E:$E,$B10,Рўйхат!AI:AI)</f>
        <v/>
      </c>
      <c r="M30" s="43">
        <f>+SUMIF(Рўйхат!$E:$E,$B10,Рўйхат!AJ:AJ)</f>
        <v/>
      </c>
    </row>
    <row r="31" ht="36" customHeight="1" thickBot="1">
      <c r="A31" s="84" t="n">
        <v>6</v>
      </c>
      <c r="B31" s="85" t="inlineStr">
        <is>
          <t>QOSIMOV MIRAGZAM XALIL OGLI</t>
        </is>
      </c>
      <c r="C31" s="92">
        <f>+SUMIF(Рўйхат!$E:$E,$B11,Рўйхат!AA:AA)</f>
        <v/>
      </c>
      <c r="D31" s="104">
        <f>+SUMIF(Рўйхат!$E:$E,$B11,Рўйхат!AB:AB)</f>
        <v/>
      </c>
      <c r="E31" s="144" t="n"/>
      <c r="F31" s="87">
        <f>+SUMIF(Рўйхат!$E:$E,$B11,Рўйхат!AC:AC)</f>
        <v/>
      </c>
      <c r="G31" s="87">
        <f>+SUMIF(Рўйхат!$E:$E,$B11,Рўйхат!AD:AD)</f>
        <v/>
      </c>
      <c r="H31" s="90">
        <f>+SUMIF(Рўйхат!$E:$E,$B11,Рўйхат!AE:AE)</f>
        <v/>
      </c>
      <c r="I31" s="86">
        <f>+SUMIF(Рўйхат!$E:$E,$B11,Рўйхат!AF:AF)</f>
        <v/>
      </c>
      <c r="J31" s="87">
        <f>+SUMIF(Рўйхат!$E:$E,$B11,Рўйхат!AG:AG)</f>
        <v/>
      </c>
      <c r="K31" s="87">
        <f>+SUMIF(Рўйхат!$E:$E,$B11,Рўйхат!AH:AH)</f>
        <v/>
      </c>
      <c r="L31" s="87">
        <f>+SUMIF(Рўйхат!$E:$E,$B11,Рўйхат!AI:AI)</f>
        <v/>
      </c>
      <c r="M31" s="88">
        <f>+SUMIF(Рўйхат!$E:$E,$B11,Рўйхат!AJ:AJ)</f>
        <v/>
      </c>
    </row>
  </sheetData>
  <mergeCells count="29">
    <mergeCell ref="D20:E20"/>
    <mergeCell ref="D19:E19"/>
    <mergeCell ref="B3:B4"/>
    <mergeCell ref="D31:E31"/>
    <mergeCell ref="D21:E21"/>
    <mergeCell ref="B23:B24"/>
    <mergeCell ref="B13:B14"/>
    <mergeCell ref="A3:A4"/>
    <mergeCell ref="D27:E27"/>
    <mergeCell ref="C23:H23"/>
    <mergeCell ref="D17:E17"/>
    <mergeCell ref="I3:M3"/>
    <mergeCell ref="D16:E16"/>
    <mergeCell ref="A1:M1"/>
    <mergeCell ref="A13:A14"/>
    <mergeCell ref="C13:H13"/>
    <mergeCell ref="D28:E28"/>
    <mergeCell ref="A23:A24"/>
    <mergeCell ref="D18:E18"/>
    <mergeCell ref="C3:H3"/>
    <mergeCell ref="I23:M23"/>
    <mergeCell ref="D25:E25"/>
    <mergeCell ref="D30:E30"/>
    <mergeCell ref="D24:E24"/>
    <mergeCell ref="D15:E15"/>
    <mergeCell ref="D29:E29"/>
    <mergeCell ref="D14:E14"/>
    <mergeCell ref="I13:M13"/>
    <mergeCell ref="D26:E26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zoomScaleNormal="100" workbookViewId="0">
      <selection activeCell="C2" sqref="A2:XFD2"/>
    </sheetView>
  </sheetViews>
  <sheetFormatPr baseColWidth="10" defaultColWidth="11.5" defaultRowHeight="16"/>
  <cols>
    <col width="66.83203125" customWidth="1" min="1" max="1"/>
    <col width="11.1640625" bestFit="1" customWidth="1" min="2" max="2"/>
    <col width="51.6640625" customWidth="1" min="3" max="3"/>
    <col width="19.1640625" bestFit="1" customWidth="1" min="4" max="4"/>
    <col width="35.6640625" bestFit="1" customWidth="1" min="5" max="5"/>
    <col width="13" bestFit="1" customWidth="1" min="6" max="6"/>
    <col width="10" bestFit="1" customWidth="1" style="37" min="7" max="7"/>
    <col width="18.5" bestFit="1" customWidth="1" style="37" min="8" max="8"/>
    <col width="15.83203125" bestFit="1" customWidth="1" style="37" min="9" max="9"/>
    <col width="15.83203125" customWidth="1" style="37" min="10" max="10"/>
    <col width="18.1640625" bestFit="1" customWidth="1" style="37" min="11" max="11"/>
    <col width="12.83203125" bestFit="1" customWidth="1" style="37" min="12" max="12"/>
    <col width="21.5" bestFit="1" customWidth="1" style="37" min="13" max="13"/>
    <col width="18.83203125" bestFit="1" customWidth="1" style="37" min="14" max="14"/>
    <col width="18.83203125" customWidth="1" style="37" min="15" max="15"/>
    <col width="21" bestFit="1" customWidth="1" style="37" min="16" max="16"/>
    <col width="15.6640625" bestFit="1" customWidth="1" style="37" min="17" max="17"/>
    <col width="24.33203125" bestFit="1" customWidth="1" style="37" min="18" max="18"/>
    <col width="21.83203125" bestFit="1" customWidth="1" style="37" min="19" max="19"/>
    <col width="21.83203125" customWidth="1" style="37" min="20" max="20"/>
    <col width="24" bestFit="1" customWidth="1" style="37" min="21" max="21"/>
    <col width="16.83203125" bestFit="1" customWidth="1" style="37" min="22" max="22"/>
    <col width="25.33203125" bestFit="1" customWidth="1" style="37" min="23" max="23"/>
    <col width="22.83203125" bestFit="1" customWidth="1" style="37" min="24" max="24"/>
    <col width="22.83203125" customWidth="1" style="37" min="25" max="25"/>
    <col width="25" bestFit="1" customWidth="1" style="37" min="26" max="26"/>
    <col width="17.83203125" bestFit="1" customWidth="1" style="37" min="27" max="27"/>
    <col width="26.33203125" bestFit="1" customWidth="1" style="37" min="28" max="28"/>
    <col width="23.83203125" bestFit="1" customWidth="1" style="37" min="29" max="29"/>
    <col width="23.83203125" customWidth="1" style="37" min="30" max="30"/>
    <col width="26" bestFit="1" customWidth="1" style="37" min="31" max="31"/>
    <col width="13.83203125" bestFit="1" customWidth="1" style="37" min="32" max="32"/>
    <col width="22.5" bestFit="1" customWidth="1" style="37" min="33" max="33"/>
    <col width="19.83203125" bestFit="1" customWidth="1" style="37" min="34" max="34"/>
    <col width="19.83203125" customWidth="1" style="37" min="35" max="35"/>
    <col width="22.1640625" bestFit="1" customWidth="1" style="37" min="36" max="36"/>
    <col width="10.83203125" customWidth="1" style="37" min="37" max="41"/>
  </cols>
  <sheetData>
    <row r="1">
      <c r="G1" s="37">
        <f>+SUM(G3:G9999)</f>
        <v/>
      </c>
    </row>
    <row r="2">
      <c r="A2" t="inlineStr">
        <is>
          <t>risk_name</t>
        </is>
      </c>
      <c r="B2" t="inlineStr">
        <is>
          <t>vaz_code</t>
        </is>
      </c>
      <c r="C2" t="inlineStr">
        <is>
          <t>vaz_name</t>
        </is>
      </c>
      <c r="D2" t="inlineStr">
        <is>
          <t>foydalanuvchi_soni</t>
        </is>
      </c>
      <c r="E2" t="inlineStr">
        <is>
          <t>user_fio</t>
        </is>
      </c>
      <c r="F2" t="inlineStr">
        <is>
          <t>oxitgi_ishlagan</t>
        </is>
      </c>
      <c r="G2" s="94" t="inlineStr">
        <is>
          <t>aniqlangan</t>
        </is>
      </c>
      <c r="H2" s="94" t="inlineStr">
        <is>
          <t>nazoratga_olinmagan</t>
        </is>
      </c>
      <c r="I2" s="94" t="inlineStr">
        <is>
          <t>nazoratga_olingan</t>
        </is>
      </c>
      <c r="J2" s="94" t="inlineStr">
        <is>
          <t>nazoratdan_echishga_kelgan</t>
        </is>
      </c>
      <c r="K2" s="94" t="inlineStr">
        <is>
          <t>nazoratdan_echilgan</t>
        </is>
      </c>
      <c r="L2" s="95" t="inlineStr">
        <is>
          <t>aniqlangan_16</t>
        </is>
      </c>
      <c r="M2" s="95" t="inlineStr">
        <is>
          <t>nazoratga_olinmagan_16</t>
        </is>
      </c>
      <c r="N2" s="95" t="inlineStr">
        <is>
          <t>nazoratga_olingan_16</t>
        </is>
      </c>
      <c r="O2" s="95" t="inlineStr">
        <is>
          <t>nazoratdan_echishga_kelgan_16</t>
        </is>
      </c>
      <c r="P2" s="95" t="inlineStr">
        <is>
          <t>nazoratdan_echilgan_16</t>
        </is>
      </c>
      <c r="Q2" s="96" t="inlineStr">
        <is>
          <t>aniqlangan_10_30</t>
        </is>
      </c>
      <c r="R2" s="96" t="inlineStr">
        <is>
          <t>nazoratga_olinmagan_10_30</t>
        </is>
      </c>
      <c r="S2" s="96" t="inlineStr">
        <is>
          <t>nazoratga_olingan_10_30</t>
        </is>
      </c>
      <c r="T2" s="96" t="inlineStr">
        <is>
          <t>nazoratdan_echishga_kelgan_10_30</t>
        </is>
      </c>
      <c r="U2" s="96" t="inlineStr">
        <is>
          <t>nazoratdan_echilgan_10_30</t>
        </is>
      </c>
      <c r="V2" s="97" t="inlineStr">
        <is>
          <t>aniqlangan_30_180</t>
        </is>
      </c>
      <c r="W2" s="97" t="inlineStr">
        <is>
          <t>nazoratga_olinmagan_30_180</t>
        </is>
      </c>
      <c r="X2" s="97" t="inlineStr">
        <is>
          <t>nazoratga_olingan_30_180</t>
        </is>
      </c>
      <c r="Y2" s="97" t="inlineStr">
        <is>
          <t>nazoratdan_echishga_kelgan_30_180</t>
        </is>
      </c>
      <c r="Z2" s="97" t="inlineStr">
        <is>
          <t>nazoratdan_echilgan_30_180</t>
        </is>
      </c>
      <c r="AA2" s="98" t="inlineStr">
        <is>
          <t>aniqlangan_180_365</t>
        </is>
      </c>
      <c r="AB2" s="98" t="inlineStr">
        <is>
          <t>nazoratga_olinmagan_180_365</t>
        </is>
      </c>
      <c r="AC2" s="98" t="inlineStr">
        <is>
          <t>nazoratga_olingan_180_365</t>
        </is>
      </c>
      <c r="AD2" s="98" t="inlineStr">
        <is>
          <t>nazoratdan_echishga_kelgan_180_365</t>
        </is>
      </c>
      <c r="AE2" s="98" t="inlineStr">
        <is>
          <t>nazoratdan_echilgan_180_365</t>
        </is>
      </c>
      <c r="AF2" s="99" t="inlineStr">
        <is>
          <t>aniqlangan_365</t>
        </is>
      </c>
      <c r="AG2" s="99" t="inlineStr">
        <is>
          <t>nazoratga_olinmagan_365</t>
        </is>
      </c>
      <c r="AH2" s="99" t="inlineStr">
        <is>
          <t>nazoratga_olingan_365</t>
        </is>
      </c>
      <c r="AI2" s="99" t="inlineStr">
        <is>
          <t>nazoratdan_echishga_kelgan_365</t>
        </is>
      </c>
      <c r="AJ2" s="99" t="inlineStr">
        <is>
          <t>nazoratdan_echilgan_365</t>
        </is>
      </c>
    </row>
  </sheetData>
  <autoFilter ref="A2:AR1474"/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Atoev Asliddin</dc:creator>
  <dcterms:created xsi:type="dcterms:W3CDTF">2025-05-12T09:57:34Z</dcterms:created>
  <dcterms:modified xsi:type="dcterms:W3CDTF">2026-07-15T11:06:40Z</dcterms:modified>
  <cp:lastModifiedBy>Asliddin</cp:lastModifiedBy>
</cp:coreProperties>
</file>
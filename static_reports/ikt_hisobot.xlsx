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hisobpalatasi/Documents/OLD/!!! MacBook/AsProUz/Кунлик маълумот/"/>
    </mc:Choice>
  </mc:AlternateContent>
  <xr:revisionPtr revIDLastSave="0" documentId="13_ncr:1_{A3D89CA6-A35A-FA4A-8C92-3218B8D1679C}" xr6:coauthVersionLast="47" xr6:coauthVersionMax="47" xr10:uidLastSave="{00000000-0000-0000-0000-000000000000}"/>
  <bookViews>
    <workbookView xWindow="-120" yWindow="600" windowWidth="38520" windowHeight="19420" tabRatio="788" activeTab="2" xr2:uid="{00000000-000D-0000-FFFF-FFFF00000000}"/>
  </bookViews>
  <sheets>
    <sheet name="тахлил" sheetId="9" state="hidden" r:id="rId1"/>
    <sheet name="Микросервис (2025-05-24)" sheetId="13" state="hidden" r:id="rId2"/>
    <sheet name="Свод" sheetId="1" r:id="rId3"/>
    <sheet name="ИИ" sheetId="10" r:id="rId4"/>
    <sheet name="Муаммолик АПИ" sheetId="6" state="hidden" r:id="rId5"/>
    <sheet name="Микросервис" sheetId="5" r:id="rId6"/>
    <sheet name="Микросервис (2)" sheetId="12" state="hidden" r:id="rId7"/>
    <sheet name="Ташқи манба" sheetId="11" r:id="rId8"/>
    <sheet name="Риск йўналишлари" sheetId="4" state="hidden" r:id="rId9"/>
    <sheet name="Риск йўналишлари (1)" sheetId="14" state="hidden" r:id="rId10"/>
    <sheet name="Микросервис (эски)" sheetId="2" state="hidden" r:id="rId11"/>
    <sheet name="Риск йўналишлари (Ход. Кес.)" sheetId="7" state="hidden" r:id="rId12"/>
    <sheet name="Узинфоком ходимлари" sheetId="8" state="hidden" r:id="rId13"/>
  </sheets>
  <definedNames>
    <definedName name="_xlnm._FilterDatabase" localSheetId="3" hidden="1">ИИ!$A$3:$C$3</definedName>
    <definedName name="_xlnm._FilterDatabase" localSheetId="5" hidden="1">Микросервис!$A$3:$N$188</definedName>
    <definedName name="_xlnm._FilterDatabase" localSheetId="6" hidden="1">'Микросервис (2)'!$A$5:$J$255</definedName>
    <definedName name="_xlnm._FilterDatabase" localSheetId="1" hidden="1">'Микросервис (2025-05-24)'!$A$3:$N$3</definedName>
    <definedName name="_xlnm._FilterDatabase" localSheetId="10" hidden="1">'Микросервис (эски)'!$A$3:$D$125</definedName>
    <definedName name="_xlnm._FilterDatabase" localSheetId="4" hidden="1">'Муаммолик АПИ'!$A$3:$K$3</definedName>
    <definedName name="_xlnm._FilterDatabase" localSheetId="8" hidden="1">'Риск йўналишлари'!$A$3:$I$59</definedName>
    <definedName name="_xlnm._FilterDatabase" localSheetId="9" hidden="1">'Риск йўналишлари (1)'!$A$3:$Q$88</definedName>
    <definedName name="_xlnm._FilterDatabase" localSheetId="11" hidden="1">'Риск йўналишлари (Ход. Кес.)'!#REF!</definedName>
    <definedName name="_xlnm._FilterDatabase" localSheetId="2" hidden="1">Свод!$A$6:$N$6</definedName>
    <definedName name="_xlnm._FilterDatabase" localSheetId="0" hidden="1">тахлил!$A$1:$P$301</definedName>
    <definedName name="_xlnm._FilterDatabase" localSheetId="7" hidden="1">'Ташқи манба'!$A$3:$D$3</definedName>
    <definedName name="_xlnm.Print_Titles" localSheetId="5">Микросервис!$3:$3</definedName>
    <definedName name="_xlnm.Print_Titles" localSheetId="1">'Микросервис (2025-05-24)'!$3:$3</definedName>
    <definedName name="_xlnm.Print_Titles" localSheetId="4">'Муаммолик АПИ'!$3:$3</definedName>
    <definedName name="_xlnm.Print_Titles" localSheetId="8">'Риск йўналишлари'!$3:$3</definedName>
    <definedName name="_xlnm.Print_Titles" localSheetId="9">'Риск йўналишлари (1)'!$3:$3</definedName>
    <definedName name="_xlnm.Print_Titles" localSheetId="11">'Риск йўналишлари (Ход. Кес.)'!$4:$4</definedName>
    <definedName name="_xlnm.Print_Titles" localSheetId="2">Свод!$4:$5</definedName>
    <definedName name="_xlnm.Print_Titles" localSheetId="7">'Ташқи манба'!$3:$3</definedName>
    <definedName name="_xlnm.Print_Area" localSheetId="5">Микросервис!$A$1:$D$188</definedName>
    <definedName name="_xlnm.Print_Area" localSheetId="6">'Микросервис (2)'!$A$1:$H$255</definedName>
    <definedName name="_xlnm.Print_Area" localSheetId="1">'Микросервис (2025-05-24)'!$A$1:$E$135</definedName>
    <definedName name="_xlnm.Print_Area" localSheetId="10">'Микросервис (эски)'!$A$1:$D$127</definedName>
    <definedName name="_xlnm.Print_Area" localSheetId="4">'Муаммолик АПИ'!$A$1:$G$85</definedName>
    <definedName name="_xlnm.Print_Area" localSheetId="8">'Риск йўналишлари'!$A$1:$I$58</definedName>
    <definedName name="_xlnm.Print_Area" localSheetId="9">'Риск йўналишлари (1)'!$A$1:$L$88</definedName>
    <definedName name="_xlnm.Print_Area" localSheetId="11">'Риск йўналишлари (Ход. Кес.)'!$A$1:$E$32</definedName>
    <definedName name="_xlnm.Print_Area" localSheetId="2">Свод!$A$1:$N$81</definedName>
    <definedName name="_xlnm.Print_Area" localSheetId="7">'Ташқи манба'!$A$1:$D$610</definedName>
    <definedName name="_xlnm.Print_Area" localSheetId="12">'Узинфоком ходимлари'!$A$1:$D$26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 l="1"/>
  <c r="F6" i="1"/>
  <c r="E6" i="1"/>
  <c r="D6" i="1"/>
  <c r="K80" i="1"/>
  <c r="J80" i="1"/>
  <c r="I80" i="1"/>
  <c r="H80" i="1"/>
  <c r="K79" i="1"/>
  <c r="J79" i="1"/>
  <c r="I79" i="1"/>
  <c r="H79" i="1"/>
  <c r="K78" i="1"/>
  <c r="J78" i="1"/>
  <c r="I78" i="1"/>
  <c r="H78" i="1"/>
  <c r="K77" i="1"/>
  <c r="J77" i="1"/>
  <c r="I77" i="1"/>
  <c r="H77" i="1"/>
  <c r="G76" i="1"/>
  <c r="F76" i="1"/>
  <c r="E76" i="1"/>
  <c r="D76" i="1"/>
  <c r="A5" i="11"/>
  <c r="B606" i="11"/>
  <c r="B607" i="11" s="1"/>
  <c r="B608" i="11" s="1"/>
  <c r="B609" i="11" s="1"/>
  <c r="B610" i="11" s="1"/>
  <c r="B601" i="11"/>
  <c r="B602" i="11" s="1"/>
  <c r="B603" i="11" s="1"/>
  <c r="B604" i="11" s="1"/>
  <c r="B592" i="11"/>
  <c r="B593" i="11" s="1"/>
  <c r="B594" i="11" s="1"/>
  <c r="B595" i="11" s="1"/>
  <c r="B596" i="11" s="1"/>
  <c r="B597" i="11" s="1"/>
  <c r="B598" i="11" s="1"/>
  <c r="B599" i="11" s="1"/>
  <c r="B590" i="11"/>
  <c r="B588" i="11"/>
  <c r="B580" i="11"/>
  <c r="B581" i="11" s="1"/>
  <c r="B582" i="11" s="1"/>
  <c r="B583" i="11" s="1"/>
  <c r="B584" i="11" s="1"/>
  <c r="B585" i="11" s="1"/>
  <c r="B586" i="11" s="1"/>
  <c r="B574" i="11"/>
  <c r="B575" i="11" s="1"/>
  <c r="B576" i="11" s="1"/>
  <c r="B577" i="11" s="1"/>
  <c r="B578" i="11" s="1"/>
  <c r="B571" i="11"/>
  <c r="B572" i="11" s="1"/>
  <c r="B567" i="11"/>
  <c r="B568" i="11" s="1"/>
  <c r="B569" i="11" s="1"/>
  <c r="B563" i="11"/>
  <c r="B564" i="11" s="1"/>
  <c r="B565" i="11" s="1"/>
  <c r="B559" i="11"/>
  <c r="B560" i="11" s="1"/>
  <c r="B561" i="11" s="1"/>
  <c r="B556" i="11"/>
  <c r="B557" i="11" s="1"/>
  <c r="B553" i="11"/>
  <c r="B554" i="11" s="1"/>
  <c r="B547" i="11"/>
  <c r="B548" i="11" s="1"/>
  <c r="B549" i="11" s="1"/>
  <c r="B550" i="11" s="1"/>
  <c r="B551" i="11" s="1"/>
  <c r="B543" i="11"/>
  <c r="B544" i="11" s="1"/>
  <c r="B545" i="11" s="1"/>
  <c r="B542" i="11"/>
  <c r="B537" i="11"/>
  <c r="B538" i="11" s="1"/>
  <c r="B539" i="11" s="1"/>
  <c r="B540" i="11" s="1"/>
  <c r="B528" i="11"/>
  <c r="B529" i="11" s="1"/>
  <c r="B530" i="11" s="1"/>
  <c r="B531" i="11" s="1"/>
  <c r="B532" i="11" s="1"/>
  <c r="B533" i="11" s="1"/>
  <c r="B534" i="11" s="1"/>
  <c r="B535" i="11" s="1"/>
  <c r="B526" i="11"/>
  <c r="B524" i="11"/>
  <c r="B521" i="11"/>
  <c r="B522" i="11" s="1"/>
  <c r="B516" i="11"/>
  <c r="B517" i="11" s="1"/>
  <c r="B518" i="11" s="1"/>
  <c r="B519" i="11" s="1"/>
  <c r="B514" i="11"/>
  <c r="B511" i="11"/>
  <c r="B512" i="11" s="1"/>
  <c r="B509" i="11"/>
  <c r="B506" i="11"/>
  <c r="B507" i="11" s="1"/>
  <c r="B499" i="11"/>
  <c r="B500" i="11" s="1"/>
  <c r="B501" i="11" s="1"/>
  <c r="B502" i="11" s="1"/>
  <c r="B503" i="11" s="1"/>
  <c r="B504" i="11" s="1"/>
  <c r="B495" i="11"/>
  <c r="B496" i="11" s="1"/>
  <c r="B497" i="11" s="1"/>
  <c r="B492" i="11"/>
  <c r="B493" i="11" s="1"/>
  <c r="B489" i="11"/>
  <c r="B490" i="11" s="1"/>
  <c r="B486" i="11"/>
  <c r="B487" i="11" s="1"/>
  <c r="B483" i="11"/>
  <c r="B484" i="11" s="1"/>
  <c r="B480" i="11"/>
  <c r="B481" i="11" s="1"/>
  <c r="B477" i="11"/>
  <c r="B478" i="11" s="1"/>
  <c r="B474" i="11"/>
  <c r="B475" i="11" s="1"/>
  <c r="B471" i="11"/>
  <c r="B472" i="11" s="1"/>
  <c r="B469" i="11"/>
  <c r="B466" i="11"/>
  <c r="B467" i="11" s="1"/>
  <c r="B462" i="11"/>
  <c r="B463" i="11" s="1"/>
  <c r="B464" i="11" s="1"/>
  <c r="B458" i="11"/>
  <c r="B459" i="11" s="1"/>
  <c r="B460" i="11" s="1"/>
  <c r="B452" i="11"/>
  <c r="B453" i="11" s="1"/>
  <c r="B454" i="11" s="1"/>
  <c r="B455" i="11" s="1"/>
  <c r="B456" i="11" s="1"/>
  <c r="B449" i="11"/>
  <c r="B450" i="11" s="1"/>
  <c r="B447" i="11"/>
  <c r="B443" i="11"/>
  <c r="B444" i="11" s="1"/>
  <c r="B445" i="11" s="1"/>
  <c r="B438" i="11"/>
  <c r="B439" i="11" s="1"/>
  <c r="B440" i="11" s="1"/>
  <c r="B441" i="11" s="1"/>
  <c r="B433" i="11"/>
  <c r="B434" i="11" s="1"/>
  <c r="B435" i="11" s="1"/>
  <c r="B436" i="11" s="1"/>
  <c r="B429" i="11"/>
  <c r="B430" i="11" s="1"/>
  <c r="B431" i="11" s="1"/>
  <c r="B427" i="11"/>
  <c r="B417" i="11"/>
  <c r="B418" i="11" s="1"/>
  <c r="B419" i="11" s="1"/>
  <c r="B420" i="11" s="1"/>
  <c r="B421" i="11" s="1"/>
  <c r="B422" i="11" s="1"/>
  <c r="B423" i="11" s="1"/>
  <c r="B424" i="11" s="1"/>
  <c r="B425" i="11" s="1"/>
  <c r="B414" i="11"/>
  <c r="B415" i="11" s="1"/>
  <c r="B411" i="11"/>
  <c r="B412" i="11" s="1"/>
  <c r="B409" i="11"/>
  <c r="B406" i="11"/>
  <c r="B407" i="11" s="1"/>
  <c r="B397" i="11"/>
  <c r="B398" i="11" s="1"/>
  <c r="B399" i="11" s="1"/>
  <c r="B400" i="11" s="1"/>
  <c r="B401" i="11" s="1"/>
  <c r="B402" i="11" s="1"/>
  <c r="B403" i="11" s="1"/>
  <c r="B404" i="11" s="1"/>
  <c r="B393" i="11"/>
  <c r="B394" i="11" s="1"/>
  <c r="B395" i="11" s="1"/>
  <c r="B388" i="11"/>
  <c r="B389" i="11" s="1"/>
  <c r="B390" i="11" s="1"/>
  <c r="B391" i="11" s="1"/>
  <c r="B382" i="11"/>
  <c r="B383" i="11" s="1"/>
  <c r="B384" i="11" s="1"/>
  <c r="B385" i="11" s="1"/>
  <c r="B386" i="11" s="1"/>
  <c r="B380" i="11"/>
  <c r="B378" i="11"/>
  <c r="B363" i="11"/>
  <c r="B364" i="11" s="1"/>
  <c r="B365" i="11" s="1"/>
  <c r="B366" i="11" s="1"/>
  <c r="B367" i="11" s="1"/>
  <c r="B368" i="11" s="1"/>
  <c r="B369" i="11" s="1"/>
  <c r="B370" i="11" s="1"/>
  <c r="B371" i="11" s="1"/>
  <c r="B372" i="11" s="1"/>
  <c r="B373" i="11" s="1"/>
  <c r="B374" i="11" s="1"/>
  <c r="B375" i="11" s="1"/>
  <c r="B376" i="11" s="1"/>
  <c r="B360" i="11"/>
  <c r="B361" i="11" s="1"/>
  <c r="B355" i="11"/>
  <c r="B356" i="11" s="1"/>
  <c r="B357" i="11" s="1"/>
  <c r="B358" i="11" s="1"/>
  <c r="B341" i="11"/>
  <c r="B342" i="11" s="1"/>
  <c r="B343" i="11" s="1"/>
  <c r="B344" i="11" s="1"/>
  <c r="B345" i="11" s="1"/>
  <c r="B346" i="11" s="1"/>
  <c r="B347" i="11" s="1"/>
  <c r="B348" i="11" s="1"/>
  <c r="B349" i="11" s="1"/>
  <c r="B350" i="11" s="1"/>
  <c r="B351" i="11" s="1"/>
  <c r="B352" i="11" s="1"/>
  <c r="B353" i="11" s="1"/>
  <c r="B334" i="11"/>
  <c r="B335" i="11" s="1"/>
  <c r="B336" i="11" s="1"/>
  <c r="B337" i="11" s="1"/>
  <c r="B338" i="11" s="1"/>
  <c r="B339" i="11" s="1"/>
  <c r="B329" i="11"/>
  <c r="B330" i="11" s="1"/>
  <c r="B331" i="11" s="1"/>
  <c r="B332" i="11" s="1"/>
  <c r="B319" i="11"/>
  <c r="B320" i="11" s="1"/>
  <c r="B321" i="11" s="1"/>
  <c r="B322" i="11" s="1"/>
  <c r="B323" i="11" s="1"/>
  <c r="B324" i="11" s="1"/>
  <c r="B325" i="11" s="1"/>
  <c r="B326" i="11" s="1"/>
  <c r="B327" i="11" s="1"/>
  <c r="B312" i="11"/>
  <c r="B313" i="11" s="1"/>
  <c r="B314" i="11" s="1"/>
  <c r="B315" i="11" s="1"/>
  <c r="B316" i="11" s="1"/>
  <c r="B317" i="11" s="1"/>
  <c r="B309" i="11"/>
  <c r="B310" i="11" s="1"/>
  <c r="B304" i="11"/>
  <c r="B305" i="11" s="1"/>
  <c r="B306" i="11" s="1"/>
  <c r="B307" i="11" s="1"/>
  <c r="B230" i="11"/>
  <c r="B231" i="11" s="1"/>
  <c r="B232" i="11" s="1"/>
  <c r="B233" i="11" s="1"/>
  <c r="B234" i="11" s="1"/>
  <c r="B235" i="11" s="1"/>
  <c r="B236" i="11" s="1"/>
  <c r="B237" i="11" s="1"/>
  <c r="B238" i="11" s="1"/>
  <c r="B239" i="11" s="1"/>
  <c r="B240" i="11" s="1"/>
  <c r="B241" i="11" s="1"/>
  <c r="B242" i="11" s="1"/>
  <c r="B243" i="11" s="1"/>
  <c r="B244" i="11" s="1"/>
  <c r="B245" i="11" s="1"/>
  <c r="B246" i="11" s="1"/>
  <c r="B247" i="11" s="1"/>
  <c r="B248" i="11" s="1"/>
  <c r="B249" i="11" s="1"/>
  <c r="B250" i="11" s="1"/>
  <c r="B251" i="11" s="1"/>
  <c r="B252" i="11" s="1"/>
  <c r="B253" i="11" s="1"/>
  <c r="B254" i="11" s="1"/>
  <c r="B255" i="11" s="1"/>
  <c r="B256" i="11" s="1"/>
  <c r="B257" i="11" s="1"/>
  <c r="B258" i="11" s="1"/>
  <c r="B259" i="11" s="1"/>
  <c r="B260" i="11" s="1"/>
  <c r="B261" i="11" s="1"/>
  <c r="B262" i="11" s="1"/>
  <c r="B263" i="11" s="1"/>
  <c r="B264" i="11" s="1"/>
  <c r="B265" i="11" s="1"/>
  <c r="B266" i="11" s="1"/>
  <c r="B267" i="11" s="1"/>
  <c r="B268" i="11" s="1"/>
  <c r="B269" i="11" s="1"/>
  <c r="B270" i="11" s="1"/>
  <c r="B271" i="11" s="1"/>
  <c r="B272" i="11" s="1"/>
  <c r="B273" i="11" s="1"/>
  <c r="B274" i="11" s="1"/>
  <c r="B275" i="11" s="1"/>
  <c r="B276" i="11" s="1"/>
  <c r="B277" i="11" s="1"/>
  <c r="B278" i="11" s="1"/>
  <c r="B279" i="11" s="1"/>
  <c r="B280" i="11" s="1"/>
  <c r="B281" i="11" s="1"/>
  <c r="B282" i="11" s="1"/>
  <c r="B283" i="11" s="1"/>
  <c r="B284" i="11" s="1"/>
  <c r="B285" i="11" s="1"/>
  <c r="B286" i="11" s="1"/>
  <c r="B287" i="11" s="1"/>
  <c r="B224" i="11"/>
  <c r="B225" i="11" s="1"/>
  <c r="B226" i="11" s="1"/>
  <c r="B227" i="11" s="1"/>
  <c r="B228" i="11" s="1"/>
  <c r="B215" i="11"/>
  <c r="B216" i="11" s="1"/>
  <c r="B217" i="11" s="1"/>
  <c r="B218" i="11" s="1"/>
  <c r="B219" i="11" s="1"/>
  <c r="B220" i="11" s="1"/>
  <c r="B221" i="11" s="1"/>
  <c r="B222" i="11" s="1"/>
  <c r="B206" i="11"/>
  <c r="B207" i="11" s="1"/>
  <c r="B208" i="11" s="1"/>
  <c r="B209" i="11" s="1"/>
  <c r="B210" i="11" s="1"/>
  <c r="B211" i="11" s="1"/>
  <c r="B212" i="11" s="1"/>
  <c r="B213" i="11" s="1"/>
  <c r="B198" i="11"/>
  <c r="B199" i="11" s="1"/>
  <c r="B200" i="11" s="1"/>
  <c r="B201" i="11" s="1"/>
  <c r="B202" i="11" s="1"/>
  <c r="B203" i="11" s="1"/>
  <c r="B204" i="11" s="1"/>
  <c r="B194" i="11"/>
  <c r="B195" i="11" s="1"/>
  <c r="B196" i="11" s="1"/>
  <c r="B185" i="11"/>
  <c r="B186" i="11" s="1"/>
  <c r="B187" i="11" s="1"/>
  <c r="B188" i="11" s="1"/>
  <c r="B189" i="11" s="1"/>
  <c r="B190" i="11" s="1"/>
  <c r="B191" i="11" s="1"/>
  <c r="B192" i="11" s="1"/>
  <c r="B175" i="11"/>
  <c r="B176" i="11" s="1"/>
  <c r="B177" i="11" s="1"/>
  <c r="B178" i="11" s="1"/>
  <c r="B179" i="11" s="1"/>
  <c r="B180" i="11" s="1"/>
  <c r="B181" i="11" s="1"/>
  <c r="B182" i="11" s="1"/>
  <c r="B183" i="11" s="1"/>
  <c r="B162" i="11"/>
  <c r="B163" i="11" s="1"/>
  <c r="B164" i="11" s="1"/>
  <c r="B165" i="11" s="1"/>
  <c r="B166" i="11" s="1"/>
  <c r="B167" i="11" s="1"/>
  <c r="B168" i="11" s="1"/>
  <c r="B169" i="11" s="1"/>
  <c r="B170" i="11" s="1"/>
  <c r="B171" i="11" s="1"/>
  <c r="B172" i="11" s="1"/>
  <c r="B173" i="11" s="1"/>
  <c r="B150" i="11"/>
  <c r="B151" i="11" s="1"/>
  <c r="B152" i="11" s="1"/>
  <c r="B153" i="11" s="1"/>
  <c r="B154" i="11" s="1"/>
  <c r="B155" i="11" s="1"/>
  <c r="B156" i="11" s="1"/>
  <c r="B157" i="11" s="1"/>
  <c r="B158" i="11" s="1"/>
  <c r="B159" i="11" s="1"/>
  <c r="B160" i="11" s="1"/>
  <c r="B143" i="11"/>
  <c r="B144" i="11" s="1"/>
  <c r="B145" i="11" s="1"/>
  <c r="B146" i="11" s="1"/>
  <c r="B147" i="11" s="1"/>
  <c r="B148" i="11" s="1"/>
  <c r="B107" i="11"/>
  <c r="B108" i="11" s="1"/>
  <c r="B109" i="11" s="1"/>
  <c r="B110" i="11" s="1"/>
  <c r="B111" i="11" s="1"/>
  <c r="B112" i="11" s="1"/>
  <c r="B113" i="11" s="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B103" i="11"/>
  <c r="B104" i="11" s="1"/>
  <c r="B105" i="11" s="1"/>
  <c r="B84" i="11"/>
  <c r="B85" i="11" s="1"/>
  <c r="B86" i="11" s="1"/>
  <c r="B87" i="11" s="1"/>
  <c r="B88" i="11" s="1"/>
  <c r="B89" i="11" s="1"/>
  <c r="B90" i="11" s="1"/>
  <c r="B91" i="11" s="1"/>
  <c r="B92" i="11" s="1"/>
  <c r="B93" i="11" s="1"/>
  <c r="B94" i="11" s="1"/>
  <c r="B95" i="11" s="1"/>
  <c r="B96" i="11" s="1"/>
  <c r="B97" i="11" s="1"/>
  <c r="B98" i="11" s="1"/>
  <c r="B99" i="11" s="1"/>
  <c r="B100" i="11" s="1"/>
  <c r="B101" i="11" s="1"/>
  <c r="B75" i="11"/>
  <c r="B76" i="11" s="1"/>
  <c r="B77" i="11" s="1"/>
  <c r="B78" i="11" s="1"/>
  <c r="B79" i="11" s="1"/>
  <c r="B80" i="11" s="1"/>
  <c r="B81" i="11" s="1"/>
  <c r="B82" i="11" s="1"/>
  <c r="B63" i="11"/>
  <c r="B64" i="11" s="1"/>
  <c r="B65" i="11" s="1"/>
  <c r="B66" i="11" s="1"/>
  <c r="B67" i="11" s="1"/>
  <c r="B68" i="11" s="1"/>
  <c r="B69" i="11" s="1"/>
  <c r="B70" i="11" s="1"/>
  <c r="B71" i="11" s="1"/>
  <c r="B72" i="11" s="1"/>
  <c r="B73" i="11" s="1"/>
  <c r="B54" i="11"/>
  <c r="B55" i="11" s="1"/>
  <c r="B56" i="11" s="1"/>
  <c r="B57" i="11" s="1"/>
  <c r="B58" i="11" s="1"/>
  <c r="B59" i="11" s="1"/>
  <c r="B60" i="11" s="1"/>
  <c r="B61" i="11" s="1"/>
  <c r="B47" i="11"/>
  <c r="B48" i="11" s="1"/>
  <c r="B49" i="11" s="1"/>
  <c r="B50" i="11" s="1"/>
  <c r="B51" i="11" s="1"/>
  <c r="B52" i="11" s="1"/>
  <c r="B30" i="11"/>
  <c r="B31" i="11" s="1"/>
  <c r="B32" i="11" s="1"/>
  <c r="B33" i="11" s="1"/>
  <c r="B34" i="11" s="1"/>
  <c r="B35" i="11" s="1"/>
  <c r="B36" i="11" s="1"/>
  <c r="B37" i="11" s="1"/>
  <c r="B38" i="11" s="1"/>
  <c r="B39" i="11" s="1"/>
  <c r="B40" i="11" s="1"/>
  <c r="B41" i="11" s="1"/>
  <c r="B42" i="11" s="1"/>
  <c r="B43" i="11" s="1"/>
  <c r="B44" i="11" s="1"/>
  <c r="B45" i="11" s="1"/>
  <c r="B19" i="11"/>
  <c r="B20" i="11" s="1"/>
  <c r="B21" i="11" s="1"/>
  <c r="B22" i="11" s="1"/>
  <c r="B23" i="11" s="1"/>
  <c r="B24" i="11" s="1"/>
  <c r="B25" i="11" s="1"/>
  <c r="B26" i="11" s="1"/>
  <c r="B27" i="11" s="1"/>
  <c r="B28" i="11" s="1"/>
  <c r="B5" i="11"/>
  <c r="B6" i="11" s="1"/>
  <c r="B7" i="11" s="1"/>
  <c r="B8" i="11" s="1"/>
  <c r="B9" i="11" s="1"/>
  <c r="B10" i="11" s="1"/>
  <c r="B11" i="11" s="1"/>
  <c r="B12" i="11" s="1"/>
  <c r="B13" i="11" s="1"/>
  <c r="B14" i="11" s="1"/>
  <c r="B15" i="11" s="1"/>
  <c r="B16" i="11" s="1"/>
  <c r="B17" i="11" s="1"/>
  <c r="D7" i="1"/>
  <c r="K81" i="1"/>
  <c r="J81" i="1"/>
  <c r="I81" i="1"/>
  <c r="H81" i="1"/>
  <c r="K75" i="1"/>
  <c r="J75" i="1"/>
  <c r="I75" i="1"/>
  <c r="H75" i="1"/>
  <c r="K74" i="1"/>
  <c r="J74" i="1"/>
  <c r="I74" i="1"/>
  <c r="H74" i="1"/>
  <c r="K76" i="1" l="1"/>
  <c r="J76" i="1"/>
  <c r="H76" i="1"/>
  <c r="I76" i="1"/>
  <c r="B289" i="11"/>
  <c r="B288" i="11"/>
  <c r="B290" i="11" s="1"/>
  <c r="B291" i="11" s="1"/>
  <c r="B292" i="11" s="1"/>
  <c r="B293" i="11" s="1"/>
  <c r="B294" i="11" s="1"/>
  <c r="B295" i="11" s="1"/>
  <c r="B296" i="11" s="1"/>
  <c r="B297" i="11" s="1"/>
  <c r="B298" i="11" s="1"/>
  <c r="B299" i="11" s="1"/>
  <c r="B300" i="11" s="1"/>
  <c r="B301" i="11" s="1"/>
  <c r="B302" i="11" s="1"/>
  <c r="A6" i="11"/>
  <c r="A7" i="11" s="1"/>
  <c r="A8" i="11" l="1"/>
  <c r="E14" i="1"/>
  <c r="E13" i="1"/>
  <c r="E12" i="1"/>
  <c r="E11" i="1"/>
  <c r="F14" i="1"/>
  <c r="F13" i="1"/>
  <c r="F12" i="1"/>
  <c r="F11" i="1"/>
  <c r="D14" i="1"/>
  <c r="D13" i="1"/>
  <c r="D12" i="1"/>
  <c r="D11" i="1"/>
  <c r="A5" i="14"/>
  <c r="B88" i="14"/>
  <c r="B79" i="14"/>
  <c r="B80" i="14" s="1"/>
  <c r="B81" i="14" s="1"/>
  <c r="B82" i="14" s="1"/>
  <c r="B83" i="14" s="1"/>
  <c r="B84" i="14" s="1"/>
  <c r="B85" i="14" s="1"/>
  <c r="B86" i="14" s="1"/>
  <c r="B66" i="14"/>
  <c r="B67" i="14" s="1"/>
  <c r="B68" i="14" s="1"/>
  <c r="B69" i="14" s="1"/>
  <c r="B70" i="14" s="1"/>
  <c r="B71" i="14" s="1"/>
  <c r="B72" i="14" s="1"/>
  <c r="B73" i="14" s="1"/>
  <c r="B74" i="14" s="1"/>
  <c r="B75" i="14" s="1"/>
  <c r="B76" i="14" s="1"/>
  <c r="B77" i="14" s="1"/>
  <c r="B60" i="14"/>
  <c r="B61" i="14" s="1"/>
  <c r="B62" i="14" s="1"/>
  <c r="B63" i="14" s="1"/>
  <c r="B64" i="14" s="1"/>
  <c r="B57" i="14"/>
  <c r="B58" i="14" s="1"/>
  <c r="B50" i="14"/>
  <c r="B51" i="14" s="1"/>
  <c r="B52" i="14" s="1"/>
  <c r="B53" i="14" s="1"/>
  <c r="B54" i="14" s="1"/>
  <c r="B55" i="14" s="1"/>
  <c r="B48" i="14"/>
  <c r="B44" i="14"/>
  <c r="B45" i="14" s="1"/>
  <c r="B46" i="14" s="1"/>
  <c r="B20" i="14"/>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5" i="14"/>
  <c r="B6" i="14" s="1"/>
  <c r="B7" i="14" s="1"/>
  <c r="B8" i="14" s="1"/>
  <c r="B9" i="14" s="1"/>
  <c r="B10" i="14" s="1"/>
  <c r="B11" i="14" s="1"/>
  <c r="B12" i="14" s="1"/>
  <c r="B13" i="14" s="1"/>
  <c r="B14" i="14" s="1"/>
  <c r="B15" i="14" s="1"/>
  <c r="B16" i="14" s="1"/>
  <c r="B17" i="14" s="1"/>
  <c r="B18" i="14" s="1"/>
  <c r="A9" i="11" l="1"/>
  <c r="A6" i="14"/>
  <c r="A7" i="14" s="1"/>
  <c r="A10" i="11" l="1"/>
  <c r="A11" i="11"/>
  <c r="A12" i="11" s="1"/>
  <c r="A8" i="14"/>
  <c r="A13" i="11" l="1"/>
  <c r="A14" i="11" s="1"/>
  <c r="A9" i="14"/>
  <c r="A10" i="14" s="1"/>
  <c r="A15" i="11" l="1"/>
  <c r="A11" i="14"/>
  <c r="A12" i="14" s="1"/>
  <c r="A16" i="11" l="1"/>
  <c r="A13" i="14"/>
  <c r="A14" i="14" s="1"/>
  <c r="A15" i="14" s="1"/>
  <c r="A16" i="14" s="1"/>
  <c r="A17" i="11" l="1"/>
  <c r="A17" i="14"/>
  <c r="A19" i="11" l="1"/>
  <c r="A18" i="14"/>
  <c r="A20" i="11" l="1"/>
  <c r="A21" i="11" s="1"/>
  <c r="A22" i="11" s="1"/>
  <c r="A23" i="11" s="1"/>
  <c r="A24" i="11" s="1"/>
  <c r="A25" i="11" s="1"/>
  <c r="A26" i="11" s="1"/>
  <c r="A27" i="11" s="1"/>
  <c r="A28" i="11" s="1"/>
  <c r="A30" i="11" s="1"/>
  <c r="A31" i="11" s="1"/>
  <c r="A32" i="11" s="1"/>
  <c r="A33" i="11" s="1"/>
  <c r="A34" i="11" s="1"/>
  <c r="A35" i="11" s="1"/>
  <c r="A36" i="11" s="1"/>
  <c r="A37" i="11" s="1"/>
  <c r="A38" i="11" s="1"/>
  <c r="A39" i="11" s="1"/>
  <c r="A40" i="11" s="1"/>
  <c r="A41" i="11" s="1"/>
  <c r="A42" i="11" s="1"/>
  <c r="A43" i="11" s="1"/>
  <c r="A44" i="11" s="1"/>
  <c r="A45" i="11" s="1"/>
  <c r="A47" i="11" s="1"/>
  <c r="A48" i="11" s="1"/>
  <c r="A49" i="11" s="1"/>
  <c r="A50" i="11" s="1"/>
  <c r="A51" i="11" s="1"/>
  <c r="A52" i="11" s="1"/>
  <c r="A54" i="11" s="1"/>
  <c r="A55" i="11" s="1"/>
  <c r="A56" i="11" s="1"/>
  <c r="A57" i="11" s="1"/>
  <c r="A58" i="11" s="1"/>
  <c r="A59" i="11" s="1"/>
  <c r="A60" i="11" s="1"/>
  <c r="A61" i="11" s="1"/>
  <c r="A63" i="11" s="1"/>
  <c r="A64" i="11" s="1"/>
  <c r="A65" i="11" s="1"/>
  <c r="A66" i="11" s="1"/>
  <c r="A67" i="11" s="1"/>
  <c r="A68" i="11" s="1"/>
  <c r="A69" i="11" s="1"/>
  <c r="A70" i="11" s="1"/>
  <c r="A71" i="11" s="1"/>
  <c r="A72" i="11" s="1"/>
  <c r="A73" i="11" s="1"/>
  <c r="A75" i="11" s="1"/>
  <c r="A76" i="11" s="1"/>
  <c r="A77" i="11" s="1"/>
  <c r="A78" i="11" s="1"/>
  <c r="A79" i="11" s="1"/>
  <c r="A80" i="11" s="1"/>
  <c r="A81" i="11" s="1"/>
  <c r="A82" i="11" s="1"/>
  <c r="A84" i="11" s="1"/>
  <c r="A85" i="11" s="1"/>
  <c r="A86" i="11" s="1"/>
  <c r="A87" i="11" s="1"/>
  <c r="A88" i="11" s="1"/>
  <c r="A89" i="11" s="1"/>
  <c r="A90" i="11" s="1"/>
  <c r="A91" i="11" s="1"/>
  <c r="A92" i="11" s="1"/>
  <c r="A93" i="11" s="1"/>
  <c r="A94" i="11" s="1"/>
  <c r="A95" i="11" s="1"/>
  <c r="A96" i="11" s="1"/>
  <c r="A97" i="11" s="1"/>
  <c r="A98" i="11" s="1"/>
  <c r="A99" i="11" s="1"/>
  <c r="A100" i="11" s="1"/>
  <c r="A101" i="11" s="1"/>
  <c r="A103" i="11" s="1"/>
  <c r="A104" i="11" s="1"/>
  <c r="A105"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3" i="11" s="1"/>
  <c r="A144" i="11" s="1"/>
  <c r="A145" i="11" s="1"/>
  <c r="A146" i="11" s="1"/>
  <c r="A147" i="11" s="1"/>
  <c r="A148" i="11" s="1"/>
  <c r="A150" i="11" s="1"/>
  <c r="A151" i="11" s="1"/>
  <c r="A152" i="11" s="1"/>
  <c r="A153" i="11" s="1"/>
  <c r="A154" i="11" s="1"/>
  <c r="A155" i="11" s="1"/>
  <c r="A156" i="11" s="1"/>
  <c r="A157" i="11" s="1"/>
  <c r="A158" i="11" s="1"/>
  <c r="A159" i="11" s="1"/>
  <c r="A160" i="11" s="1"/>
  <c r="A162" i="11" s="1"/>
  <c r="A163" i="11" s="1"/>
  <c r="A164" i="11" s="1"/>
  <c r="A165" i="11" s="1"/>
  <c r="A166" i="11" s="1"/>
  <c r="A167" i="11" s="1"/>
  <c r="A168" i="11" s="1"/>
  <c r="A169" i="11" s="1"/>
  <c r="A170" i="11" s="1"/>
  <c r="A171" i="11" s="1"/>
  <c r="A172" i="11" s="1"/>
  <c r="A173" i="11" s="1"/>
  <c r="A175" i="11" s="1"/>
  <c r="A176" i="11" s="1"/>
  <c r="A177" i="11" s="1"/>
  <c r="A178" i="11" s="1"/>
  <c r="A179" i="11" s="1"/>
  <c r="A180" i="11" s="1"/>
  <c r="A181" i="11" s="1"/>
  <c r="A182" i="11" s="1"/>
  <c r="A183" i="11" s="1"/>
  <c r="A185" i="11" s="1"/>
  <c r="A186" i="11" s="1"/>
  <c r="A187" i="11" s="1"/>
  <c r="A188" i="11" s="1"/>
  <c r="A189" i="11" s="1"/>
  <c r="A190" i="11" s="1"/>
  <c r="A191" i="11" s="1"/>
  <c r="A192" i="11" s="1"/>
  <c r="A194" i="11" s="1"/>
  <c r="A195" i="11" s="1"/>
  <c r="A196" i="11" s="1"/>
  <c r="A198" i="11" s="1"/>
  <c r="A199" i="11" s="1"/>
  <c r="A200" i="11" s="1"/>
  <c r="A20" i="14"/>
  <c r="A202" i="11" l="1"/>
  <c r="A201" i="11"/>
  <c r="A203" i="11" s="1"/>
  <c r="A21" i="14"/>
  <c r="A204" i="11" l="1"/>
  <c r="A206" i="11" s="1"/>
  <c r="A207" i="11" s="1"/>
  <c r="A208" i="11" s="1"/>
  <c r="A209" i="11" s="1"/>
  <c r="A210" i="11" s="1"/>
  <c r="A211" i="11" s="1"/>
  <c r="A212" i="11" s="1"/>
  <c r="A213" i="11" s="1"/>
  <c r="A215" i="11" s="1"/>
  <c r="A216" i="11" s="1"/>
  <c r="A217" i="11" s="1"/>
  <c r="A218" i="11" s="1"/>
  <c r="A219" i="11" s="1"/>
  <c r="A220" i="11" s="1"/>
  <c r="A221" i="11" s="1"/>
  <c r="A222" i="11" s="1"/>
  <c r="A224" i="11" s="1"/>
  <c r="A225" i="11" s="1"/>
  <c r="A226" i="11" s="1"/>
  <c r="A227" i="11" s="1"/>
  <c r="A228" i="11" s="1"/>
  <c r="A230" i="11" s="1"/>
  <c r="A231" i="11" s="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A253" i="11" s="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81" i="11" s="1"/>
  <c r="A282" i="11" s="1"/>
  <c r="A283" i="11" s="1"/>
  <c r="A284" i="11" s="1"/>
  <c r="A285" i="11" s="1"/>
  <c r="A286" i="11" s="1"/>
  <c r="A287" i="11" s="1"/>
  <c r="A22" i="14"/>
  <c r="A288" i="11" l="1"/>
  <c r="A290" i="11" s="1"/>
  <c r="A289" i="11"/>
  <c r="A23" i="14"/>
  <c r="A24" i="14" s="1"/>
  <c r="A25" i="14" s="1"/>
  <c r="A26" i="14" s="1"/>
  <c r="A27" i="14" s="1"/>
  <c r="A28" i="14" s="1"/>
  <c r="A29" i="14" s="1"/>
  <c r="A30" i="14" s="1"/>
  <c r="A291" i="11" l="1"/>
  <c r="A292" i="11" s="1"/>
  <c r="A293" i="11" s="1"/>
  <c r="A294" i="11" s="1"/>
  <c r="A295" i="11" s="1"/>
  <c r="A296" i="11" s="1"/>
  <c r="A297" i="11" s="1"/>
  <c r="A298" i="11" s="1"/>
  <c r="A299" i="11" s="1"/>
  <c r="A300" i="11" s="1"/>
  <c r="A301" i="11" s="1"/>
  <c r="A302" i="11" s="1"/>
  <c r="A304" i="11" s="1"/>
  <c r="A305" i="11" s="1"/>
  <c r="A306" i="11" s="1"/>
  <c r="A307" i="11" s="1"/>
  <c r="A309" i="11" s="1"/>
  <c r="A310" i="11" s="1"/>
  <c r="A312" i="11" s="1"/>
  <c r="A313" i="11" s="1"/>
  <c r="A314" i="11" s="1"/>
  <c r="A315" i="11" s="1"/>
  <c r="A316" i="11" s="1"/>
  <c r="A317" i="11" s="1"/>
  <c r="A319" i="11" s="1"/>
  <c r="A320" i="11" s="1"/>
  <c r="A321" i="11" s="1"/>
  <c r="A322" i="11" s="1"/>
  <c r="A323" i="11" s="1"/>
  <c r="A324" i="11" s="1"/>
  <c r="A325" i="11" s="1"/>
  <c r="A326" i="11" s="1"/>
  <c r="A327" i="11" s="1"/>
  <c r="A329" i="11" s="1"/>
  <c r="A330" i="11" s="1"/>
  <c r="A331" i="11" s="1"/>
  <c r="A332" i="11" s="1"/>
  <c r="A334" i="11" s="1"/>
  <c r="A335" i="11" s="1"/>
  <c r="A336" i="11" s="1"/>
  <c r="A337" i="11" s="1"/>
  <c r="A338" i="11" s="1"/>
  <c r="A339" i="11" s="1"/>
  <c r="A341" i="11" s="1"/>
  <c r="A342" i="11" s="1"/>
  <c r="A343" i="11" s="1"/>
  <c r="A344" i="11" s="1"/>
  <c r="A345" i="11" s="1"/>
  <c r="A346" i="11" s="1"/>
  <c r="A347" i="11" s="1"/>
  <c r="A348" i="11" s="1"/>
  <c r="A349" i="11" s="1"/>
  <c r="A350" i="11" s="1"/>
  <c r="A351" i="11" s="1"/>
  <c r="A352" i="11" s="1"/>
  <c r="A353" i="11" s="1"/>
  <c r="A355" i="11" s="1"/>
  <c r="A356" i="11" s="1"/>
  <c r="A357" i="11" s="1"/>
  <c r="A358" i="11" s="1"/>
  <c r="A360" i="11" s="1"/>
  <c r="A361" i="11" s="1"/>
  <c r="A363" i="11" s="1"/>
  <c r="A364" i="11" s="1"/>
  <c r="A365" i="11" s="1"/>
  <c r="A366" i="11" s="1"/>
  <c r="A367" i="11" s="1"/>
  <c r="A368" i="11" s="1"/>
  <c r="A369" i="11" s="1"/>
  <c r="A370" i="11" s="1"/>
  <c r="A371" i="11" s="1"/>
  <c r="A372" i="11" s="1"/>
  <c r="A373" i="11" s="1"/>
  <c r="A374" i="11" s="1"/>
  <c r="A375" i="11" s="1"/>
  <c r="A376" i="11" s="1"/>
  <c r="A378" i="11" s="1"/>
  <c r="A380" i="11" s="1"/>
  <c r="A382" i="11" s="1"/>
  <c r="A383" i="11" s="1"/>
  <c r="A384" i="11" s="1"/>
  <c r="A385" i="11" s="1"/>
  <c r="A386" i="11" s="1"/>
  <c r="A388" i="11" s="1"/>
  <c r="A389" i="11" s="1"/>
  <c r="A390" i="11" s="1"/>
  <c r="A391" i="11" s="1"/>
  <c r="A393" i="11" s="1"/>
  <c r="A394" i="11" s="1"/>
  <c r="A395" i="11" s="1"/>
  <c r="A397" i="11" s="1"/>
  <c r="A398" i="11" s="1"/>
  <c r="A399" i="11" s="1"/>
  <c r="A400" i="11" s="1"/>
  <c r="A401" i="11" s="1"/>
  <c r="A402" i="11" s="1"/>
  <c r="A403" i="11" s="1"/>
  <c r="A404" i="11" s="1"/>
  <c r="A406" i="11" s="1"/>
  <c r="A407" i="11" s="1"/>
  <c r="A409" i="11" s="1"/>
  <c r="A411" i="11" s="1"/>
  <c r="A412" i="11" s="1"/>
  <c r="A414" i="11" s="1"/>
  <c r="A415" i="11" s="1"/>
  <c r="A417" i="11" s="1"/>
  <c r="A418" i="11" s="1"/>
  <c r="A419" i="11" s="1"/>
  <c r="A420" i="11" s="1"/>
  <c r="A421" i="11" s="1"/>
  <c r="A422" i="11" s="1"/>
  <c r="A423" i="11" s="1"/>
  <c r="A424" i="11" s="1"/>
  <c r="A425" i="11" s="1"/>
  <c r="A427" i="11" s="1"/>
  <c r="A429" i="11" s="1"/>
  <c r="A430" i="11" s="1"/>
  <c r="A431" i="11" s="1"/>
  <c r="A433" i="11" s="1"/>
  <c r="A434" i="11" s="1"/>
  <c r="A435" i="11" s="1"/>
  <c r="A436" i="11" s="1"/>
  <c r="A438" i="11" s="1"/>
  <c r="A439" i="11" s="1"/>
  <c r="A440" i="11" s="1"/>
  <c r="A441" i="11" s="1"/>
  <c r="A443" i="11" s="1"/>
  <c r="A444" i="11" s="1"/>
  <c r="A445" i="11" s="1"/>
  <c r="A447" i="11" s="1"/>
  <c r="A449" i="11" s="1"/>
  <c r="A450" i="11" s="1"/>
  <c r="A452" i="11" s="1"/>
  <c r="A453" i="11" s="1"/>
  <c r="A454" i="11" s="1"/>
  <c r="A455" i="11" s="1"/>
  <c r="A456" i="11" s="1"/>
  <c r="A458" i="11" s="1"/>
  <c r="A459" i="11" s="1"/>
  <c r="A460" i="11" s="1"/>
  <c r="A462" i="11" s="1"/>
  <c r="A463" i="11" s="1"/>
  <c r="A464" i="11" s="1"/>
  <c r="A466" i="11" s="1"/>
  <c r="A467" i="11" s="1"/>
  <c r="A469" i="11" s="1"/>
  <c r="A471" i="11" s="1"/>
  <c r="A472" i="11" s="1"/>
  <c r="A474" i="11" s="1"/>
  <c r="A475" i="11" s="1"/>
  <c r="A477" i="11" s="1"/>
  <c r="A478" i="11" s="1"/>
  <c r="A480" i="11" s="1"/>
  <c r="A481" i="11" s="1"/>
  <c r="A483" i="11" s="1"/>
  <c r="A484" i="11" s="1"/>
  <c r="A486" i="11" s="1"/>
  <c r="A487" i="11" s="1"/>
  <c r="A489" i="11" s="1"/>
  <c r="A490" i="11" s="1"/>
  <c r="A492" i="11" s="1"/>
  <c r="A493" i="11" s="1"/>
  <c r="A495" i="11" s="1"/>
  <c r="A496" i="11" s="1"/>
  <c r="A497" i="11" s="1"/>
  <c r="A499" i="11" s="1"/>
  <c r="A500" i="11" s="1"/>
  <c r="A501" i="11" s="1"/>
  <c r="A502" i="11" s="1"/>
  <c r="A503" i="11" s="1"/>
  <c r="A504" i="11" s="1"/>
  <c r="A506" i="11" s="1"/>
  <c r="A507" i="11" s="1"/>
  <c r="A509" i="11" s="1"/>
  <c r="A511" i="11" s="1"/>
  <c r="A512" i="11" s="1"/>
  <c r="A514" i="11" s="1"/>
  <c r="A516" i="11" s="1"/>
  <c r="A517" i="11" s="1"/>
  <c r="A518" i="11" s="1"/>
  <c r="A519" i="11" s="1"/>
  <c r="A521" i="11" s="1"/>
  <c r="A522" i="11" s="1"/>
  <c r="A524" i="11" s="1"/>
  <c r="A526" i="11" s="1"/>
  <c r="A528" i="11" s="1"/>
  <c r="A529" i="11" s="1"/>
  <c r="A530" i="11" s="1"/>
  <c r="A531" i="11" s="1"/>
  <c r="A532" i="11" s="1"/>
  <c r="A533" i="11" s="1"/>
  <c r="A534" i="11" s="1"/>
  <c r="A535" i="11" s="1"/>
  <c r="A537" i="11" s="1"/>
  <c r="A538" i="11" s="1"/>
  <c r="A539" i="11" s="1"/>
  <c r="A540" i="11" s="1"/>
  <c r="A542" i="11" s="1"/>
  <c r="A543" i="11" s="1"/>
  <c r="A544" i="11" s="1"/>
  <c r="A545" i="11" s="1"/>
  <c r="A547" i="11" s="1"/>
  <c r="A548" i="11" s="1"/>
  <c r="A549" i="11" s="1"/>
  <c r="A550" i="11" s="1"/>
  <c r="A551" i="11" s="1"/>
  <c r="A553" i="11" s="1"/>
  <c r="A554" i="11" s="1"/>
  <c r="A556" i="11" s="1"/>
  <c r="A557" i="11" s="1"/>
  <c r="A559" i="11" s="1"/>
  <c r="A560" i="11" s="1"/>
  <c r="A561" i="11" s="1"/>
  <c r="A563" i="11" s="1"/>
  <c r="A564" i="11" s="1"/>
  <c r="A565" i="11" s="1"/>
  <c r="A567" i="11" s="1"/>
  <c r="A568" i="11" s="1"/>
  <c r="A569" i="11" s="1"/>
  <c r="A571" i="11" s="1"/>
  <c r="A572" i="11" s="1"/>
  <c r="A574" i="11" s="1"/>
  <c r="A575" i="11" s="1"/>
  <c r="A576" i="11" s="1"/>
  <c r="A577" i="11" s="1"/>
  <c r="A578" i="11" s="1"/>
  <c r="A580" i="11" s="1"/>
  <c r="A581" i="11" s="1"/>
  <c r="A582" i="11" s="1"/>
  <c r="A583" i="11" s="1"/>
  <c r="A584" i="11" s="1"/>
  <c r="A585" i="11" s="1"/>
  <c r="A586" i="11" s="1"/>
  <c r="A588" i="11" s="1"/>
  <c r="A590" i="11" s="1"/>
  <c r="A592" i="11" s="1"/>
  <c r="A593" i="11" s="1"/>
  <c r="A594" i="11" s="1"/>
  <c r="A595" i="11" s="1"/>
  <c r="A596" i="11" s="1"/>
  <c r="A597" i="11" s="1"/>
  <c r="A598" i="11" s="1"/>
  <c r="A599" i="11" s="1"/>
  <c r="A601" i="11" s="1"/>
  <c r="A602" i="11" s="1"/>
  <c r="A603" i="11" s="1"/>
  <c r="A604" i="11" s="1"/>
  <c r="A606" i="11" s="1"/>
  <c r="A607" i="11" s="1"/>
  <c r="A608" i="11" s="1"/>
  <c r="A609" i="11" s="1"/>
  <c r="A610" i="11" s="1"/>
  <c r="A31" i="14"/>
  <c r="A32" i="14" s="1"/>
  <c r="A33" i="14" l="1"/>
  <c r="A34" i="14" s="1"/>
  <c r="A35" i="14" s="1"/>
  <c r="A36" i="14" s="1"/>
  <c r="A37" i="14" s="1"/>
  <c r="A38" i="14" s="1"/>
  <c r="A39" i="14" l="1"/>
  <c r="A40" i="14" s="1"/>
  <c r="A41" i="14" s="1"/>
  <c r="A42" i="14" s="1"/>
  <c r="A44" i="14" s="1"/>
  <c r="A45" i="14" s="1"/>
  <c r="A46" i="14" s="1"/>
  <c r="A48" i="14" s="1"/>
  <c r="A50" i="14" s="1"/>
  <c r="A51" i="14" s="1"/>
  <c r="A52" i="14" s="1"/>
  <c r="A53" i="14" l="1"/>
  <c r="A54" i="14" l="1"/>
  <c r="A55" i="14" s="1"/>
  <c r="A57" i="14" s="1"/>
  <c r="A58" i="14" s="1"/>
  <c r="A60" i="14" s="1"/>
  <c r="A61" i="14" s="1"/>
  <c r="A62" i="14" s="1"/>
  <c r="A63" i="14" s="1"/>
  <c r="A64" i="14" s="1"/>
  <c r="A66" i="14" s="1"/>
  <c r="A67" i="14" s="1"/>
  <c r="A68" i="14" s="1"/>
  <c r="A69" i="14" s="1"/>
  <c r="A70" i="14" s="1"/>
  <c r="A71" i="14" s="1"/>
  <c r="A72" i="14" s="1"/>
  <c r="A73" i="14" s="1"/>
  <c r="A74" i="14" s="1"/>
  <c r="A75" i="14" s="1"/>
  <c r="A76" i="14" s="1"/>
  <c r="A77" i="14" s="1"/>
  <c r="A79" i="14" s="1"/>
  <c r="A80" i="14" s="1"/>
  <c r="A81" i="14" s="1"/>
  <c r="A82" i="14" s="1"/>
  <c r="A83" i="14" s="1"/>
  <c r="A84" i="14" s="1"/>
  <c r="A85" i="14" s="1"/>
  <c r="A86" i="14" s="1"/>
  <c r="A88" i="14" s="1"/>
  <c r="K68" i="1" l="1"/>
  <c r="J68" i="1"/>
  <c r="I68" i="1"/>
  <c r="H68" i="1"/>
  <c r="K67" i="1"/>
  <c r="J67" i="1"/>
  <c r="I67" i="1"/>
  <c r="H67" i="1"/>
  <c r="K66" i="1"/>
  <c r="J66" i="1"/>
  <c r="I66" i="1"/>
  <c r="H66" i="1"/>
  <c r="K65" i="1"/>
  <c r="J65" i="1"/>
  <c r="I65" i="1"/>
  <c r="H65" i="1"/>
  <c r="G64" i="1"/>
  <c r="F64" i="1"/>
  <c r="E64" i="1"/>
  <c r="D64" i="1"/>
  <c r="K64" i="1" l="1"/>
  <c r="J64" i="1"/>
  <c r="H64" i="1"/>
  <c r="I64" i="1"/>
  <c r="E23" i="1" l="1"/>
  <c r="E22" i="1"/>
  <c r="E24" i="1"/>
  <c r="G23" i="1"/>
  <c r="G22" i="1"/>
  <c r="F22" i="1"/>
  <c r="F23" i="1"/>
  <c r="D22" i="1"/>
  <c r="D23" i="1"/>
  <c r="F21" i="1" l="1"/>
  <c r="D21" i="1"/>
  <c r="E21" i="1"/>
  <c r="G21" i="1"/>
  <c r="K72" i="1"/>
  <c r="H72" i="1"/>
  <c r="J72" i="1"/>
  <c r="I72" i="1"/>
  <c r="A5" i="13" l="1"/>
  <c r="A6" i="13" l="1"/>
  <c r="A8" i="13"/>
  <c r="A9" i="13"/>
  <c r="A4" i="8"/>
  <c r="K73" i="1"/>
  <c r="J73" i="1"/>
  <c r="I73" i="1"/>
  <c r="H73" i="1"/>
  <c r="K71" i="1"/>
  <c r="J71" i="1"/>
  <c r="I71" i="1"/>
  <c r="H71" i="1"/>
  <c r="K70" i="1"/>
  <c r="J70" i="1"/>
  <c r="I70" i="1"/>
  <c r="H70" i="1"/>
  <c r="K69" i="1"/>
  <c r="J69" i="1"/>
  <c r="I69" i="1"/>
  <c r="H69" i="1"/>
  <c r="K63" i="1"/>
  <c r="J63" i="1"/>
  <c r="I63" i="1"/>
  <c r="H63" i="1"/>
  <c r="K62" i="1"/>
  <c r="J62" i="1"/>
  <c r="I62" i="1"/>
  <c r="H62" i="1"/>
  <c r="K61" i="1"/>
  <c r="J61" i="1"/>
  <c r="I61" i="1"/>
  <c r="H61" i="1"/>
  <c r="J57" i="1"/>
  <c r="I57" i="1"/>
  <c r="H57" i="1"/>
  <c r="F55" i="1"/>
  <c r="E55" i="1"/>
  <c r="D55" i="1"/>
  <c r="J59" i="1"/>
  <c r="I59" i="1"/>
  <c r="H59" i="1"/>
  <c r="K59" i="1"/>
  <c r="A10" i="13" l="1"/>
  <c r="G57" i="1"/>
  <c r="K57" i="1" s="1"/>
  <c r="A11" i="13" l="1"/>
  <c r="A12" i="13" s="1"/>
  <c r="A13" i="13" s="1"/>
  <c r="A7" i="12"/>
  <c r="A14" i="13" l="1"/>
  <c r="A8" i="12"/>
  <c r="A9" i="12" s="1"/>
  <c r="A15" i="13" l="1"/>
  <c r="A10" i="12"/>
  <c r="A12" i="12" s="1"/>
  <c r="A16" i="13" l="1"/>
  <c r="A17" i="13" s="1"/>
  <c r="A18" i="13" s="1"/>
  <c r="A13" i="12"/>
  <c r="A14" i="12"/>
  <c r="A19" i="13" l="1"/>
  <c r="A21" i="13" s="1"/>
  <c r="A22" i="13" s="1"/>
  <c r="A23" i="13"/>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1" i="13" s="1"/>
  <c r="A52" i="13" s="1"/>
  <c r="A54" i="13" s="1"/>
  <c r="A55" i="13" s="1"/>
  <c r="A57" i="13" s="1"/>
  <c r="A58" i="13" s="1"/>
  <c r="A59" i="13" s="1"/>
  <c r="A60" i="13" s="1"/>
  <c r="A61" i="13" s="1"/>
  <c r="A62" i="13" s="1"/>
  <c r="A64" i="13" s="1"/>
  <c r="A65" i="13" s="1"/>
  <c r="A66" i="13" s="1"/>
  <c r="A67" i="13" s="1"/>
  <c r="A68" i="13" s="1"/>
  <c r="A69" i="13" s="1"/>
  <c r="A71" i="13" s="1"/>
  <c r="A72" i="13" s="1"/>
  <c r="A73" i="13" s="1"/>
  <c r="A75" i="13" s="1"/>
  <c r="A76" i="13" s="1"/>
  <c r="A77" i="13" s="1"/>
  <c r="A78" i="13" s="1"/>
  <c r="A79" i="13" s="1"/>
  <c r="A81" i="13" s="1"/>
  <c r="A82" i="13" s="1"/>
  <c r="A83" i="13" s="1"/>
  <c r="A84" i="13" s="1"/>
  <c r="A86" i="13" s="1"/>
  <c r="A87" i="13" s="1"/>
  <c r="A88" i="13" s="1"/>
  <c r="A89" i="13" s="1"/>
  <c r="A90" i="13" s="1"/>
  <c r="A91" i="13" s="1"/>
  <c r="A93" i="13" s="1"/>
  <c r="A94" i="13" s="1"/>
  <c r="A95" i="13" s="1"/>
  <c r="A96" i="13" s="1"/>
  <c r="A98" i="13" s="1"/>
  <c r="A99" i="13" s="1"/>
  <c r="A100" i="13" s="1"/>
  <c r="A101" i="13" s="1"/>
  <c r="A102" i="13" s="1"/>
  <c r="A104" i="13" s="1"/>
  <c r="A105" i="13" s="1"/>
  <c r="A107" i="13" s="1"/>
  <c r="A109" i="13" s="1"/>
  <c r="A111" i="13" s="1"/>
  <c r="A112" i="13" s="1"/>
  <c r="A113" i="13" s="1"/>
  <c r="A115" i="13" s="1"/>
  <c r="A116" i="13" s="1"/>
  <c r="A117" i="13" s="1"/>
  <c r="A118" i="13" s="1"/>
  <c r="A119" i="13" s="1"/>
  <c r="A120" i="13" s="1"/>
  <c r="A121" i="13" s="1"/>
  <c r="A122" i="13" s="1"/>
  <c r="A124" i="13" s="1"/>
  <c r="A126" i="13" s="1"/>
  <c r="A127" i="13" s="1"/>
  <c r="A128" i="13" s="1"/>
  <c r="A129" i="13" s="1"/>
  <c r="A130" i="13" s="1"/>
  <c r="A131" i="13" s="1"/>
  <c r="A132" i="13" s="1"/>
  <c r="A133" i="13" s="1"/>
  <c r="A134" i="13" s="1"/>
  <c r="A135" i="13" s="1"/>
  <c r="A15" i="12"/>
  <c r="A16" i="12" s="1"/>
  <c r="A18" i="12" l="1"/>
  <c r="A19" i="12" l="1"/>
  <c r="A20" i="12" l="1"/>
  <c r="A21" i="12" s="1"/>
  <c r="A22" i="12" l="1"/>
  <c r="A23" i="12" s="1"/>
  <c r="A25" i="12" s="1"/>
  <c r="A26" i="12" s="1"/>
  <c r="A27" i="12" s="1"/>
  <c r="A29" i="12" s="1"/>
  <c r="A30" i="12" s="1"/>
  <c r="A31" i="12" s="1"/>
  <c r="A32" i="12" s="1"/>
  <c r="A34" i="12" s="1"/>
  <c r="A36" i="12" s="1"/>
  <c r="A38" i="12" s="1"/>
  <c r="A39" i="12" s="1"/>
  <c r="A41" i="12" s="1"/>
  <c r="A42" i="12" s="1"/>
  <c r="A43" i="12" s="1"/>
  <c r="A44" i="12" s="1"/>
  <c r="A45" i="12" s="1"/>
  <c r="A46" i="12" s="1"/>
  <c r="A47" i="12" s="1"/>
  <c r="A48" i="12" s="1"/>
  <c r="A50" i="12" s="1"/>
  <c r="A51" i="12" s="1"/>
  <c r="A52" i="12" s="1"/>
  <c r="A53" i="12" s="1"/>
  <c r="A55" i="12" s="1"/>
  <c r="A56" i="12" s="1"/>
  <c r="A57" i="12" s="1"/>
  <c r="A58" i="12" s="1"/>
  <c r="A60"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9" i="12" s="1"/>
  <c r="A90" i="12" s="1"/>
  <c r="A91" i="12" s="1"/>
  <c r="A92" i="12" s="1"/>
  <c r="A93" i="12" s="1"/>
  <c r="A95" i="12" s="1"/>
  <c r="A97" i="12" s="1"/>
  <c r="A98" i="12" s="1"/>
  <c r="A99" i="12" s="1"/>
  <c r="A100" i="12" s="1"/>
  <c r="A102" i="12" s="1"/>
  <c r="A103" i="12" s="1"/>
  <c r="A104" i="12" l="1"/>
  <c r="A105" i="12"/>
  <c r="A106" i="12"/>
  <c r="A107" i="12" l="1"/>
  <c r="A109" i="12" s="1"/>
  <c r="A110" i="12" s="1"/>
  <c r="A111" i="12" s="1"/>
  <c r="A112" i="12" s="1"/>
  <c r="A113" i="12" s="1"/>
  <c r="A114" i="12" s="1"/>
  <c r="A116" i="12" s="1"/>
  <c r="A117" i="12" s="1"/>
  <c r="A118" i="12" s="1"/>
  <c r="A120" i="12" s="1"/>
  <c r="A121" i="12" s="1"/>
  <c r="A122" i="12" s="1"/>
  <c r="A123" i="12" s="1"/>
  <c r="A124" i="12" s="1"/>
  <c r="A125" i="12" s="1"/>
  <c r="A126" i="12" s="1"/>
  <c r="A127" i="12" s="1"/>
  <c r="A128" i="12" s="1"/>
  <c r="A129" i="12" s="1"/>
  <c r="A130"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154" i="12" s="1"/>
  <c r="A155" i="12" s="1"/>
  <c r="A156" i="12" s="1"/>
  <c r="A157" i="12" s="1"/>
  <c r="A158" i="12" s="1"/>
  <c r="A160" i="12" s="1"/>
  <c r="A161" i="12" s="1"/>
  <c r="A162" i="12" s="1"/>
  <c r="A164" i="12" s="1"/>
  <c r="A165" i="12" s="1"/>
  <c r="A166" i="12" s="1"/>
  <c r="A168" i="12" s="1"/>
  <c r="A169" i="12" s="1"/>
  <c r="A171" i="12" s="1"/>
  <c r="A172" i="12" s="1"/>
  <c r="A173" i="12" s="1"/>
  <c r="A174" i="12" s="1"/>
  <c r="A175" i="12" s="1"/>
  <c r="A177" i="12" s="1"/>
  <c r="A178" i="12" s="1"/>
  <c r="A180" i="12" s="1"/>
  <c r="A181" i="12" s="1"/>
  <c r="A182" i="12" s="1"/>
  <c r="A183" i="12" s="1"/>
  <c r="A185" i="12" s="1"/>
  <c r="A186" i="12" s="1"/>
  <c r="A188" i="12" s="1"/>
  <c r="A189" i="12" s="1"/>
  <c r="A190" i="12" s="1"/>
  <c r="A192" i="12" s="1"/>
  <c r="A193" i="12" s="1"/>
  <c r="A194" i="12" s="1"/>
  <c r="A195" i="12" s="1"/>
  <c r="A196" i="12" s="1"/>
  <c r="A197" i="12" s="1"/>
  <c r="A198" i="12" s="1"/>
  <c r="A199" i="12" s="1"/>
  <c r="A200" i="12" s="1"/>
  <c r="A201" i="12" s="1"/>
  <c r="A202" i="12" s="1"/>
  <c r="A203" i="12" s="1"/>
  <c r="A204" i="12" s="1"/>
  <c r="A205" i="12" s="1"/>
  <c r="A206" i="12" s="1"/>
  <c r="A207" i="12" s="1"/>
  <c r="A208" i="12" s="1"/>
  <c r="A209" i="12" s="1"/>
  <c r="A210" i="12" s="1"/>
  <c r="A211" i="12" s="1"/>
  <c r="A212" i="12" s="1"/>
  <c r="A213" i="12" s="1"/>
  <c r="A214" i="12" s="1"/>
  <c r="A215" i="12" s="1"/>
  <c r="A216" i="12" s="1"/>
  <c r="A217" i="12" s="1"/>
  <c r="A218" i="12" s="1"/>
  <c r="A219" i="12" s="1"/>
  <c r="A220" i="12" s="1"/>
  <c r="A221" i="12" s="1"/>
  <c r="A222" i="12" s="1"/>
  <c r="A223" i="12" s="1"/>
  <c r="A224" i="12" s="1"/>
  <c r="A225" i="12" s="1"/>
  <c r="A226" i="12" s="1"/>
  <c r="A227" i="12" s="1"/>
  <c r="A228" i="12" s="1"/>
  <c r="A229" i="12" s="1"/>
  <c r="A230" i="12" s="1"/>
  <c r="A231" i="12" s="1"/>
  <c r="A232" i="12" s="1"/>
  <c r="A233" i="12" s="1"/>
  <c r="A234" i="12" s="1"/>
  <c r="A235" i="12" s="1"/>
  <c r="A236" i="12" s="1"/>
  <c r="A237" i="12" s="1"/>
  <c r="A238" i="12" s="1"/>
  <c r="A239" i="12" s="1"/>
  <c r="A240" i="12" s="1"/>
  <c r="A241" i="12" s="1"/>
  <c r="A242" i="12" s="1"/>
  <c r="A243" i="12" s="1"/>
  <c r="A244" i="12" s="1"/>
  <c r="A245" i="12" s="1"/>
  <c r="A246" i="12" s="1"/>
  <c r="A247" i="12" s="1"/>
  <c r="A248" i="12" s="1"/>
  <c r="A249" i="12" s="1"/>
  <c r="A250" i="12" s="1"/>
  <c r="A251" i="12" s="1"/>
  <c r="A252" i="12" s="1"/>
  <c r="A253" i="12" s="1"/>
  <c r="A254" i="12" s="1"/>
  <c r="A255" i="12" s="1"/>
  <c r="G18" i="1" l="1"/>
  <c r="K18" i="1" s="1"/>
  <c r="G17" i="1"/>
  <c r="K17" i="1" s="1"/>
  <c r="G16" i="1"/>
  <c r="K16" i="1" s="1"/>
  <c r="F54" i="1"/>
  <c r="F53" i="1" s="1"/>
  <c r="E54" i="1"/>
  <c r="E53" i="1" s="1"/>
  <c r="D54" i="1"/>
  <c r="J52" i="1"/>
  <c r="I52" i="1"/>
  <c r="H52" i="1"/>
  <c r="G52" i="1"/>
  <c r="K52" i="1" s="1"/>
  <c r="J51" i="1"/>
  <c r="I51" i="1"/>
  <c r="H51" i="1"/>
  <c r="G51" i="1"/>
  <c r="K51" i="1" s="1"/>
  <c r="J50" i="1"/>
  <c r="I50" i="1"/>
  <c r="H50" i="1"/>
  <c r="J48" i="1"/>
  <c r="I48" i="1"/>
  <c r="H48" i="1"/>
  <c r="J47" i="1"/>
  <c r="I47" i="1"/>
  <c r="H47" i="1"/>
  <c r="J45" i="1"/>
  <c r="I45" i="1"/>
  <c r="H45" i="1"/>
  <c r="J44" i="1"/>
  <c r="I44" i="1"/>
  <c r="H44" i="1"/>
  <c r="J43" i="1"/>
  <c r="I43" i="1"/>
  <c r="H43" i="1"/>
  <c r="J41" i="1"/>
  <c r="I41" i="1"/>
  <c r="H41" i="1"/>
  <c r="J40" i="1"/>
  <c r="I40" i="1"/>
  <c r="H40" i="1"/>
  <c r="J39" i="1"/>
  <c r="I39" i="1"/>
  <c r="H39" i="1"/>
  <c r="J38" i="1"/>
  <c r="I38" i="1"/>
  <c r="H38" i="1"/>
  <c r="I36" i="1"/>
  <c r="F49" i="1"/>
  <c r="E49" i="1"/>
  <c r="D49" i="1"/>
  <c r="G50" i="1"/>
  <c r="K50" i="1" s="1"/>
  <c r="G7" i="1"/>
  <c r="F7" i="1"/>
  <c r="E7" i="1"/>
  <c r="K9" i="1"/>
  <c r="J9" i="1"/>
  <c r="I9" i="1"/>
  <c r="H9" i="1"/>
  <c r="K8" i="1"/>
  <c r="J8" i="1"/>
  <c r="I8" i="1"/>
  <c r="H8" i="1"/>
  <c r="J17" i="1"/>
  <c r="I17" i="1"/>
  <c r="H17" i="1"/>
  <c r="G33" i="1"/>
  <c r="K33" i="1" s="1"/>
  <c r="H33" i="1"/>
  <c r="I33" i="1"/>
  <c r="G32" i="1"/>
  <c r="K32" i="1" s="1"/>
  <c r="H32" i="1"/>
  <c r="I32" i="1"/>
  <c r="G31" i="1"/>
  <c r="K31" i="1" s="1"/>
  <c r="H31" i="1"/>
  <c r="I31" i="1"/>
  <c r="G30" i="1"/>
  <c r="K30" i="1" s="1"/>
  <c r="H30" i="1"/>
  <c r="I30" i="1"/>
  <c r="J33" i="1"/>
  <c r="J32" i="1"/>
  <c r="J31" i="1"/>
  <c r="J30" i="1"/>
  <c r="F25" i="1"/>
  <c r="E25" i="1"/>
  <c r="D25" i="1"/>
  <c r="G48" i="1"/>
  <c r="K48" i="1" s="1"/>
  <c r="G47" i="1"/>
  <c r="K47" i="1" s="1"/>
  <c r="F46" i="1"/>
  <c r="E46" i="1"/>
  <c r="D46" i="1"/>
  <c r="J18" i="1"/>
  <c r="I18" i="1"/>
  <c r="H18" i="1"/>
  <c r="J16" i="1"/>
  <c r="I16" i="1"/>
  <c r="H16" i="1"/>
  <c r="G45" i="1"/>
  <c r="K45" i="1" s="1"/>
  <c r="G44" i="1"/>
  <c r="K44" i="1" s="1"/>
  <c r="G43" i="1"/>
  <c r="K43" i="1" s="1"/>
  <c r="F42" i="1"/>
  <c r="E42" i="1"/>
  <c r="D42" i="1"/>
  <c r="F37" i="1"/>
  <c r="E37" i="1"/>
  <c r="D37" i="1"/>
  <c r="G41" i="1"/>
  <c r="K41" i="1" s="1"/>
  <c r="G40" i="1"/>
  <c r="K40" i="1" s="1"/>
  <c r="G38" i="1"/>
  <c r="K38" i="1" s="1"/>
  <c r="N260" i="9"/>
  <c r="N261" i="9"/>
  <c r="J12" i="1" l="1"/>
  <c r="J13" i="1"/>
  <c r="J14" i="1"/>
  <c r="I11" i="1"/>
  <c r="I12" i="1"/>
  <c r="H12" i="1"/>
  <c r="I14" i="1"/>
  <c r="H14" i="1"/>
  <c r="I13" i="1"/>
  <c r="H13" i="1"/>
  <c r="I37" i="1"/>
  <c r="H37" i="1"/>
  <c r="I58" i="1"/>
  <c r="J58" i="1"/>
  <c r="I56" i="1"/>
  <c r="G58" i="1"/>
  <c r="K58" i="1" s="1"/>
  <c r="J56" i="1"/>
  <c r="G56" i="1"/>
  <c r="H56" i="1"/>
  <c r="H58" i="1"/>
  <c r="J54" i="1"/>
  <c r="H54" i="1"/>
  <c r="I54" i="1"/>
  <c r="G54" i="1"/>
  <c r="K54" i="1" s="1"/>
  <c r="D53" i="1"/>
  <c r="H53" i="1" s="1"/>
  <c r="H49" i="1"/>
  <c r="J49" i="1"/>
  <c r="J46" i="1"/>
  <c r="I42" i="1"/>
  <c r="H42" i="1"/>
  <c r="I46" i="1"/>
  <c r="J37" i="1"/>
  <c r="I49" i="1"/>
  <c r="J42" i="1"/>
  <c r="H46" i="1"/>
  <c r="G49" i="1"/>
  <c r="K49" i="1" s="1"/>
  <c r="G46" i="1"/>
  <c r="K46" i="1" s="1"/>
  <c r="G42" i="1"/>
  <c r="K42" i="1" s="1"/>
  <c r="G39" i="1"/>
  <c r="N301" i="9"/>
  <c r="N259" i="9"/>
  <c r="N258" i="9"/>
  <c r="N257" i="9"/>
  <c r="N256" i="9"/>
  <c r="N255" i="9"/>
  <c r="N254" i="9"/>
  <c r="N253" i="9"/>
  <c r="N252" i="9"/>
  <c r="N251" i="9"/>
  <c r="N250" i="9"/>
  <c r="N249" i="9"/>
  <c r="N248" i="9"/>
  <c r="N247" i="9"/>
  <c r="N246" i="9"/>
  <c r="N245" i="9"/>
  <c r="N244" i="9"/>
  <c r="N243" i="9"/>
  <c r="N242" i="9"/>
  <c r="N241" i="9"/>
  <c r="N240" i="9"/>
  <c r="N239" i="9"/>
  <c r="N238" i="9"/>
  <c r="N237" i="9"/>
  <c r="N236" i="9"/>
  <c r="N235" i="9"/>
  <c r="N234" i="9"/>
  <c r="N233" i="9"/>
  <c r="N232" i="9"/>
  <c r="N231" i="9"/>
  <c r="N230" i="9"/>
  <c r="N229" i="9"/>
  <c r="N228" i="9"/>
  <c r="N227" i="9"/>
  <c r="N226" i="9"/>
  <c r="N225" i="9"/>
  <c r="N224" i="9"/>
  <c r="N223" i="9"/>
  <c r="N222" i="9"/>
  <c r="N221" i="9"/>
  <c r="N220" i="9"/>
  <c r="N219" i="9"/>
  <c r="N218" i="9"/>
  <c r="N217" i="9"/>
  <c r="N216" i="9"/>
  <c r="N215" i="9"/>
  <c r="N214" i="9"/>
  <c r="N213" i="9"/>
  <c r="N212" i="9"/>
  <c r="N211" i="9"/>
  <c r="N210" i="9"/>
  <c r="N209" i="9"/>
  <c r="N208" i="9"/>
  <c r="N207" i="9"/>
  <c r="N206" i="9"/>
  <c r="N205" i="9"/>
  <c r="N204" i="9"/>
  <c r="N203" i="9"/>
  <c r="N202" i="9"/>
  <c r="N201" i="9"/>
  <c r="N200" i="9"/>
  <c r="N199" i="9"/>
  <c r="N198" i="9"/>
  <c r="N197" i="9"/>
  <c r="N196" i="9"/>
  <c r="N300" i="9"/>
  <c r="N195" i="9"/>
  <c r="N194" i="9"/>
  <c r="N193" i="9"/>
  <c r="N192" i="9"/>
  <c r="N191" i="9"/>
  <c r="N190" i="9"/>
  <c r="N189" i="9"/>
  <c r="N188" i="9"/>
  <c r="N187" i="9"/>
  <c r="N186" i="9"/>
  <c r="N185" i="9"/>
  <c r="N184" i="9"/>
  <c r="N183" i="9"/>
  <c r="N182" i="9"/>
  <c r="N181" i="9"/>
  <c r="N299" i="9"/>
  <c r="N180" i="9"/>
  <c r="N179" i="9"/>
  <c r="N178" i="9"/>
  <c r="N177" i="9"/>
  <c r="N176" i="9"/>
  <c r="N175" i="9"/>
  <c r="N174" i="9"/>
  <c r="N173" i="9"/>
  <c r="N172" i="9"/>
  <c r="N171" i="9"/>
  <c r="N170" i="9"/>
  <c r="N169" i="9"/>
  <c r="N168" i="9"/>
  <c r="N167" i="9"/>
  <c r="N166" i="9"/>
  <c r="N165" i="9"/>
  <c r="N164" i="9"/>
  <c r="N163" i="9"/>
  <c r="N162" i="9"/>
  <c r="N161" i="9"/>
  <c r="N160" i="9"/>
  <c r="N159" i="9"/>
  <c r="N158" i="9"/>
  <c r="N157" i="9"/>
  <c r="N156" i="9"/>
  <c r="N155" i="9"/>
  <c r="N154" i="9"/>
  <c r="N153" i="9"/>
  <c r="N152" i="9"/>
  <c r="N151" i="9"/>
  <c r="N150" i="9"/>
  <c r="N149" i="9"/>
  <c r="N148" i="9"/>
  <c r="N147" i="9"/>
  <c r="N146" i="9"/>
  <c r="N145" i="9"/>
  <c r="N144" i="9"/>
  <c r="N143" i="9"/>
  <c r="N142" i="9"/>
  <c r="N141" i="9"/>
  <c r="N140" i="9"/>
  <c r="N139" i="9"/>
  <c r="N138" i="9"/>
  <c r="N137" i="9"/>
  <c r="N136" i="9"/>
  <c r="N135" i="9"/>
  <c r="N134" i="9"/>
  <c r="N133" i="9"/>
  <c r="N132" i="9"/>
  <c r="N131" i="9"/>
  <c r="N130" i="9"/>
  <c r="N129" i="9"/>
  <c r="N128" i="9"/>
  <c r="N127" i="9"/>
  <c r="N126" i="9"/>
  <c r="N125" i="9"/>
  <c r="N124" i="9"/>
  <c r="N123" i="9"/>
  <c r="N122" i="9"/>
  <c r="N121" i="9"/>
  <c r="N120" i="9"/>
  <c r="N119" i="9"/>
  <c r="N118" i="9"/>
  <c r="N117" i="9"/>
  <c r="N116" i="9"/>
  <c r="N115" i="9"/>
  <c r="N114" i="9"/>
  <c r="N113" i="9"/>
  <c r="N112" i="9"/>
  <c r="N111" i="9"/>
  <c r="N110" i="9"/>
  <c r="N109" i="9"/>
  <c r="N108" i="9"/>
  <c r="N107" i="9"/>
  <c r="N106" i="9"/>
  <c r="N105" i="9"/>
  <c r="N104" i="9"/>
  <c r="N103" i="9"/>
  <c r="N102" i="9"/>
  <c r="N101" i="9"/>
  <c r="N100" i="9"/>
  <c r="N99" i="9"/>
  <c r="N98" i="9"/>
  <c r="N97" i="9"/>
  <c r="N96" i="9"/>
  <c r="N95" i="9"/>
  <c r="N94" i="9"/>
  <c r="N93" i="9"/>
  <c r="N92" i="9"/>
  <c r="N91" i="9"/>
  <c r="N90" i="9"/>
  <c r="N89" i="9"/>
  <c r="N88" i="9"/>
  <c r="N87" i="9"/>
  <c r="N86" i="9"/>
  <c r="N85" i="9"/>
  <c r="N84" i="9"/>
  <c r="N83" i="9"/>
  <c r="N82" i="9"/>
  <c r="N81" i="9"/>
  <c r="N80" i="9"/>
  <c r="N79" i="9"/>
  <c r="N78" i="9"/>
  <c r="N77" i="9"/>
  <c r="N76" i="9"/>
  <c r="N75" i="9"/>
  <c r="N74" i="9"/>
  <c r="N73" i="9"/>
  <c r="N72" i="9"/>
  <c r="N71" i="9"/>
  <c r="N70" i="9"/>
  <c r="N69" i="9"/>
  <c r="N68" i="9"/>
  <c r="N67" i="9"/>
  <c r="N298" i="9"/>
  <c r="N297" i="9"/>
  <c r="N296" i="9"/>
  <c r="N295" i="9"/>
  <c r="N294" i="9"/>
  <c r="N293" i="9"/>
  <c r="N292" i="9"/>
  <c r="N291" i="9"/>
  <c r="N290" i="9"/>
  <c r="N289" i="9"/>
  <c r="N288" i="9"/>
  <c r="N287" i="9"/>
  <c r="N286" i="9"/>
  <c r="N285" i="9"/>
  <c r="N284" i="9"/>
  <c r="N66" i="9"/>
  <c r="N283" i="9"/>
  <c r="N65" i="9"/>
  <c r="N282" i="9"/>
  <c r="N281" i="9"/>
  <c r="N280" i="9"/>
  <c r="N279" i="9"/>
  <c r="N278" i="9"/>
  <c r="N277" i="9"/>
  <c r="N276" i="9"/>
  <c r="N275" i="9"/>
  <c r="N274" i="9"/>
  <c r="N273" i="9"/>
  <c r="N272" i="9"/>
  <c r="N271" i="9"/>
  <c r="N270" i="9"/>
  <c r="N269" i="9"/>
  <c r="N268" i="9"/>
  <c r="N267" i="9"/>
  <c r="N266" i="9"/>
  <c r="N265" i="9"/>
  <c r="N264" i="9"/>
  <c r="N263" i="9"/>
  <c r="N262" i="9"/>
  <c r="N64" i="9"/>
  <c r="N63" i="9"/>
  <c r="N62" i="9"/>
  <c r="N61" i="9"/>
  <c r="N60" i="9"/>
  <c r="N59" i="9"/>
  <c r="N58" i="9"/>
  <c r="N57" i="9"/>
  <c r="N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6" i="9"/>
  <c r="N5" i="9"/>
  <c r="N4" i="9"/>
  <c r="N3" i="9"/>
  <c r="N2" i="9"/>
  <c r="C2" i="9"/>
  <c r="C3" i="9"/>
  <c r="D3" i="9" s="1"/>
  <c r="C4" i="9"/>
  <c r="D4" i="9" s="1"/>
  <c r="C5" i="9"/>
  <c r="D5" i="9" s="1"/>
  <c r="C6" i="9"/>
  <c r="D6" i="9" s="1"/>
  <c r="C7" i="9"/>
  <c r="C8" i="9"/>
  <c r="D8" i="9" s="1"/>
  <c r="C9" i="9"/>
  <c r="D9" i="9" s="1"/>
  <c r="C10" i="9"/>
  <c r="D10" i="9" s="1"/>
  <c r="C11" i="9"/>
  <c r="D11" i="9" s="1"/>
  <c r="C12" i="9"/>
  <c r="D12" i="9" s="1"/>
  <c r="C13" i="9"/>
  <c r="D13" i="9" s="1"/>
  <c r="C14" i="9"/>
  <c r="D14" i="9" s="1"/>
  <c r="C15" i="9"/>
  <c r="D15" i="9" s="1"/>
  <c r="C16" i="9"/>
  <c r="D16" i="9" s="1"/>
  <c r="C17" i="9"/>
  <c r="D17" i="9" s="1"/>
  <c r="C18" i="9"/>
  <c r="D18" i="9" s="1"/>
  <c r="C19" i="9"/>
  <c r="D19" i="9" s="1"/>
  <c r="C20" i="9"/>
  <c r="D20" i="9" s="1"/>
  <c r="C21" i="9"/>
  <c r="D21" i="9" s="1"/>
  <c r="C22" i="9"/>
  <c r="D22" i="9" s="1"/>
  <c r="C23" i="9"/>
  <c r="D23" i="9" s="1"/>
  <c r="C24" i="9"/>
  <c r="D24" i="9" s="1"/>
  <c r="C25" i="9"/>
  <c r="D25" i="9" s="1"/>
  <c r="C26" i="9"/>
  <c r="D26" i="9" s="1"/>
  <c r="C27" i="9"/>
  <c r="D27" i="9" s="1"/>
  <c r="C28" i="9"/>
  <c r="D28" i="9" s="1"/>
  <c r="C29" i="9"/>
  <c r="D29" i="9" s="1"/>
  <c r="C30" i="9"/>
  <c r="D30" i="9" s="1"/>
  <c r="C31" i="9"/>
  <c r="D31" i="9" s="1"/>
  <c r="C32" i="9"/>
  <c r="D32" i="9" s="1"/>
  <c r="C33" i="9"/>
  <c r="D33" i="9" s="1"/>
  <c r="C34" i="9"/>
  <c r="D34" i="9" s="1"/>
  <c r="C35" i="9"/>
  <c r="D35" i="9" s="1"/>
  <c r="C36" i="9"/>
  <c r="D36" i="9" s="1"/>
  <c r="C37" i="9"/>
  <c r="D37" i="9" s="1"/>
  <c r="C38" i="9"/>
  <c r="D38" i="9" s="1"/>
  <c r="C39" i="9"/>
  <c r="D39" i="9" s="1"/>
  <c r="C40" i="9"/>
  <c r="D40" i="9" s="1"/>
  <c r="C41" i="9"/>
  <c r="D41" i="9" s="1"/>
  <c r="C42" i="9"/>
  <c r="D42" i="9" s="1"/>
  <c r="C43" i="9"/>
  <c r="D43" i="9" s="1"/>
  <c r="C44" i="9"/>
  <c r="D44" i="9" s="1"/>
  <c r="C45" i="9"/>
  <c r="D45" i="9" s="1"/>
  <c r="C46" i="9"/>
  <c r="D46" i="9" s="1"/>
  <c r="C47" i="9"/>
  <c r="D47" i="9" s="1"/>
  <c r="C48" i="9"/>
  <c r="D48" i="9" s="1"/>
  <c r="C49" i="9"/>
  <c r="D49" i="9" s="1"/>
  <c r="C50" i="9"/>
  <c r="D50" i="9" s="1"/>
  <c r="C51" i="9"/>
  <c r="D51" i="9" s="1"/>
  <c r="C52" i="9"/>
  <c r="D52" i="9" s="1"/>
  <c r="C53" i="9"/>
  <c r="D53" i="9" s="1"/>
  <c r="C54" i="9"/>
  <c r="D54" i="9" s="1"/>
  <c r="C55" i="9"/>
  <c r="D55" i="9" s="1"/>
  <c r="C56" i="9"/>
  <c r="D56" i="9" s="1"/>
  <c r="C57" i="9"/>
  <c r="D57" i="9" s="1"/>
  <c r="C58" i="9"/>
  <c r="D58" i="9" s="1"/>
  <c r="C59" i="9"/>
  <c r="D59" i="9" s="1"/>
  <c r="C60" i="9"/>
  <c r="D60" i="9" s="1"/>
  <c r="C61" i="9"/>
  <c r="D61" i="9" s="1"/>
  <c r="C62" i="9"/>
  <c r="D62" i="9" s="1"/>
  <c r="C63" i="9"/>
  <c r="D63" i="9" s="1"/>
  <c r="C64" i="9"/>
  <c r="D64" i="9" s="1"/>
  <c r="C65" i="9"/>
  <c r="D65" i="9" s="1"/>
  <c r="C66" i="9"/>
  <c r="D66" i="9" s="1"/>
  <c r="C67" i="9"/>
  <c r="D67" i="9" s="1"/>
  <c r="C68" i="9"/>
  <c r="D68" i="9" s="1"/>
  <c r="C69" i="9"/>
  <c r="D69" i="9" s="1"/>
  <c r="C70" i="9"/>
  <c r="D70" i="9" s="1"/>
  <c r="C71" i="9"/>
  <c r="D71" i="9" s="1"/>
  <c r="C72" i="9"/>
  <c r="D72" i="9" s="1"/>
  <c r="C73" i="9"/>
  <c r="D73" i="9" s="1"/>
  <c r="C74" i="9"/>
  <c r="D74" i="9" s="1"/>
  <c r="C75" i="9"/>
  <c r="D75" i="9" s="1"/>
  <c r="C76" i="9"/>
  <c r="D76" i="9" s="1"/>
  <c r="C77" i="9"/>
  <c r="D77" i="9" s="1"/>
  <c r="C78" i="9"/>
  <c r="D78" i="9" s="1"/>
  <c r="C79" i="9"/>
  <c r="D79" i="9" s="1"/>
  <c r="C80" i="9"/>
  <c r="D80" i="9" s="1"/>
  <c r="C81" i="9"/>
  <c r="D81" i="9" s="1"/>
  <c r="C82" i="9"/>
  <c r="D82" i="9" s="1"/>
  <c r="C83" i="9"/>
  <c r="D83" i="9" s="1"/>
  <c r="C84" i="9"/>
  <c r="D84" i="9" s="1"/>
  <c r="C85" i="9"/>
  <c r="D85" i="9" s="1"/>
  <c r="C86" i="9"/>
  <c r="D86" i="9" s="1"/>
  <c r="C87" i="9"/>
  <c r="D87" i="9" s="1"/>
  <c r="C88" i="9"/>
  <c r="D88" i="9" s="1"/>
  <c r="C89" i="9"/>
  <c r="D89" i="9" s="1"/>
  <c r="C90" i="9"/>
  <c r="D90" i="9" s="1"/>
  <c r="C91" i="9"/>
  <c r="D91" i="9" s="1"/>
  <c r="C92" i="9"/>
  <c r="D92" i="9" s="1"/>
  <c r="C93" i="9"/>
  <c r="D93" i="9" s="1"/>
  <c r="C94" i="9"/>
  <c r="D94" i="9" s="1"/>
  <c r="C95" i="9"/>
  <c r="D95" i="9" s="1"/>
  <c r="C96" i="9"/>
  <c r="D96" i="9" s="1"/>
  <c r="C97" i="9"/>
  <c r="D97" i="9" s="1"/>
  <c r="C98" i="9"/>
  <c r="D98" i="9" s="1"/>
  <c r="C99" i="9"/>
  <c r="D99" i="9" s="1"/>
  <c r="C100" i="9"/>
  <c r="D100" i="9" s="1"/>
  <c r="C101" i="9"/>
  <c r="D101" i="9" s="1"/>
  <c r="C102" i="9"/>
  <c r="D102" i="9" s="1"/>
  <c r="C103" i="9"/>
  <c r="D103" i="9" s="1"/>
  <c r="C104" i="9"/>
  <c r="D104" i="9" s="1"/>
  <c r="C105" i="9"/>
  <c r="D105" i="9" s="1"/>
  <c r="C106" i="9"/>
  <c r="D106" i="9" s="1"/>
  <c r="C107" i="9"/>
  <c r="D107" i="9" s="1"/>
  <c r="C108" i="9"/>
  <c r="D108" i="9" s="1"/>
  <c r="C109" i="9"/>
  <c r="D109" i="9" s="1"/>
  <c r="C110" i="9"/>
  <c r="D110" i="9" s="1"/>
  <c r="C111" i="9"/>
  <c r="D111" i="9" s="1"/>
  <c r="C112" i="9"/>
  <c r="D112" i="9" s="1"/>
  <c r="C113" i="9"/>
  <c r="D113" i="9" s="1"/>
  <c r="C114" i="9"/>
  <c r="D114" i="9" s="1"/>
  <c r="C115" i="9"/>
  <c r="D115" i="9" s="1"/>
  <c r="C116" i="9"/>
  <c r="D116" i="9" s="1"/>
  <c r="C117" i="9"/>
  <c r="D117" i="9" s="1"/>
  <c r="C118" i="9"/>
  <c r="D118" i="9" s="1"/>
  <c r="C119" i="9"/>
  <c r="D119" i="9" s="1"/>
  <c r="C120" i="9"/>
  <c r="D120" i="9" s="1"/>
  <c r="C121" i="9"/>
  <c r="D121" i="9" s="1"/>
  <c r="C122" i="9"/>
  <c r="D122" i="9" s="1"/>
  <c r="C123" i="9"/>
  <c r="D123" i="9" s="1"/>
  <c r="C124" i="9"/>
  <c r="D124" i="9" s="1"/>
  <c r="C125" i="9"/>
  <c r="D125" i="9" s="1"/>
  <c r="C126" i="9"/>
  <c r="D126" i="9" s="1"/>
  <c r="C127" i="9"/>
  <c r="D127" i="9" s="1"/>
  <c r="C128" i="9"/>
  <c r="D128" i="9" s="1"/>
  <c r="C129" i="9"/>
  <c r="D129" i="9" s="1"/>
  <c r="C130" i="9"/>
  <c r="D130" i="9" s="1"/>
  <c r="C131" i="9"/>
  <c r="D131" i="9" s="1"/>
  <c r="C132" i="9"/>
  <c r="D132" i="9" s="1"/>
  <c r="C133" i="9"/>
  <c r="D133" i="9" s="1"/>
  <c r="C134" i="9"/>
  <c r="D134" i="9" s="1"/>
  <c r="C135" i="9"/>
  <c r="D135" i="9" s="1"/>
  <c r="C136" i="9"/>
  <c r="D136" i="9" s="1"/>
  <c r="C137" i="9"/>
  <c r="D137" i="9" s="1"/>
  <c r="C138" i="9"/>
  <c r="D138" i="9" s="1"/>
  <c r="C139" i="9"/>
  <c r="D139" i="9" s="1"/>
  <c r="C140" i="9"/>
  <c r="D140" i="9" s="1"/>
  <c r="C141" i="9"/>
  <c r="D141" i="9" s="1"/>
  <c r="C142" i="9"/>
  <c r="D142" i="9" s="1"/>
  <c r="C143" i="9"/>
  <c r="D143" i="9" s="1"/>
  <c r="C144" i="9"/>
  <c r="D144" i="9" s="1"/>
  <c r="C145" i="9"/>
  <c r="D145" i="9" s="1"/>
  <c r="C146" i="9"/>
  <c r="D146" i="9" s="1"/>
  <c r="C147" i="9"/>
  <c r="D147" i="9" s="1"/>
  <c r="C148" i="9"/>
  <c r="D148" i="9" s="1"/>
  <c r="C149" i="9"/>
  <c r="D149" i="9" s="1"/>
  <c r="C150" i="9"/>
  <c r="D150" i="9" s="1"/>
  <c r="C151" i="9"/>
  <c r="D151" i="9" s="1"/>
  <c r="C152" i="9"/>
  <c r="D152" i="9" s="1"/>
  <c r="C153" i="9"/>
  <c r="D153" i="9" s="1"/>
  <c r="C154" i="9"/>
  <c r="D154" i="9" s="1"/>
  <c r="C155" i="9"/>
  <c r="D155" i="9" s="1"/>
  <c r="C156" i="9"/>
  <c r="D156" i="9" s="1"/>
  <c r="C157" i="9"/>
  <c r="D157" i="9" s="1"/>
  <c r="C158" i="9"/>
  <c r="D158" i="9" s="1"/>
  <c r="C159" i="9"/>
  <c r="D159" i="9" s="1"/>
  <c r="C160" i="9"/>
  <c r="D160" i="9" s="1"/>
  <c r="C161" i="9"/>
  <c r="D161" i="9" s="1"/>
  <c r="C162" i="9"/>
  <c r="D162" i="9" s="1"/>
  <c r="C163" i="9"/>
  <c r="D163" i="9" s="1"/>
  <c r="C164" i="9"/>
  <c r="D164" i="9" s="1"/>
  <c r="C165" i="9"/>
  <c r="D165" i="9" s="1"/>
  <c r="C166" i="9"/>
  <c r="D166" i="9" s="1"/>
  <c r="C167" i="9"/>
  <c r="D167" i="9" s="1"/>
  <c r="C168" i="9"/>
  <c r="D168" i="9" s="1"/>
  <c r="C169" i="9"/>
  <c r="D169" i="9" s="1"/>
  <c r="C170" i="9"/>
  <c r="D170" i="9" s="1"/>
  <c r="C171" i="9"/>
  <c r="D171" i="9" s="1"/>
  <c r="C172" i="9"/>
  <c r="D172" i="9" s="1"/>
  <c r="C173" i="9"/>
  <c r="D173" i="9" s="1"/>
  <c r="C174" i="9"/>
  <c r="D174" i="9" s="1"/>
  <c r="C175" i="9"/>
  <c r="D175" i="9" s="1"/>
  <c r="C176" i="9"/>
  <c r="D176" i="9" s="1"/>
  <c r="C177" i="9"/>
  <c r="D177" i="9" s="1"/>
  <c r="C178" i="9"/>
  <c r="D178" i="9" s="1"/>
  <c r="C179" i="9"/>
  <c r="D179" i="9" s="1"/>
  <c r="C180" i="9"/>
  <c r="D180" i="9" s="1"/>
  <c r="C181" i="9"/>
  <c r="D181" i="9" s="1"/>
  <c r="C182" i="9"/>
  <c r="D182" i="9" s="1"/>
  <c r="C183" i="9"/>
  <c r="D183" i="9" s="1"/>
  <c r="C184" i="9"/>
  <c r="D184" i="9" s="1"/>
  <c r="C185" i="9"/>
  <c r="D185" i="9" s="1"/>
  <c r="C186" i="9"/>
  <c r="D186" i="9" s="1"/>
  <c r="C187" i="9"/>
  <c r="D187" i="9" s="1"/>
  <c r="C188" i="9"/>
  <c r="D188" i="9" s="1"/>
  <c r="C189" i="9"/>
  <c r="D189" i="9" s="1"/>
  <c r="C190" i="9"/>
  <c r="D190" i="9" s="1"/>
  <c r="C191" i="9"/>
  <c r="D191" i="9" s="1"/>
  <c r="C192" i="9"/>
  <c r="D192" i="9" s="1"/>
  <c r="C193" i="9"/>
  <c r="D193" i="9" s="1"/>
  <c r="C194" i="9"/>
  <c r="D194" i="9" s="1"/>
  <c r="C195" i="9"/>
  <c r="D195" i="9" s="1"/>
  <c r="C196" i="9"/>
  <c r="D196" i="9" s="1"/>
  <c r="C197" i="9"/>
  <c r="D197" i="9" s="1"/>
  <c r="C198" i="9"/>
  <c r="D198" i="9" s="1"/>
  <c r="C199" i="9"/>
  <c r="D199" i="9" s="1"/>
  <c r="C200" i="9"/>
  <c r="D200" i="9" s="1"/>
  <c r="C201" i="9"/>
  <c r="D201" i="9" s="1"/>
  <c r="C202" i="9"/>
  <c r="D202" i="9" s="1"/>
  <c r="C203" i="9"/>
  <c r="D203" i="9" s="1"/>
  <c r="C204" i="9"/>
  <c r="D204" i="9" s="1"/>
  <c r="C205" i="9"/>
  <c r="D205" i="9" s="1"/>
  <c r="C206" i="9"/>
  <c r="D206" i="9" s="1"/>
  <c r="C207" i="9"/>
  <c r="D207" i="9" s="1"/>
  <c r="C208" i="9"/>
  <c r="D208" i="9" s="1"/>
  <c r="C209" i="9"/>
  <c r="D209" i="9" s="1"/>
  <c r="C210" i="9"/>
  <c r="D210" i="9" s="1"/>
  <c r="C211" i="9"/>
  <c r="D211" i="9" s="1"/>
  <c r="C212" i="9"/>
  <c r="D212" i="9" s="1"/>
  <c r="C213" i="9"/>
  <c r="D213" i="9" s="1"/>
  <c r="C214" i="9"/>
  <c r="D214" i="9" s="1"/>
  <c r="C215" i="9"/>
  <c r="D215" i="9" s="1"/>
  <c r="C216" i="9"/>
  <c r="D216" i="9" s="1"/>
  <c r="C217" i="9"/>
  <c r="D217" i="9" s="1"/>
  <c r="C218" i="9"/>
  <c r="D218" i="9" s="1"/>
  <c r="C219" i="9"/>
  <c r="D219" i="9" s="1"/>
  <c r="C220" i="9"/>
  <c r="D220" i="9" s="1"/>
  <c r="C221" i="9"/>
  <c r="D221" i="9" s="1"/>
  <c r="C222" i="9"/>
  <c r="D222" i="9" s="1"/>
  <c r="C223" i="9"/>
  <c r="D223" i="9" s="1"/>
  <c r="C224" i="9"/>
  <c r="D224" i="9" s="1"/>
  <c r="C225" i="9"/>
  <c r="D225" i="9" s="1"/>
  <c r="C226" i="9"/>
  <c r="D226" i="9" s="1"/>
  <c r="C227" i="9"/>
  <c r="D227" i="9" s="1"/>
  <c r="C228" i="9"/>
  <c r="D228" i="9" s="1"/>
  <c r="C229" i="9"/>
  <c r="D229" i="9" s="1"/>
  <c r="C230" i="9"/>
  <c r="D230" i="9" s="1"/>
  <c r="C231" i="9"/>
  <c r="D231" i="9" s="1"/>
  <c r="C232" i="9"/>
  <c r="D232" i="9" s="1"/>
  <c r="C233" i="9"/>
  <c r="D233" i="9" s="1"/>
  <c r="C234" i="9"/>
  <c r="D234" i="9" s="1"/>
  <c r="C235" i="9"/>
  <c r="D235" i="9" s="1"/>
  <c r="C236" i="9"/>
  <c r="D236" i="9" s="1"/>
  <c r="C237" i="9"/>
  <c r="D237" i="9" s="1"/>
  <c r="C238" i="9"/>
  <c r="D238" i="9" s="1"/>
  <c r="C239" i="9"/>
  <c r="D239" i="9" s="1"/>
  <c r="C240" i="9"/>
  <c r="D240" i="9" s="1"/>
  <c r="C241" i="9"/>
  <c r="D241" i="9" s="1"/>
  <c r="C242" i="9"/>
  <c r="D242" i="9" s="1"/>
  <c r="C243" i="9"/>
  <c r="D243" i="9" s="1"/>
  <c r="C244" i="9"/>
  <c r="D244" i="9" s="1"/>
  <c r="C245" i="9"/>
  <c r="D245" i="9" s="1"/>
  <c r="C246" i="9"/>
  <c r="D246" i="9" s="1"/>
  <c r="C247" i="9"/>
  <c r="D247" i="9" s="1"/>
  <c r="C248" i="9"/>
  <c r="D248" i="9" s="1"/>
  <c r="C249" i="9"/>
  <c r="D249" i="9" s="1"/>
  <c r="C250" i="9"/>
  <c r="D250" i="9" s="1"/>
  <c r="C251" i="9"/>
  <c r="D251" i="9" s="1"/>
  <c r="C252" i="9"/>
  <c r="D252" i="9" s="1"/>
  <c r="C253" i="9"/>
  <c r="D253" i="9" s="1"/>
  <c r="C254" i="9"/>
  <c r="D254" i="9" s="1"/>
  <c r="C255" i="9"/>
  <c r="D255" i="9" s="1"/>
  <c r="C256" i="9"/>
  <c r="D256" i="9" s="1"/>
  <c r="C257" i="9"/>
  <c r="D257" i="9" s="1"/>
  <c r="C258" i="9"/>
  <c r="D258" i="9" s="1"/>
  <c r="C259" i="9"/>
  <c r="D259" i="9" s="1"/>
  <c r="C1" i="9"/>
  <c r="H29" i="1"/>
  <c r="H28" i="1"/>
  <c r="H27" i="1"/>
  <c r="H26" i="1"/>
  <c r="H7" i="1"/>
  <c r="I29" i="1"/>
  <c r="I28" i="1"/>
  <c r="I27" i="1"/>
  <c r="I26" i="1"/>
  <c r="I7" i="1"/>
  <c r="J35" i="1"/>
  <c r="F36" i="1"/>
  <c r="D34" i="1"/>
  <c r="H35" i="1"/>
  <c r="A7" i="7"/>
  <c r="A8" i="7" s="1"/>
  <c r="G55" i="1" l="1"/>
  <c r="I60" i="1"/>
  <c r="J60" i="1"/>
  <c r="J53" i="1"/>
  <c r="J55" i="1"/>
  <c r="I55" i="1"/>
  <c r="H55" i="1"/>
  <c r="K55" i="1"/>
  <c r="K56" i="1"/>
  <c r="I53" i="1"/>
  <c r="G53" i="1"/>
  <c r="K53" i="1" s="1"/>
  <c r="G37" i="1"/>
  <c r="K37" i="1" s="1"/>
  <c r="K39" i="1"/>
  <c r="H36" i="1"/>
  <c r="J36" i="1"/>
  <c r="O260" i="9"/>
  <c r="P260" i="9" s="1"/>
  <c r="O261" i="9"/>
  <c r="P261" i="9" s="1"/>
  <c r="D2" i="9"/>
  <c r="D7" i="9"/>
  <c r="O26" i="9"/>
  <c r="P26" i="9" s="1"/>
  <c r="O17" i="9"/>
  <c r="P17" i="9" s="1"/>
  <c r="O12" i="9"/>
  <c r="P12" i="9" s="1"/>
  <c r="O21" i="9"/>
  <c r="P21" i="9" s="1"/>
  <c r="O27" i="9"/>
  <c r="P27" i="9" s="1"/>
  <c r="O22" i="9"/>
  <c r="P22" i="9" s="1"/>
  <c r="O37" i="9"/>
  <c r="P37" i="9" s="1"/>
  <c r="O4" i="9"/>
  <c r="P4" i="9" s="1"/>
  <c r="O29" i="9"/>
  <c r="P29" i="9" s="1"/>
  <c r="O11" i="9"/>
  <c r="P11" i="9" s="1"/>
  <c r="O38" i="9"/>
  <c r="P38" i="9" s="1"/>
  <c r="O24" i="9"/>
  <c r="P24" i="9" s="1"/>
  <c r="O6" i="9"/>
  <c r="P6" i="9" s="1"/>
  <c r="O48" i="9"/>
  <c r="P48" i="9" s="1"/>
  <c r="O9" i="9"/>
  <c r="P9" i="9" s="1"/>
  <c r="O19" i="9"/>
  <c r="P19" i="9" s="1"/>
  <c r="O40" i="9"/>
  <c r="P40" i="9" s="1"/>
  <c r="O2" i="9"/>
  <c r="O16" i="9"/>
  <c r="P16" i="9" s="1"/>
  <c r="O7" i="9"/>
  <c r="P7" i="9" s="1"/>
  <c r="O301" i="9"/>
  <c r="P301" i="9" s="1"/>
  <c r="O255" i="9"/>
  <c r="P255" i="9" s="1"/>
  <c r="O250" i="9"/>
  <c r="P250" i="9" s="1"/>
  <c r="O245" i="9"/>
  <c r="P245" i="9" s="1"/>
  <c r="O240" i="9"/>
  <c r="P240" i="9" s="1"/>
  <c r="O235" i="9"/>
  <c r="P235" i="9" s="1"/>
  <c r="O230" i="9"/>
  <c r="P230" i="9" s="1"/>
  <c r="O225" i="9"/>
  <c r="P225" i="9" s="1"/>
  <c r="O220" i="9"/>
  <c r="P220" i="9" s="1"/>
  <c r="O215" i="9"/>
  <c r="P215" i="9" s="1"/>
  <c r="O210" i="9"/>
  <c r="P210" i="9" s="1"/>
  <c r="O205" i="9"/>
  <c r="P205" i="9" s="1"/>
  <c r="O200" i="9"/>
  <c r="P200" i="9" s="1"/>
  <c r="O300" i="9"/>
  <c r="P300" i="9" s="1"/>
  <c r="O191" i="9"/>
  <c r="O186" i="9"/>
  <c r="P186" i="9" s="1"/>
  <c r="O181" i="9"/>
  <c r="P181" i="9" s="1"/>
  <c r="O177" i="9"/>
  <c r="P177" i="9" s="1"/>
  <c r="O172" i="9"/>
  <c r="P172" i="9" s="1"/>
  <c r="O167" i="9"/>
  <c r="P167" i="9" s="1"/>
  <c r="O162" i="9"/>
  <c r="P162" i="9" s="1"/>
  <c r="O157" i="9"/>
  <c r="P157" i="9" s="1"/>
  <c r="O152" i="9"/>
  <c r="P152" i="9" s="1"/>
  <c r="O147" i="9"/>
  <c r="P147" i="9" s="1"/>
  <c r="O142" i="9"/>
  <c r="O137" i="9"/>
  <c r="P137" i="9" s="1"/>
  <c r="O132" i="9"/>
  <c r="P132" i="9" s="1"/>
  <c r="O127" i="9"/>
  <c r="P127" i="9" s="1"/>
  <c r="O122" i="9"/>
  <c r="P122" i="9" s="1"/>
  <c r="O117" i="9"/>
  <c r="P117" i="9" s="1"/>
  <c r="O112" i="9"/>
  <c r="P112" i="9" s="1"/>
  <c r="O107" i="9"/>
  <c r="P107" i="9" s="1"/>
  <c r="O102" i="9"/>
  <c r="P102" i="9" s="1"/>
  <c r="O97" i="9"/>
  <c r="P97" i="9" s="1"/>
  <c r="O92" i="9"/>
  <c r="P92" i="9" s="1"/>
  <c r="O87" i="9"/>
  <c r="P87" i="9" s="1"/>
  <c r="O82" i="9"/>
  <c r="P82" i="9" s="1"/>
  <c r="O77" i="9"/>
  <c r="P77" i="9" s="1"/>
  <c r="O72" i="9"/>
  <c r="P72" i="9" s="1"/>
  <c r="O67" i="9"/>
  <c r="P67" i="9" s="1"/>
  <c r="O294" i="9"/>
  <c r="P294" i="9" s="1"/>
  <c r="O289" i="9"/>
  <c r="P289" i="9" s="1"/>
  <c r="O284" i="9"/>
  <c r="P284" i="9" s="1"/>
  <c r="O281" i="9"/>
  <c r="P281" i="9" s="1"/>
  <c r="O276" i="9"/>
  <c r="O271" i="9"/>
  <c r="P271" i="9" s="1"/>
  <c r="O266" i="9"/>
  <c r="P266" i="9" s="1"/>
  <c r="O61" i="9"/>
  <c r="P61" i="9" s="1"/>
  <c r="O56" i="9"/>
  <c r="P56" i="9" s="1"/>
  <c r="O51" i="9"/>
  <c r="P51" i="9" s="1"/>
  <c r="O46" i="9"/>
  <c r="P46" i="9" s="1"/>
  <c r="O41" i="9"/>
  <c r="P41" i="9" s="1"/>
  <c r="O36" i="9"/>
  <c r="P36" i="9" s="1"/>
  <c r="O31" i="9"/>
  <c r="P31" i="9" s="1"/>
  <c r="O256" i="9"/>
  <c r="P256" i="9" s="1"/>
  <c r="O251" i="9"/>
  <c r="P251" i="9" s="1"/>
  <c r="O246" i="9"/>
  <c r="P246" i="9" s="1"/>
  <c r="O241" i="9"/>
  <c r="P241" i="9" s="1"/>
  <c r="O236" i="9"/>
  <c r="P236" i="9" s="1"/>
  <c r="O231" i="9"/>
  <c r="P231" i="9" s="1"/>
  <c r="O226" i="9"/>
  <c r="P226" i="9" s="1"/>
  <c r="O221" i="9"/>
  <c r="P221" i="9" s="1"/>
  <c r="O216" i="9"/>
  <c r="P216" i="9" s="1"/>
  <c r="O211" i="9"/>
  <c r="P211" i="9" s="1"/>
  <c r="O206" i="9"/>
  <c r="P206" i="9" s="1"/>
  <c r="O201" i="9"/>
  <c r="P201" i="9" s="1"/>
  <c r="O196" i="9"/>
  <c r="P196" i="9" s="1"/>
  <c r="O192" i="9"/>
  <c r="P192" i="9" s="1"/>
  <c r="O187" i="9"/>
  <c r="P187" i="9" s="1"/>
  <c r="O182" i="9"/>
  <c r="P182" i="9" s="1"/>
  <c r="O178" i="9"/>
  <c r="P178" i="9" s="1"/>
  <c r="O173" i="9"/>
  <c r="P173" i="9" s="1"/>
  <c r="O168" i="9"/>
  <c r="P168" i="9" s="1"/>
  <c r="O163" i="9"/>
  <c r="P163" i="9" s="1"/>
  <c r="O158" i="9"/>
  <c r="P158" i="9" s="1"/>
  <c r="O153" i="9"/>
  <c r="P153" i="9" s="1"/>
  <c r="O148" i="9"/>
  <c r="P148" i="9" s="1"/>
  <c r="O143" i="9"/>
  <c r="P143" i="9" s="1"/>
  <c r="O138" i="9"/>
  <c r="P138" i="9" s="1"/>
  <c r="O133" i="9"/>
  <c r="P133" i="9" s="1"/>
  <c r="O128" i="9"/>
  <c r="P128" i="9" s="1"/>
  <c r="O123" i="9"/>
  <c r="P123" i="9" s="1"/>
  <c r="O118" i="9"/>
  <c r="P118" i="9" s="1"/>
  <c r="O113" i="9"/>
  <c r="P113" i="9" s="1"/>
  <c r="O108" i="9"/>
  <c r="P108" i="9" s="1"/>
  <c r="O103" i="9"/>
  <c r="P103" i="9" s="1"/>
  <c r="O98" i="9"/>
  <c r="P98" i="9" s="1"/>
  <c r="O93" i="9"/>
  <c r="P93" i="9" s="1"/>
  <c r="O88" i="9"/>
  <c r="P88" i="9" s="1"/>
  <c r="O83" i="9"/>
  <c r="P83" i="9" s="1"/>
  <c r="O78" i="9"/>
  <c r="P78" i="9" s="1"/>
  <c r="O73" i="9"/>
  <c r="P73" i="9" s="1"/>
  <c r="O68" i="9"/>
  <c r="P68" i="9" s="1"/>
  <c r="O295" i="9"/>
  <c r="P295" i="9" s="1"/>
  <c r="O290" i="9"/>
  <c r="P290" i="9" s="1"/>
  <c r="O285" i="9"/>
  <c r="P285" i="9" s="1"/>
  <c r="O282" i="9"/>
  <c r="P282" i="9" s="1"/>
  <c r="O277" i="9"/>
  <c r="P277" i="9" s="1"/>
  <c r="O272" i="9"/>
  <c r="P272" i="9" s="1"/>
  <c r="O267" i="9"/>
  <c r="P267" i="9" s="1"/>
  <c r="O262" i="9"/>
  <c r="P262" i="9" s="1"/>
  <c r="O62" i="9"/>
  <c r="P62" i="9" s="1"/>
  <c r="O57" i="9"/>
  <c r="P57" i="9" s="1"/>
  <c r="O249" i="9"/>
  <c r="P249" i="9" s="1"/>
  <c r="O243" i="9"/>
  <c r="P243" i="9" s="1"/>
  <c r="O237" i="9"/>
  <c r="P237" i="9" s="1"/>
  <c r="O224" i="9"/>
  <c r="P224" i="9" s="1"/>
  <c r="O218" i="9"/>
  <c r="P218" i="9" s="1"/>
  <c r="O212" i="9"/>
  <c r="P212" i="9" s="1"/>
  <c r="O199" i="9"/>
  <c r="P199" i="9" s="1"/>
  <c r="O194" i="9"/>
  <c r="P194" i="9" s="1"/>
  <c r="O188" i="9"/>
  <c r="P188" i="9" s="1"/>
  <c r="O176" i="9"/>
  <c r="P176" i="9" s="1"/>
  <c r="O170" i="9"/>
  <c r="P170" i="9" s="1"/>
  <c r="O164" i="9"/>
  <c r="P164" i="9" s="1"/>
  <c r="O151" i="9"/>
  <c r="P151" i="9" s="1"/>
  <c r="O145" i="9"/>
  <c r="P145" i="9" s="1"/>
  <c r="O139" i="9"/>
  <c r="P139" i="9" s="1"/>
  <c r="O126" i="9"/>
  <c r="P126" i="9" s="1"/>
  <c r="O120" i="9"/>
  <c r="P120" i="9" s="1"/>
  <c r="O114" i="9"/>
  <c r="P114" i="9" s="1"/>
  <c r="O101" i="9"/>
  <c r="P101" i="9" s="1"/>
  <c r="O95" i="9"/>
  <c r="P95" i="9" s="1"/>
  <c r="O89" i="9"/>
  <c r="P89" i="9" s="1"/>
  <c r="O76" i="9"/>
  <c r="P76" i="9" s="1"/>
  <c r="O70" i="9"/>
  <c r="P70" i="9" s="1"/>
  <c r="O296" i="9"/>
  <c r="P296" i="9" s="1"/>
  <c r="O66" i="9"/>
  <c r="P66" i="9" s="1"/>
  <c r="O279" i="9"/>
  <c r="P279" i="9" s="1"/>
  <c r="O273" i="9"/>
  <c r="P273" i="9" s="1"/>
  <c r="O59" i="9"/>
  <c r="P59" i="9" s="1"/>
  <c r="O53" i="9"/>
  <c r="P53" i="9" s="1"/>
  <c r="O42" i="9"/>
  <c r="P42" i="9" s="1"/>
  <c r="O47" i="9"/>
  <c r="P47" i="9" s="1"/>
  <c r="O30" i="9"/>
  <c r="P30" i="9" s="1"/>
  <c r="O25" i="9"/>
  <c r="P25" i="9" s="1"/>
  <c r="O20" i="9"/>
  <c r="P20" i="9" s="1"/>
  <c r="O15" i="9"/>
  <c r="P15" i="9" s="1"/>
  <c r="O10" i="9"/>
  <c r="P10" i="9" s="1"/>
  <c r="O5" i="9"/>
  <c r="P5" i="9" s="1"/>
  <c r="O254" i="9"/>
  <c r="P254" i="9" s="1"/>
  <c r="O248" i="9"/>
  <c r="P248" i="9" s="1"/>
  <c r="O242" i="9"/>
  <c r="P242" i="9" s="1"/>
  <c r="O229" i="9"/>
  <c r="P229" i="9" s="1"/>
  <c r="O223" i="9"/>
  <c r="P223" i="9" s="1"/>
  <c r="O217" i="9"/>
  <c r="P217" i="9" s="1"/>
  <c r="O204" i="9"/>
  <c r="P204" i="9" s="1"/>
  <c r="O198" i="9"/>
  <c r="P198" i="9" s="1"/>
  <c r="O193" i="9"/>
  <c r="P193" i="9" s="1"/>
  <c r="O299" i="9"/>
  <c r="P299" i="9" s="1"/>
  <c r="O175" i="9"/>
  <c r="P175" i="9" s="1"/>
  <c r="O169" i="9"/>
  <c r="P169" i="9" s="1"/>
  <c r="O156" i="9"/>
  <c r="P156" i="9" s="1"/>
  <c r="O150" i="9"/>
  <c r="P150" i="9" s="1"/>
  <c r="O144" i="9"/>
  <c r="P144" i="9" s="1"/>
  <c r="O131" i="9"/>
  <c r="P131" i="9" s="1"/>
  <c r="O125" i="9"/>
  <c r="P125" i="9" s="1"/>
  <c r="O119" i="9"/>
  <c r="P119" i="9" s="1"/>
  <c r="O106" i="9"/>
  <c r="P106" i="9" s="1"/>
  <c r="O100" i="9"/>
  <c r="P100" i="9" s="1"/>
  <c r="O94" i="9"/>
  <c r="P94" i="9" s="1"/>
  <c r="O81" i="9"/>
  <c r="P81" i="9" s="1"/>
  <c r="O75" i="9"/>
  <c r="P75" i="9" s="1"/>
  <c r="O69" i="9"/>
  <c r="P69" i="9" s="1"/>
  <c r="O288" i="9"/>
  <c r="P288" i="9" s="1"/>
  <c r="O283" i="9"/>
  <c r="P283" i="9" s="1"/>
  <c r="O278" i="9"/>
  <c r="P278" i="9" s="1"/>
  <c r="O265" i="9"/>
  <c r="P265" i="9" s="1"/>
  <c r="O64" i="9"/>
  <c r="P64" i="9" s="1"/>
  <c r="O58" i="9"/>
  <c r="P58" i="9" s="1"/>
  <c r="O52" i="9"/>
  <c r="P52" i="9" s="1"/>
  <c r="O35" i="9"/>
  <c r="P35" i="9" s="1"/>
  <c r="O259" i="9"/>
  <c r="P259" i="9" s="1"/>
  <c r="O253" i="9"/>
  <c r="P253" i="9" s="1"/>
  <c r="O247" i="9"/>
  <c r="P247" i="9" s="1"/>
  <c r="O234" i="9"/>
  <c r="P234" i="9" s="1"/>
  <c r="O228" i="9"/>
  <c r="P228" i="9" s="1"/>
  <c r="O222" i="9"/>
  <c r="P222" i="9" s="1"/>
  <c r="O209" i="9"/>
  <c r="P209" i="9" s="1"/>
  <c r="O203" i="9"/>
  <c r="P203" i="9" s="1"/>
  <c r="O197" i="9"/>
  <c r="P197" i="9" s="1"/>
  <c r="O185" i="9"/>
  <c r="P185" i="9" s="1"/>
  <c r="O180" i="9"/>
  <c r="P180" i="9" s="1"/>
  <c r="O174" i="9"/>
  <c r="P174" i="9" s="1"/>
  <c r="O161" i="9"/>
  <c r="P161" i="9" s="1"/>
  <c r="O155" i="9"/>
  <c r="P155" i="9" s="1"/>
  <c r="O149" i="9"/>
  <c r="P149" i="9" s="1"/>
  <c r="O136" i="9"/>
  <c r="P136" i="9" s="1"/>
  <c r="O130" i="9"/>
  <c r="P130" i="9" s="1"/>
  <c r="O124" i="9"/>
  <c r="P124" i="9" s="1"/>
  <c r="O111" i="9"/>
  <c r="P111" i="9" s="1"/>
  <c r="O105" i="9"/>
  <c r="P105" i="9" s="1"/>
  <c r="O99" i="9"/>
  <c r="P99" i="9" s="1"/>
  <c r="O86" i="9"/>
  <c r="P86" i="9" s="1"/>
  <c r="O80" i="9"/>
  <c r="P80" i="9" s="1"/>
  <c r="O74" i="9"/>
  <c r="P74" i="9" s="1"/>
  <c r="O293" i="9"/>
  <c r="P293" i="9" s="1"/>
  <c r="O287" i="9"/>
  <c r="P287" i="9" s="1"/>
  <c r="O65" i="9"/>
  <c r="P65" i="9" s="1"/>
  <c r="O270" i="9"/>
  <c r="P270" i="9" s="1"/>
  <c r="O264" i="9"/>
  <c r="P264" i="9" s="1"/>
  <c r="O63" i="9"/>
  <c r="P63" i="9" s="1"/>
  <c r="O45" i="9"/>
  <c r="P45" i="9" s="1"/>
  <c r="O34" i="9"/>
  <c r="P34" i="9" s="1"/>
  <c r="O50" i="9"/>
  <c r="P50" i="9" s="1"/>
  <c r="O39" i="9"/>
  <c r="P39" i="9" s="1"/>
  <c r="O28" i="9"/>
  <c r="P28" i="9" s="1"/>
  <c r="O23" i="9"/>
  <c r="P23" i="9" s="1"/>
  <c r="O18" i="9"/>
  <c r="P18" i="9" s="1"/>
  <c r="O13" i="9"/>
  <c r="P13" i="9" s="1"/>
  <c r="O8" i="9"/>
  <c r="P8" i="9" s="1"/>
  <c r="O3" i="9"/>
  <c r="P3" i="9" s="1"/>
  <c r="O49" i="9"/>
  <c r="P49" i="9" s="1"/>
  <c r="O258" i="9"/>
  <c r="P258" i="9" s="1"/>
  <c r="O252" i="9"/>
  <c r="P252" i="9" s="1"/>
  <c r="O239" i="9"/>
  <c r="P239" i="9" s="1"/>
  <c r="O233" i="9"/>
  <c r="P233" i="9" s="1"/>
  <c r="O227" i="9"/>
  <c r="P227" i="9" s="1"/>
  <c r="O214" i="9"/>
  <c r="P214" i="9" s="1"/>
  <c r="O208" i="9"/>
  <c r="P208" i="9" s="1"/>
  <c r="O202" i="9"/>
  <c r="P202" i="9" s="1"/>
  <c r="O190" i="9"/>
  <c r="P190" i="9" s="1"/>
  <c r="O184" i="9"/>
  <c r="P184" i="9" s="1"/>
  <c r="O179" i="9"/>
  <c r="P179" i="9" s="1"/>
  <c r="O166" i="9"/>
  <c r="P166" i="9" s="1"/>
  <c r="O160" i="9"/>
  <c r="P160" i="9" s="1"/>
  <c r="O154" i="9"/>
  <c r="P154" i="9" s="1"/>
  <c r="O141" i="9"/>
  <c r="P141" i="9" s="1"/>
  <c r="O135" i="9"/>
  <c r="P135" i="9" s="1"/>
  <c r="O129" i="9"/>
  <c r="P129" i="9" s="1"/>
  <c r="O116" i="9"/>
  <c r="P116" i="9" s="1"/>
  <c r="O110" i="9"/>
  <c r="P110" i="9" s="1"/>
  <c r="O104" i="9"/>
  <c r="P104" i="9" s="1"/>
  <c r="O91" i="9"/>
  <c r="P91" i="9" s="1"/>
  <c r="O85" i="9"/>
  <c r="P85" i="9" s="1"/>
  <c r="O79" i="9"/>
  <c r="P79" i="9" s="1"/>
  <c r="O298" i="9"/>
  <c r="P298" i="9" s="1"/>
  <c r="O292" i="9"/>
  <c r="P292" i="9" s="1"/>
  <c r="O286" i="9"/>
  <c r="P286" i="9" s="1"/>
  <c r="O275" i="9"/>
  <c r="P275" i="9" s="1"/>
  <c r="O269" i="9"/>
  <c r="P269" i="9" s="1"/>
  <c r="O263" i="9"/>
  <c r="P263" i="9" s="1"/>
  <c r="O55" i="9"/>
  <c r="P55" i="9" s="1"/>
  <c r="O44" i="9"/>
  <c r="P44" i="9" s="1"/>
  <c r="O33" i="9"/>
  <c r="P33" i="9" s="1"/>
  <c r="O257" i="9"/>
  <c r="P257" i="9" s="1"/>
  <c r="O244" i="9"/>
  <c r="P244" i="9" s="1"/>
  <c r="O238" i="9"/>
  <c r="P238" i="9" s="1"/>
  <c r="O232" i="9"/>
  <c r="P232" i="9" s="1"/>
  <c r="O219" i="9"/>
  <c r="P219" i="9" s="1"/>
  <c r="O213" i="9"/>
  <c r="P213" i="9" s="1"/>
  <c r="O207" i="9"/>
  <c r="P207" i="9" s="1"/>
  <c r="O195" i="9"/>
  <c r="P195" i="9" s="1"/>
  <c r="O189" i="9"/>
  <c r="P189" i="9" s="1"/>
  <c r="O183" i="9"/>
  <c r="P183" i="9" s="1"/>
  <c r="O171" i="9"/>
  <c r="P171" i="9" s="1"/>
  <c r="O165" i="9"/>
  <c r="P165" i="9" s="1"/>
  <c r="O159" i="9"/>
  <c r="P159" i="9" s="1"/>
  <c r="O146" i="9"/>
  <c r="P146" i="9" s="1"/>
  <c r="O140" i="9"/>
  <c r="P140" i="9" s="1"/>
  <c r="O134" i="9"/>
  <c r="P134" i="9" s="1"/>
  <c r="O121" i="9"/>
  <c r="P121" i="9" s="1"/>
  <c r="O115" i="9"/>
  <c r="P115" i="9" s="1"/>
  <c r="O109" i="9"/>
  <c r="P109" i="9" s="1"/>
  <c r="O96" i="9"/>
  <c r="P96" i="9" s="1"/>
  <c r="O90" i="9"/>
  <c r="P90" i="9" s="1"/>
  <c r="O84" i="9"/>
  <c r="P84" i="9" s="1"/>
  <c r="O71" i="9"/>
  <c r="P71" i="9" s="1"/>
  <c r="O297" i="9"/>
  <c r="P297" i="9" s="1"/>
  <c r="O291" i="9"/>
  <c r="P291" i="9" s="1"/>
  <c r="O280" i="9"/>
  <c r="P280" i="9" s="1"/>
  <c r="O274" i="9"/>
  <c r="P274" i="9" s="1"/>
  <c r="O268" i="9"/>
  <c r="P268" i="9" s="1"/>
  <c r="O60" i="9"/>
  <c r="P60" i="9" s="1"/>
  <c r="O54" i="9"/>
  <c r="P54" i="9" s="1"/>
  <c r="O43" i="9"/>
  <c r="P43" i="9" s="1"/>
  <c r="O32" i="9"/>
  <c r="P32" i="9" s="1"/>
  <c r="P2" i="9"/>
  <c r="O14" i="9"/>
  <c r="P14" i="9" s="1"/>
  <c r="P191" i="9"/>
  <c r="P276" i="9"/>
  <c r="P142" i="9"/>
  <c r="I35" i="1"/>
  <c r="E34" i="1"/>
  <c r="F34" i="1"/>
  <c r="J34" i="1" s="1"/>
  <c r="G36" i="1"/>
  <c r="K36" i="1" s="1"/>
  <c r="G35" i="1"/>
  <c r="A9" i="7"/>
  <c r="K60" i="1" l="1"/>
  <c r="H60" i="1"/>
  <c r="A10" i="7"/>
  <c r="H34" i="1"/>
  <c r="I34" i="1"/>
  <c r="G34" i="1"/>
  <c r="K35" i="1"/>
  <c r="J29" i="1"/>
  <c r="J28" i="1"/>
  <c r="J27" i="1"/>
  <c r="J26" i="1"/>
  <c r="J7" i="1"/>
  <c r="A11" i="7" l="1"/>
  <c r="K34" i="1"/>
  <c r="G29" i="1"/>
  <c r="K29" i="1" s="1"/>
  <c r="G28" i="1"/>
  <c r="K28" i="1" s="1"/>
  <c r="G27" i="1"/>
  <c r="K27" i="1" s="1"/>
  <c r="G26" i="1"/>
  <c r="J11" i="1" l="1"/>
  <c r="H11" i="1"/>
  <c r="J23" i="1"/>
  <c r="J22" i="1"/>
  <c r="K26" i="1"/>
  <c r="G25" i="1"/>
  <c r="K25" i="1" s="1"/>
  <c r="I22" i="1"/>
  <c r="H22" i="1"/>
  <c r="A12" i="7"/>
  <c r="H23" i="1"/>
  <c r="I23" i="1"/>
  <c r="H25" i="1"/>
  <c r="I25" i="1"/>
  <c r="J25" i="1"/>
  <c r="K23" i="1"/>
  <c r="K22" i="1"/>
  <c r="G14" i="1"/>
  <c r="K14" i="1" s="1"/>
  <c r="G13" i="1"/>
  <c r="K13" i="1" s="1"/>
  <c r="F10" i="1"/>
  <c r="G12" i="1"/>
  <c r="K12" i="1" s="1"/>
  <c r="D10" i="1"/>
  <c r="G11" i="1"/>
  <c r="K11" i="1" s="1"/>
  <c r="E10" i="1"/>
  <c r="A5" i="2"/>
  <c r="A13" i="7" l="1"/>
  <c r="H21" i="1"/>
  <c r="I21" i="1"/>
  <c r="H10" i="1"/>
  <c r="I10" i="1"/>
  <c r="K7" i="1"/>
  <c r="J21" i="1"/>
  <c r="J10" i="1"/>
  <c r="G10" i="1"/>
  <c r="A6" i="2"/>
  <c r="K21" i="1" l="1"/>
  <c r="A14" i="7"/>
  <c r="K10" i="1"/>
  <c r="A7" i="2"/>
  <c r="A15" i="7" l="1"/>
  <c r="A9" i="2"/>
  <c r="A16" i="7" l="1"/>
  <c r="A10" i="2"/>
  <c r="A11" i="2" s="1"/>
  <c r="A13" i="2" s="1"/>
  <c r="A17" i="7" l="1"/>
  <c r="A14" i="2"/>
  <c r="A18" i="7" l="1"/>
  <c r="A15" i="2"/>
  <c r="A19" i="7" l="1"/>
  <c r="A20" i="7" s="1"/>
  <c r="A21" i="7" s="1"/>
  <c r="A17" i="2"/>
  <c r="A22" i="7" l="1"/>
  <c r="A19" i="2"/>
  <c r="A23" i="7" l="1"/>
  <c r="A24" i="7" s="1"/>
  <c r="A25" i="7" s="1"/>
  <c r="A26" i="7" s="1"/>
  <c r="A27" i="7" s="1"/>
  <c r="A28" i="7" s="1"/>
  <c r="A29" i="7" s="1"/>
  <c r="A30" i="7" s="1"/>
  <c r="A20" i="2"/>
  <c r="A31" i="7" l="1"/>
  <c r="A21" i="2"/>
  <c r="A22" i="2" s="1"/>
  <c r="A24" i="2" l="1"/>
  <c r="A26" i="2" s="1"/>
  <c r="A27" i="2" s="1"/>
  <c r="A29" i="2" s="1"/>
  <c r="A31" i="2" s="1"/>
  <c r="A33" i="2" s="1"/>
  <c r="A34" i="2" s="1"/>
  <c r="A35" i="2" s="1"/>
  <c r="A36" i="2" s="1"/>
  <c r="A38" i="2" s="1"/>
  <c r="A39" i="2" s="1"/>
  <c r="A40" i="2" s="1"/>
  <c r="A41" i="2" s="1"/>
  <c r="A42" i="2" s="1"/>
  <c r="A43" i="2" s="1"/>
  <c r="A44" i="2" l="1"/>
  <c r="A46" i="2" s="1"/>
  <c r="A47" i="2" s="1"/>
  <c r="A48" i="2" s="1"/>
  <c r="A50" i="2" s="1"/>
  <c r="A51" i="2" s="1"/>
  <c r="A52" i="2" s="1"/>
  <c r="A53" i="2" s="1"/>
  <c r="A54" i="2" s="1"/>
  <c r="A55" i="2" s="1"/>
  <c r="A56" i="2" s="1"/>
  <c r="A57" i="2" s="1"/>
  <c r="A59" i="2" s="1"/>
  <c r="A60" i="2" s="1"/>
  <c r="A61" i="2" s="1"/>
  <c r="A63" i="2" s="1"/>
  <c r="A65" i="2" s="1"/>
  <c r="A66" i="2" s="1"/>
  <c r="A67" i="2" s="1"/>
  <c r="A68" i="2" s="1"/>
  <c r="A69" i="2" s="1"/>
  <c r="A71" i="2" s="1"/>
  <c r="A72" i="2" s="1"/>
  <c r="A73" i="2" s="1"/>
  <c r="A75" i="2" s="1"/>
  <c r="A76" i="2" s="1"/>
  <c r="A77" i="2" s="1"/>
  <c r="A78" i="2" s="1"/>
  <c r="A80" i="2" s="1"/>
  <c r="A81" i="2" s="1"/>
  <c r="A83" i="2" s="1"/>
  <c r="A85" i="2" s="1"/>
  <c r="A86" i="2" s="1"/>
  <c r="A87" i="2" s="1"/>
  <c r="A88" i="2" s="1"/>
  <c r="A89" i="2" s="1"/>
  <c r="A91" i="2" s="1"/>
  <c r="A93" i="2" s="1"/>
  <c r="A94" i="2" s="1"/>
  <c r="A95" i="2" s="1"/>
  <c r="A97" i="2" s="1"/>
  <c r="A98" i="2" s="1"/>
  <c r="A100" i="2" s="1"/>
  <c r="A101" i="2" s="1"/>
  <c r="A102" i="2" s="1"/>
  <c r="A103" i="2" s="1"/>
  <c r="A105" i="2" s="1"/>
  <c r="A106" i="2" s="1"/>
  <c r="A108" i="2" s="1"/>
  <c r="A109" i="2" s="1"/>
  <c r="A110" i="2" s="1"/>
  <c r="A112" i="2" s="1"/>
  <c r="A113" i="2" s="1"/>
  <c r="A115" i="2" s="1"/>
  <c r="A116" i="2" s="1"/>
  <c r="A117" i="2" s="1"/>
  <c r="A119" i="2" s="1"/>
  <c r="A120" i="2" s="1"/>
  <c r="A121" i="2" s="1"/>
  <c r="A123" i="2" s="1"/>
  <c r="A124" i="2" s="1"/>
  <c r="A125" i="2" s="1"/>
  <c r="A4" i="4" l="1"/>
  <c r="A5" i="4"/>
  <c r="A6" i="4" l="1"/>
  <c r="A7" i="4" l="1"/>
  <c r="A8" i="4" s="1"/>
  <c r="A9" i="4" l="1"/>
  <c r="A10" i="4" l="1"/>
  <c r="A11" i="4" l="1"/>
  <c r="A12" i="4" l="1"/>
  <c r="A13" i="4" l="1"/>
  <c r="A14" i="4" l="1"/>
  <c r="A15" i="4" l="1"/>
  <c r="A16" i="4" s="1"/>
  <c r="A17" i="4" s="1"/>
  <c r="A18" i="4" s="1"/>
  <c r="A19" i="4" l="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E19" i="1" l="1"/>
  <c r="F20" i="1"/>
  <c r="D19" i="1"/>
  <c r="E20" i="1"/>
  <c r="J19" i="1" l="1"/>
  <c r="G19" i="1"/>
  <c r="D20" i="1"/>
  <c r="G20" i="1" s="1"/>
  <c r="K20" i="1" s="1"/>
  <c r="F15" i="1"/>
  <c r="I19" i="1"/>
  <c r="H19" i="1"/>
  <c r="E15" i="1"/>
  <c r="J20" i="1" l="1"/>
  <c r="D15" i="1"/>
  <c r="K19" i="1"/>
  <c r="G15" i="1"/>
  <c r="I20" i="1"/>
  <c r="H20" i="1"/>
  <c r="K15" i="1" l="1"/>
  <c r="K6" i="1"/>
  <c r="J15" i="1"/>
  <c r="H15" i="1"/>
  <c r="I15" i="1"/>
  <c r="J6" i="1"/>
  <c r="I6" i="1"/>
  <c r="H6" i="1"/>
</calcChain>
</file>

<file path=xl/sharedStrings.xml><?xml version="1.0" encoding="utf-8"?>
<sst xmlns="http://schemas.openxmlformats.org/spreadsheetml/2006/main" count="5241" uniqueCount="2384">
  <si>
    <t>т/р</t>
  </si>
  <si>
    <t>Модул</t>
  </si>
  <si>
    <t>Масъул ходимлар</t>
  </si>
  <si>
    <t>Якунлаш муддати</t>
  </si>
  <si>
    <t>Қисқача мазмуни</t>
  </si>
  <si>
    <t>Вазирлик ва идораларнинг маълумотлар базаларидан кунлик, ойлик ва чораклик маълумотларни Ҳисоб палатасининг маълумотлар базасига жамлаш.</t>
  </si>
  <si>
    <t>1.1. Ғазначилик:</t>
  </si>
  <si>
    <t>- шартномалар;</t>
  </si>
  <si>
    <t>- электрон ҳисоб фактуралар;</t>
  </si>
  <si>
    <t>- смета ўзгаришлари;</t>
  </si>
  <si>
    <t>1.2. УзАСБО ДТ:</t>
  </si>
  <si>
    <t>- ҳисобланган ойлик иш ҳақлари;</t>
  </si>
  <si>
    <t>- кадрлар ва уларнинг жамланмаси;</t>
  </si>
  <si>
    <t>- амалга оширилган тўловлар (нақд, пластик ва кўчирмалар);</t>
  </si>
  <si>
    <t>1.3. Олий таълим, фан ва инновациялар вазирлиги:</t>
  </si>
  <si>
    <t>- “Олий таълим жараёнларини бошқариш - HEMIS” ахборот тизимига интеграция қилиш;</t>
  </si>
  <si>
    <t>- Давлат олий таълим муассасалари талабалари учун электрон шартномалар тузиш, тўлов-контракт асосида ўқитиш харажатларини онлайн тўлаш ва маблағлар ҳисобини юритиш бўйича ягона ахборот тизимига интеграция қилиш;</t>
  </si>
  <si>
    <t>- “Олий, ўрта махсус ва профессионал таълим муассасалари диплом маълумотлари базаси ва таълим тўғрисидаги ҳужжатларнинг дубликатини бериш” ахборот тизимга интеграция қилиш.</t>
  </si>
  <si>
    <t>1.4. “Ҳудудий электр тармоқлари” АЖ:</t>
  </si>
  <si>
    <t>- Юридик, жисмоний шахслар ва якка тартибдаги тадбиркорлар томонидан ҳақиқатда фойдаланилган электр энергия тизимга интеграция қилиш.</t>
  </si>
  <si>
    <t>1.5. Тоғ-кон саноати ва геология вазирлиги:</t>
  </si>
  <si>
    <t>- Ер қаъри участкаларидан фойдаланиш ҳуқуқи учун лицензия берилганлиги, уларнинг амал қилиши вақтинча тўхтатилганлиги ва тугатилганлиги, ҳамда мазкур ҳужжатлар бекор қилинганлиги тўғрисидаги тизимга интеграция қилиш;</t>
  </si>
  <si>
    <t>- Ер қаъри участкаларидан фойдаланувчилар томонидан йиллик қазиб олинган фойдали қазилмалар ҳажмлари тўғрисидаги тизимга интеграция қилиш;</t>
  </si>
  <si>
    <t>- Ер ости сувларидан фойдаланувчи тадбиркорлик субъектлари ва олинган сув ҳажми тўғрисидаги маълумотларга интеграция қилиш;</t>
  </si>
  <si>
    <t>- “Кон ишларини ривожлантириш йиллик режалари”да қазиб олиниши кутилаётган фойдали қазилмаларнинг чораклар кесимидаги ҳажмлари тўғрисидаги маълумотларга интеграция қилиш.</t>
  </si>
  <si>
    <t>1.6. Кадастр агентлиги:</t>
  </si>
  <si>
    <t>- “Кўчмас мулкни рўйхатдан ўтказиш ва кадастр интеграциялаштирилган ахборот тизими”нинг  универсал интерацион шина тизими.</t>
  </si>
  <si>
    <t>1.7. Иқтисодиёт ва молия вазирлиги:</t>
  </si>
  <si>
    <t>- ЖБПТ (Жамғариб бориладиган пенсия тизими) ахборот тизимига интеграция қилиш;</t>
  </si>
  <si>
    <t>- "Ижтимоий ҳимоя" ягона реестери ахборот тизимига интеграция қилиш.</t>
  </si>
  <si>
    <t>1.8. “Ҳудудгазтаъминот” АЖ:</t>
  </si>
  <si>
    <t>- Истеъмолчилар ҳисоблагичлари ва уларнинг фойдаланган газ ҳажмлари тизимга интеграция қилиш.</t>
  </si>
  <si>
    <t>1.9. Қурилиш ва уй-жой коммунал хўжалиги вазирлиги:</t>
  </si>
  <si>
    <t>- “Шаффоф қурилиш” миллий ахборот тизимига интеграция қилиш.</t>
  </si>
  <si>
    <t>1.10. Давлат активларини бошқариш агентлиги:</t>
  </si>
  <si>
    <t>- “E-ijara” ахборот тизимига интеграция қилиш;</t>
  </si>
  <si>
    <t>- “E-auksion” электрон савдо платформасига интеграция қилиш;</t>
  </si>
  <si>
    <t>- “Yerelektron” ахборот тизимига интеграция қилиш;</t>
  </si>
  <si>
    <t>- “К-Savdo” ахборот тизимига интеграция қилиш;</t>
  </si>
  <si>
    <t>1.11. "Экология, атроф-муҳитни муҳофаза қилиш ва иқлим ўзгариши вазирлиги (Табиат ресурслари вазирлиги):</t>
  </si>
  <si>
    <t>- Давлат экологик экспертиза жараёнида ҳужжатларни рақамлаштириш ахборот тизимига интеграция қилиш;</t>
  </si>
  <si>
    <t>- Экология ва атроф муҳитни муҳофаза қилиш соҳасида давлат хизматларини рақамлаштириш ахборот тизимига интеграция қилиш;</t>
  </si>
  <si>
    <t>- Атроф табиий муҳит давлат мониторинги тизимининг ягона геоахборот маълумотлар базасига интеграция қилиш;</t>
  </si>
  <si>
    <t>- Маиший чиқиндиларни олиб чиқиш хизматлари учун тўловлар ҳисобини юритиш биллинг тизимига интеграция қилиш;</t>
  </si>
  <si>
    <t>- Чиқинди ташиш махсус техникаларини онлайн кузатиш тизимига интеграция қилиш;</t>
  </si>
  <si>
    <t>- Давлат экология қўмитаси жамғармаси маблағларидан фойдаланиш ва бошқариш ҳисобини юритиш тизимига интеграция қилиш;</t>
  </si>
  <si>
    <t>- Атроф муҳитни муҳофаза қилишда жамоатчилик назоратини жалб қилиш, аҳолидан ҳуқуқбузарлик ҳолатлари бўйича фото ва видео материалларни қабул қилиш тизимига интеграция қилиш.</t>
  </si>
  <si>
    <t>1.12. Ўзбекистон Республикаси Президенти ҳузуридаги Статистика агентлиги:</t>
  </si>
  <si>
    <t>- “E-STAT” ахборот тизимига интеграция қилиш;</t>
  </si>
  <si>
    <t>- Ўзбекистон Республикасининг статистика порталига интеграция қилиш;</t>
  </si>
  <si>
    <t>- Корхоналар ва ташкилотларнинг ягона давлат регистри (КТЯДР).</t>
  </si>
  <si>
    <t>1.13. Камбағалликни қисқартириш ва бандлик вазирлиги:</t>
  </si>
  <si>
    <t>- “Аёллар дафтари” ахборот тизимига интеграция қилиш;</t>
  </si>
  <si>
    <t>- “Темир дафтар” ахборот тизимига интеграция қилиш;</t>
  </si>
  <si>
    <t>- “Тиббий-ижтимоий экспертиза” электрон ахборот тизимига интеграция қилиш;</t>
  </si>
  <si>
    <t>- Ажратиладиган субсидиялар тўғрисидаги маълумотлар реестрига интеграция қилиш;</t>
  </si>
  <si>
    <t>- Доимий ишсизлар, бўш иш ўринлари, янги яратилган иш ўринлари тўғрисидаги маълумотлар реестрига интеграция қилиш;</t>
  </si>
  <si>
    <t>- ЯММТ (Ягона миллий меҳнат тизими) электрон базасига интеграция қилиш;</t>
  </si>
  <si>
    <t>- “Жамоат ишлари” ахборот тизимига интеграция қилиш;</t>
  </si>
  <si>
    <t>- “Касбга ўқитиш” ахборот тизимига интеграция қилиш.</t>
  </si>
  <si>
    <t>1.14. Қишлоқ хўжалиги вазирлиги:</t>
  </si>
  <si>
    <t>- “Агросубсидия” ахборот тизимига интеграция қилиш;</t>
  </si>
  <si>
    <t>- “reestr.ago.uz” миллий ахборот тизимига интеграция қилиш;</t>
  </si>
  <si>
    <t>- “E-ijara” ахборот тизимига интеграция қилиш.</t>
  </si>
  <si>
    <t>1.15. Рақамли технологиялар вазирлиги:</t>
  </si>
  <si>
    <t>- Давлат ташкилотлари ва идоралари томонидан ишлаб чиқилган ахборот тизимлари тўғрисидаги маълумотларни олиш;</t>
  </si>
  <si>
    <t>1.16. Божхона қўмитаси:</t>
  </si>
  <si>
    <t>- “Электрон божхона расмийлаштируви” автоматлаштирилган ахборот тизимига интеграция қилиш;</t>
  </si>
  <si>
    <t>- “Божхона қонунбузарлик ҳолатларини ҳисобини юритиш” автоматлаштирилган ахборот тизимига  интеграция қилиш;</t>
  </si>
  <si>
    <t>- “Божхона тўловлари” автоматлаштирилган ахборот тизимига интеграция қилиш;</t>
  </si>
  <si>
    <t>- “Низоли ишлар мониторинги” автоматлаштирилган ахборот тизимига интеграция қилиш;</t>
  </si>
  <si>
    <t>- “Божхона омбори” автоматлаштирилган ахборот тизимига интеграция қилиш.</t>
  </si>
  <si>
    <t>1.17. Солиқ қўмитаси:</t>
  </si>
  <si>
    <t>- Солиқ ҳисоботлари;"</t>
  </si>
  <si>
    <t>- Ҳисобланган ва тўланган солиқлар;</t>
  </si>
  <si>
    <t>- Электрон ҳисобварақ-фактуралар.</t>
  </si>
  <si>
    <t>1.18. Ички ишлар вазирлиги:</t>
  </si>
  <si>
    <t>- “ПАСПОРТ-ВИЗА” автоматлаштирилган ахборот тизимлар мажмуасига интеграция қилиш;</t>
  </si>
  <si>
    <t xml:space="preserve">- “Маъмурий амалиёт” КААТ тизимига интеграция қилиш; </t>
  </si>
  <si>
    <t xml:space="preserve">- “Автомототранспортлар ҳисоби” ахборот тизимига интеграция қилиш; </t>
  </si>
  <si>
    <t>- “Ҳайдовчилик гувоҳномаси” ахборот тизимига интеграция қилиш.</t>
  </si>
  <si>
    <t>1.19. “ҲУНАРМАНД” уюшмаси:</t>
  </si>
  <si>
    <t>- “ҲУНАРМАНД” уюшмаси аъзолиги реестри;</t>
  </si>
  <si>
    <t>- уларга бериладиган субсидиялар тўғрисидаги тизимга интеграция қилиш.</t>
  </si>
  <si>
    <t>1.20. Ёшлар сиёсати ва спорт вазирлиги:</t>
  </si>
  <si>
    <t>- “Ёшлар дафтари” ахборот тизимига интеграция қилиш.</t>
  </si>
  <si>
    <t>1.21. Инвестициялар, саноат ва савдо вазирлиги:</t>
  </si>
  <si>
    <t>- Ташқи савдо операцияларининг ягона электрон ахборот тизимига интеграция қилиш;</t>
  </si>
  <si>
    <t>- Рақамли трансформация марказининг электрон кооперация порталига интеграция қилиш;</t>
  </si>
  <si>
    <t>- Инвестиция ахборот тизимига интеграция қилиш;</t>
  </si>
  <si>
    <t>- Ўзбекистон техник жиҳатдан тартибга солиш агентлигининг маълумотлар базасига интеграция қилиш;</t>
  </si>
  <si>
    <t>- Экспортчи корхоналар учун субсидиялар ахборот тизимига интеграция қилиш.</t>
  </si>
  <si>
    <t>1.22. “XT Xarid texnologiyalari” МЧЖ:</t>
  </si>
  <si>
    <t>- “xt-xarid.uz” ахборот тизимига интеграция қилиш.</t>
  </si>
  <si>
    <t>1.23. Товар-хом ашё биржаси:</t>
  </si>
  <si>
    <t>- Давлат буюртмачилари томонидан “ЎзРТХБ” АЖ электрон савдоларида тузилган шартномалар тўғрисидаги маълумот;</t>
  </si>
  <si>
    <t>- Туғридан-тўғри тузилган битимлар;</t>
  </si>
  <si>
    <t>- Э-тендер.</t>
  </si>
  <si>
    <t>1.24. Транспорт вазирлиги:</t>
  </si>
  <si>
    <t>- Халқаро йўналиш сертификати тизимига интеграция қилиш;</t>
  </si>
  <si>
    <t>- Йўналиш тендерлари тизимига интеграция қилиш.</t>
  </si>
  <si>
    <t>1.25. Адлия вазирлиги:</t>
  </si>
  <si>
    <t>- “Нотариус” автоматлаштирилган ахборот тизимига интеграция қилиш;</t>
  </si>
  <si>
    <t>- Барча турдаги лицензиялар тўғрисидаги маълумотлар реестрига интеграция қилиш;</t>
  </si>
  <si>
    <t>- “ФҲДЁнинг ягона электрон архиви” ахборот тизимига интеграция қилиш;</t>
  </si>
  <si>
    <t>- ФХДЁ электрон базасига интеграция қилиш.</t>
  </si>
  <si>
    <t>1.26. Сув хўжалиги вазирлиги:</t>
  </si>
  <si>
    <t xml:space="preserve">- Cувдан фойдаланувчи субъектлар рўйхатини олиш тизимига интеграция қилиш; </t>
  </si>
  <si>
    <t>- Фойдаланган сув ҳажми, қўлланилган жарималар ва ундириш ҳолатлари маълумотларини олиш тизимига интеграция қилиш.</t>
  </si>
  <si>
    <t>1.27. Мактабгача ва мактаб таълими вазирлиги:</t>
  </si>
  <si>
    <t>- Давлат хусусий шерикчилик асосида ташкил этилган мактабгача таълим ташкилотларига ажратилган субсидиялар тизимига интеграция қилиш;</t>
  </si>
  <si>
    <t>- Мактабгача таълим муассасаларининг тарбияланувчилари табели тизимига интеграция қилиш;</t>
  </si>
  <si>
    <t>- “ЕРП” ахборот тизимига интеграция қилиш.</t>
  </si>
  <si>
    <t>1.28. Маданият ва туризм вазирлиги:</t>
  </si>
  <si>
    <t>- “emehmon.uz” ахборот тизимига интеграция қилиш;</t>
  </si>
  <si>
    <t>- “billing.egov.uz” ягона биллинг тизимига интеграция қилиш.</t>
  </si>
  <si>
    <t>1.29. Ветеринария ва чорвачиликни ривожлантириш қўмитаси:</t>
  </si>
  <si>
    <t>- Давлат бюджети маблағлари ҳисобидан чорвачилик, паррандачилик ва балиқчилик хўжаликларига ажратиладиган субсидиялар ҳисоби (“VIS-SUBSIDIYA” дастурий таъминоти);</t>
  </si>
  <si>
    <t>- Ҳайвонларни идентификация қилиш тизими (“VIS-CHINOR” дастурий таъминоти);</t>
  </si>
  <si>
    <t>- Сўйилган ҳайвонларни ҳисобини юритиш тизими (“VIS-BILLUR” дастурий таъминоти).</t>
  </si>
  <si>
    <t>1.30. Соғлиқни сақлаш вазирлиги:</t>
  </si>
  <si>
    <t>- “mis.ssv.uz” ахборот тизимига интеграция қилиш;</t>
  </si>
  <si>
    <t>- Тиббий хизматни амалга ошириб келаётган корхоналарга берилган рухсатномалар реестерига интеграция қилиш;</t>
  </si>
  <si>
    <t>- Дорихона хизматини амалга ошириб келаётган корхоналарга берилган рухсатномалар реестерига интеграция қилиш;</t>
  </si>
  <si>
    <t>1.31. Ижтимоий ҳимоя миллий агентлиги:</t>
  </si>
  <si>
    <t>- “Тиббий-ижтимоий экспертиза” электрон ахборот тизими</t>
  </si>
  <si>
    <t>- “Ягона миллий ижтимоий ҳимоя” ахборот тизими</t>
  </si>
  <si>
    <t>- "Ижтимоий ҳимоя" ягона реестри ахборот тизими</t>
  </si>
  <si>
    <t>Д.Бахриддинов
А.Атоев</t>
  </si>
  <si>
    <t>давом этмоқда</t>
  </si>
  <si>
    <t>Ҳисоб палатаси томонидан ўтказилаётган назорат тадбирлари учун микросервислар орқали жамланган базалардан маълумотларни олиш.</t>
  </si>
  <si>
    <t>Риск йўналишлари</t>
  </si>
  <si>
    <t>Ҳисоб палатасининг "Масофавий назорат" маркази ходимлари томонидан тақдим этилган риск йўналишлари</t>
  </si>
  <si>
    <t>Аниқланган камчиликларни бартараф этиш</t>
  </si>
  <si>
    <t>Тизимларнинг умумий дизайнини ишлаб чиқиш</t>
  </si>
  <si>
    <t>Мавжуд модулларни фойдаланувчига акс этиш дизайнини ишлаб чиқиш</t>
  </si>
  <si>
    <t>Маълумот эгаси ҳамда унинг таркиби</t>
  </si>
  <si>
    <t>- Иштирокчиларни ўзаро афилланганлиги;</t>
  </si>
  <si>
    <t>- Давлат харидлари бўйича дебитор-кредиторлик қарзлар таҳлили.</t>
  </si>
  <si>
    <t>- МТМларда ота-оналар бадал тўловлари таҳлили.</t>
  </si>
  <si>
    <t>- Соғлиқни сақлаш вазирлиги малака тоифалари таҳлили.</t>
  </si>
  <si>
    <t>- Бюджет ташкилотларида моддий ёрдам пулларини ортиқча тўланиши.</t>
  </si>
  <si>
    <t>- Бюджет сметасига киритилган ўзгартиришлар.</t>
  </si>
  <si>
    <t>- Малака тоифаларини тўғри ҳисобланиши таҳлили.</t>
  </si>
  <si>
    <t>- Маҳаллий бюджети ижроси жараёнида харажатлар таркибига киритилган ўзгартиришлар.</t>
  </si>
  <si>
    <t>- “Shaffof qurilish” миллий ахборот тизими орқали ўтказилаётган тендер савдоларидаги қонун бузилиш ҳолатларини аниқлаш.</t>
  </si>
  <si>
    <t>- Қурилиш назорат инспекцияси дастурий таъминоти маълумотлар базасини улаш ва жорий назоратни ташкил этиш.</t>
  </si>
  <si>
    <t>- Давлат ташқи қарзи маблағлари ҳисобидан тижорат банкларига ажратилган кредит линиялари доирасида амалга оширилган инвестиция лойиҳалари бўйича мақсадли кўрсаткичларга эришилганлигини масофавий автоматик тарзда аниқлаш</t>
  </si>
  <si>
    <t>- Давлат улуши мавжуд ташкилотлар томонидан дивидендларнинг бюджетга тўғри тўланиши.</t>
  </si>
  <si>
    <t>- Давлат улуши мавжуд ташкилотлар мол-мулкини ижарага бериш эвазига тушган маблағларидан солиқларни тўғри ҳисобланиши.</t>
  </si>
  <si>
    <t>- Давлат улуши мавжуд ташкилотлар мол-мулкини сотишдан тушган маблағларидан солиқларни тўғри ҳисобланиши.</t>
  </si>
  <si>
    <t>- Юридик шахслар томонидан сотилган мол-мулкларни солиқ ҳисоботларида акс эттирилиши.</t>
  </si>
  <si>
    <t>- АГҚШлари томонидан сотилган газ миқдорларини солиқ ҳисоботларида тўғри акс эттирилиши.</t>
  </si>
  <si>
    <t>- Халқ банкидаги жамғариб бориладиган пенсия суммасини солиқ органлари маълумотлари билан солиштириш</t>
  </si>
  <si>
    <t>- Банк ходимларига алоқадор шахсларга кредитлар ажратилиши, таъминотчи сифатида иштирок этиш ҳамда манфаатлар тўқнашувини автоматик тарзда аниқлаш.</t>
  </si>
  <si>
    <t>- Кредит қўйилмаларининг сифатини ҳудудлар ва филиаллар кесимида таҳлил қилишни жорий этиш.</t>
  </si>
  <si>
    <t>- Баланс ҳисобидан чиқарилган кредитлар (95413-ҳ/в)ни вужудга келиши ва асослилигини таҳлил қилишни йўлга қўйиш.</t>
  </si>
  <si>
    <t>- Мижозга ажратилган кредит ҳисобига илгари олинган кредитларини сўндирилиши ҳолатларини аниқлаш.</t>
  </si>
  <si>
    <t>- Банк балансига олинган мулкларнинг асослилигини ўрганиш ва таҳлил қилиш.</t>
  </si>
  <si>
    <t>- Корпоратив буюртмачилар (устав фондида давлат улуши 50 фоиздан ортиқ бўлган юридик шахслар) томонидан амалга оширилган давлат харидларининг қонунийлигини ўрганиш ва таҳлил қилиш.</t>
  </si>
  <si>
    <t>- Тижорат банклари томонидан давлат харидларини қонуний амалга оширилганлигини ўрганиш ва таҳлил қилиш.</t>
  </si>
  <si>
    <t>- Тижорат банклари томонидан бюджетга солиқлар тўғри ҳисобланганлигини ўрганиш ва таҳлил қилиш.</t>
  </si>
  <si>
    <t>Маълумотлар базаларини ўзаро солиштириш орқали қонун бузилиш ҳолатларини аниқлаш</t>
  </si>
  <si>
    <t>Доимий</t>
  </si>
  <si>
    <t>Микросервислар орқали кунлик, ойлик ва чораклик жамланадиган маълумотлар</t>
  </si>
  <si>
    <t>МАЪЛУМОТ</t>
  </si>
  <si>
    <t>ҳолати</t>
  </si>
  <si>
    <t>Жами</t>
  </si>
  <si>
    <t>шундан</t>
  </si>
  <si>
    <t>якунланган</t>
  </si>
  <si>
    <t>жараёндаги</t>
  </si>
  <si>
    <t>№</t>
  </si>
  <si>
    <t>Ҳозирги ҳолати</t>
  </si>
  <si>
    <t>Изоҳ: ҳолатдаги 1-бажарилган, 0-ишлар амалга оширилмоқда</t>
  </si>
  <si>
    <t>Жами модуллар</t>
  </si>
  <si>
    <t xml:space="preserve"> - кунлик</t>
  </si>
  <si>
    <t xml:space="preserve"> - ойлик</t>
  </si>
  <si>
    <t xml:space="preserve"> - чораклик</t>
  </si>
  <si>
    <r>
      <t xml:space="preserve">Маълумот жамлаш </t>
    </r>
    <r>
      <rPr>
        <i/>
        <sz val="11"/>
        <color theme="1"/>
        <rFont val="Arial"/>
        <family val="2"/>
      </rPr>
      <t>(кунлик, ойлик, чораклик)</t>
    </r>
  </si>
  <si>
    <t>кунлик</t>
  </si>
  <si>
    <t>ойлик</t>
  </si>
  <si>
    <t>чораклик</t>
  </si>
  <si>
    <t>сўровга асосан</t>
  </si>
  <si>
    <t>Даромад</t>
  </si>
  <si>
    <t>Харажат</t>
  </si>
  <si>
    <t>“Ягона миллий ижтимоий ҳимоя” ахборот тизимига киритилган барча ижтимоий ҳимояга муҳтож фуқаролар тўғрисидаги маълумотлар</t>
  </si>
  <si>
    <t>Республика тиббий-ижтимоий экспертиза инспекциясининг “ТИЭК” дастурида рўйхатга олинган имконияти чекланган фуқароларнинг ногиронлиги тўғрисидаги маълумотлар.</t>
  </si>
  <si>
    <t>1.30. Ижтимоий ҳимоя миллий агентлиги</t>
  </si>
  <si>
    <t>Тиббиёт ходимларига берилган тоифалар тўғрисидаги маълумотлар</t>
  </si>
  <si>
    <t>Фармацевтика тармоғини ривожлантириш агентлиги томонидан берилган сертификатлар тўғрисидаги маълумотлар.</t>
  </si>
  <si>
    <t>Дорихона ва тиббий хизматни амалга ошириб келаётган корхоналарга берилган рухсатномалар тўғрисидаги маълумотлар</t>
  </si>
  <si>
    <t>1.29. Соғлиқни сақлаш вазирлиги</t>
  </si>
  <si>
    <t>Ҳайвонларни идентификация қилиш ҳамда ҳисобини юритиш тизимига киритилган ҳайвонлар тўғрисидаги маълумотлар.</t>
  </si>
  <si>
    <t>Давлат бюджети маблағлари ҳисобидан чорвачилик, паррандачилик ва балиқчилик хўжаликларига ажратиладиган субсидиялар.</t>
  </si>
  <si>
    <t>1.28. Ветеринария ва чорвачиликни ривожлантириш қўмитаси</t>
  </si>
  <si>
    <t>Умумталим мактабларининг педагог ўқитувчиларининг сертификатлари тўғрисида маълумотлар.</t>
  </si>
  <si>
    <t>Умумталим мактаблари ўқувчилари тўғрисидаги маълумотлар</t>
  </si>
  <si>
    <t>Умумталим мактаблари ўқитувчи педагог, ҳодимлар тўғрисидаги маълумотлар</t>
  </si>
  <si>
    <t>Мактабгача таълим муассасалари тарбияланувчилар тўғрисидаги маълумотлар.</t>
  </si>
  <si>
    <t>1.27. Мактабгача ва мактаб таълими вазирлиги</t>
  </si>
  <si>
    <t>Фойдаланган сув ҳажми ҳамда қўлланилган жарималар ва ундириш ҳолатлари тўғрисидаги маълумотлар</t>
  </si>
  <si>
    <t>Cувдан фойдаланувчи субъектлар ва уларнинг истеъмол қилган сув ҳажмлари ҳамда амалга оширган тўловлари тўғрисидаги маълумотлар;</t>
  </si>
  <si>
    <t>1.26. Сув хўжалиги вазирлиги</t>
  </si>
  <si>
    <t>Хўжалик юритувчи субъектлар тўғрисидаги (рўйхатдан ўтган сана, таъсисчилари ҳамда таъсис жамғармаси ва бошқалар) маълумотлар.</t>
  </si>
  <si>
    <t>“ФҲДЁ”нинг оила таркиби тўғрисидаги маълумотлари;</t>
  </si>
  <si>
    <t>Барча турдаги лицензиялар тўғрисидаги маълумотлар;</t>
  </si>
  <si>
    <t>Нотариал ҳаракатлар (хадия, ижара, олди-сотди) тўғрисидаги маълумотлар;</t>
  </si>
  <si>
    <t>1.25. Адлия вазирлиги</t>
  </si>
  <si>
    <t>Халқаро юк ва йўловчи ташиш бўйича рухсатномалар тўғрисидаги маълумотлар.</t>
  </si>
  <si>
    <t>1.24. Транспорт вазирлиги</t>
  </si>
  <si>
    <t>1.23. Ўзбекистон Республика товар-хом ашё биржаси” АЖ</t>
  </si>
  <si>
    <t>Давлат харидлари электрон тизими танлов аукцион, электрон, дўкон, ҳадли келишув орқали амалга оширилган барча давлат харидлари тўғрисидаги маълумотлар.</t>
  </si>
  <si>
    <t>Давлат харидлари электрон тизими орқали амалга оширилган тендерлар комиссия аъзолари тўғрисидаги маълумотлар.</t>
  </si>
  <si>
    <t>1.22. “XT Xarid texnologiyalari” АЖ</t>
  </si>
  <si>
    <t>Электрон кооперация портали орқали тузилган шартномалар ҳақида маълумот.</t>
  </si>
  <si>
    <t>Электрон кооперация порталида рўйхатдан ўтган ташкилот ҳақида маълумот.</t>
  </si>
  <si>
    <t>Электрон кооперация порталида рўйхатдан ўтган ташкилотларнинг маҳсулотлари ҳақида маълумотлар.</t>
  </si>
  <si>
    <t>Ташқи савдо операциялари тўғрисидаги маълумотлар;</t>
  </si>
  <si>
    <t>"Э-Аккредитация" oрган ва лабораториялар ҳақида маълумотлар. (Ўзбекистон техник жиҳатдан тартибга солиш агентлиги)</t>
  </si>
  <si>
    <t>Маиший ҳисоблагичларни давлат қиёсловидан ўтказилганлиги ҳақидаги маълумотлар.(Ўзбекистон техник жиҳатдан тартибга солиш агентлиги)</t>
  </si>
  <si>
    <t>Ҳисобга олиш приборлари ва ускуналарининг қиёслов ва метрологик кўриги ҳақидаги маълумотлар.</t>
  </si>
  <si>
    <t>Ўзбекистон техник жиҳатдан тартибга солиш агентлиги томонидан бериладиган маҳсулотнинг мувофиқлик сертификатлари тўғрисидаги маълумотлар.</t>
  </si>
  <si>
    <t>1.21. Инвестициялар, саноат ва савдо вазирлиги</t>
  </si>
  <si>
    <t>1.20. Ёшлар сиёсати ва спорт вазирлиги</t>
  </si>
  <si>
    <t>1.19. “Ҳунарманд” уюшмаси</t>
  </si>
  <si>
    <t>Ҳайдовчилик гувоҳномалари тўғрисидаги маълумотлар</t>
  </si>
  <si>
    <t>Транспорт воситалари ҳамда уларнинг эгалари тўғрисидаги маълумотлар</t>
  </si>
  <si>
    <t>Транспорт воситаларига қўлланилган маъмурий жарималар тўғрисидаги маълумотлар.</t>
  </si>
  <si>
    <t>Фуқароларнинг паспорт маълумотлари</t>
  </si>
  <si>
    <t>1.18. Ички ишлар вазирлиги</t>
  </si>
  <si>
    <t>Электрон ҳисобварақ-фактуралар.</t>
  </si>
  <si>
    <t>Солиқ ҳисоботлари</t>
  </si>
  <si>
    <t>1.17. Солиқ қўмитаси</t>
  </si>
  <si>
    <t>Божхона омбори ва уларда мавжуд ва олиб кетилган маҳсулотлар тўғрисида маълумот</t>
  </si>
  <si>
    <t>Божхона органларида мавжуд низоли ишлар тўғрисидаги маълумот</t>
  </si>
  <si>
    <t>Божхона органлари томонидан аниқланган қонунбузарлик ҳолатлари тўғрисида маълумот</t>
  </si>
  <si>
    <t>Амалга оширилган экспорт ва импорт операциялари, тўловлар тўғрисида маълумот</t>
  </si>
  <si>
    <t>1.16. Божхона қўмитаси</t>
  </si>
  <si>
    <t>Давлат ташкилотлари ва идоралари томонидан ишлаб чиқилган ахборот тизимлари тўғрисидаги маълумотлар.</t>
  </si>
  <si>
    <t>1.15. Рақамли технологиялар вазирлиги</t>
  </si>
  <si>
    <t>Қишлоқ хўжалиги субъектларига ажратилган субсидиялар тўғрисида маълумот</t>
  </si>
  <si>
    <t>1.14. Қишлоқ хўжалиги вазирлиги</t>
  </si>
  <si>
    <t>1.13. Камбағалликни қисқартириш ва бандлик вазирлиги</t>
  </si>
  <si>
    <t>Корхоналар ва ташкилотлар тўғрисида маълумотлар</t>
  </si>
  <si>
    <t>1.12. Ўзбекистон Республикаси Президенти ҳузуридаги Статистика агентлиги</t>
  </si>
  <si>
    <t>Маиший чиқиндиларни олиб чиқиш учун амалга оширилган ва оширилиши лозим бўлган тўловлар тўғрисидаги маълумотлар</t>
  </si>
  <si>
    <t>Экофонд компенсация тўлови маълумотлари</t>
  </si>
  <si>
    <t>“Экорухсат” Экология ва атроф муҳитни муҳофаза қилиш соҳасида давлат хизматлари кўрсатилган ташкилотлар ҳақида маълумотлар.</t>
  </si>
  <si>
    <t>“Онлайн экспертиза” экспертиза хулосаларни олган ташкилотлар ҳақида маълумотлар.</t>
  </si>
  <si>
    <t>1.11. Экология, атроф-муҳитни муҳофаза қилиш ва иқлим ўзгариши вазирлиги</t>
  </si>
  <si>
    <t>1.10. Давлат активларини бошқариш агентлиги</t>
  </si>
  <si>
    <t>Қурилиш объектининг назорат жараёни</t>
  </si>
  <si>
    <t>Лойиҳа ташкилотларини танлаш ва лойиҳа-смета ҳужжатларини экспертизадан ўтказиш жараёни</t>
  </si>
  <si>
    <t>Шаффоф қурилиш платформаси орқали лойиҳа қидирув ишлари учун амалга оширилган тендер савдолари натижаси бўйича маълумотлар</t>
  </si>
  <si>
    <t>Пудрат шартномаси тузилиши, ишларни бажариш жараёни ва қурилиши тугалланган объектни фойдаланишга топшириш далолатномалари, шаҳар туман ҳокимларининг қарори ҳамда АВИЗО билан фойдаланувчи ташкилот балансига топширилиши бўйича маълумотлар</t>
  </si>
  <si>
    <t>Шаффоф қурилиш платформаси орқали пудрат ишлари учун амалга оширилган тендер савдолари натижаси бўйича маълумотлар</t>
  </si>
  <si>
    <t>Лойиҳа ташкилотларини танлаш бўйича шаффоф қурилиш платформасига жойланган эълон</t>
  </si>
  <si>
    <t>Пудрат ташкилотларини танлаш бўйича шаффоф қурилиш платформасига жойланган эълонлар тўғрисидаги маълумотлар.</t>
  </si>
  <si>
    <t>1.9. Қурилиш ва уй-жой коммунал хўжалиги вазирлиги</t>
  </si>
  <si>
    <t>1.8. “Ҳудудгазтаъминот” АЖ</t>
  </si>
  <si>
    <t>1.7. Иқтисодиёт ва молия вазирлиги</t>
  </si>
  <si>
    <t>Давлат реестридан ўтказилган кўчмас мулклар тўғрисида маълумот</t>
  </si>
  <si>
    <t>1.6. Кадастр агентлиги</t>
  </si>
  <si>
    <t>1.5. Тоғ-кон саноати ва геология вазирлиги</t>
  </si>
  <si>
    <t>1.4. “Ҳудудий электр тармоқлари” АЖ</t>
  </si>
  <si>
    <t>Абитуриентлар (Талабгорлар) маълумотлари ҳамда рўйхатга олинган аризалар тўғрисида маълумотлар</t>
  </si>
  <si>
    <t>Билим ва малакаларни баҳолаш агентлиги томонидан тақдим қилинадиган сертификатларнинг маълумотлари</t>
  </si>
  <si>
    <t>Профессор-ўқитувчилар тўғрисидаги маълумотлар</t>
  </si>
  <si>
    <t>Олий, ўрта махсус ва профессионал таълим муассасаларини тугатганлиги тўғрисидаги диплом маълумотлари</t>
  </si>
  <si>
    <t>Давлат олий таълим муассасаларида тўлов контракт асосида таълим олаётган талабалар билан тузилган электрон контракт шартномалари тўғрисидаги маълумотлар</t>
  </si>
  <si>
    <t>1.3. Олий таълим, фан ва инновациялар вазирлиги</t>
  </si>
  <si>
    <r>
      <t xml:space="preserve">Маълумот жамлаш </t>
    </r>
    <r>
      <rPr>
        <i/>
        <sz val="12"/>
        <color theme="1"/>
        <rFont val="Times New Roman"/>
        <family val="1"/>
        <charset val="204"/>
      </rPr>
      <t>(кунлик, ойлик, чораклик)</t>
    </r>
  </si>
  <si>
    <t>Т/р</t>
  </si>
  <si>
    <t xml:space="preserve"> - Харажат</t>
  </si>
  <si>
    <t xml:space="preserve"> - Даромад</t>
  </si>
  <si>
    <t xml:space="preserve">Жисмоний шахслар томонидан фойдаланилган электр энергия тўғрисидаги маълумотлар </t>
  </si>
  <si>
    <t>Юридик шахслар ва якка тартибдаги тадбиркорлар томонидан фойдаланилган электр энергия тўғрисидаги маълумотлар</t>
  </si>
  <si>
    <t>Ҳисоблагич маълумотлари бўйича маълумотлар</t>
  </si>
  <si>
    <t>Ногиронлик, ёшга доир ҳамда боқувчисини йўқотганлик пенсия тўловлари (пенсионерлар) тўғрисидаги маълумотлар.</t>
  </si>
  <si>
    <t>Юридик шахс ва якка тартибдаги тадбиркорлар томонидан ҳақиқатда фойдаланилган табиий газ ҳамда шартномавий белгиланган ҳажм (лимит)лари тўғрисидаги маълумотлар.</t>
  </si>
  <si>
    <t>Жисмоний шахслар томонидан ҳақиқатда фойдаланилган табиий газ ҳамда шартномавий белгиланган ҳажм (лимит)лари тўғрисидаги маълумотлар.</t>
  </si>
  <si>
    <t>Суд бошқарувчилари тўғрисидаги маълумотлар</t>
  </si>
  <si>
    <t>Сотилган давлат мулклари тўғрисидаги маълумотлар</t>
  </si>
  <si>
    <t>Устав фондида давлат улуши мавжуд хўжалик жамиятлари ва давлат унитар корхоналари тўғрисидаги маълумотлар</t>
  </si>
  <si>
    <t>Ижарага берилган давлат мулклари тўғрисида маълумотлар</t>
  </si>
  <si>
    <t>Ўзбекистон Республикaси ҳудудидa фойдaлaнишгa тaвсия қилингaн қишлоқ хўжaлиги вa мелиорaция техникaлaрининг ягонa дaвлaт реестрига киритилган махсус техника воситалари тўғрисидаги маълумотлар.</t>
  </si>
  <si>
    <t>Ҳунармандлар тўғрисидаги маълумотлар тўғрисида маълумотлар.</t>
  </si>
  <si>
    <t>Шогирдлар тўғрисидаги маълумотлар тўғрисида маълумотлар.</t>
  </si>
  <si>
    <t>Туризм фаолияти реестр тўғрисида маълумотлар.</t>
  </si>
  <si>
    <t>Болалар спорт мактаблари тўғрисида маълумотлар.</t>
  </si>
  <si>
    <t>"ERP sport" ягона электрон бошқарув тизимига киритилган спортчилар тўғрисидаги маълумотлар.</t>
  </si>
  <si>
    <t>"ERP sport" ягона электрон бошқарув тизимига киритилган ўқитувчи педагоглар тўғрисидаги маълумотлар.</t>
  </si>
  <si>
    <t>Спортчи тренерларга берилган малака сертификати бўйича маълумотлар.</t>
  </si>
  <si>
    <t>Спортчи инструктор-методестлар тўғрисидаги маълумотлар.</t>
  </si>
  <si>
    <t>Спорт мусобақалари ҳакамлари (судялар) тўғрисидаги маълумотлар.</t>
  </si>
  <si>
    <t>Спортчи тренерлар тўғрисидаги маълумотлар.</t>
  </si>
  <si>
    <t>"Ёшлар дафтари"га рўйхатга олинган фуқаролар тўғрисидаги маълумотлар.</t>
  </si>
  <si>
    <t>"Ёшлар дафтари"га рўйхатга олинган ҳамда моддий ёрдам олган ёшлар тўғрисидаги маълумотлар.</t>
  </si>
  <si>
    <t>"Ёшлар дафтари"га рўйхатга олинган ҳамда моддий ёрдам олган жами ёшлар тўғрисидаги ҳисобот.</t>
  </si>
  <si>
    <t>Эскпортни рағбатлантириш агентлиги Экспортчи корхоналар учун ажратилган субсидиялар тўғрисидаги маълумотлар. (15 турдаги субсидия)</t>
  </si>
  <si>
    <t xml:space="preserve">Давлат буюртмачилари томонидан “ЎзРТХБ” АЖ электрон савдоларида тузилган шартномалар тўғрисидаги маълумот. </t>
  </si>
  <si>
    <t>Электрон танлов ва тендер оркали тузилган шартномалар (Э-тендер).</t>
  </si>
  <si>
    <t>Товар-хом ашё биржаси томонидан ўткизиладиган электрон савдоларда туғридан-тўғри тузилган битимлар.</t>
  </si>
  <si>
    <t>"Тендер" ахборот тизимида мавжуд йўналишлар, йўналишлардаги корхоналар ва уларнинг автотранспортлари тўғрисидаги маълумотлар.</t>
  </si>
  <si>
    <r>
      <t xml:space="preserve">Интеграция ҳолати
</t>
    </r>
    <r>
      <rPr>
        <i/>
        <sz val="11"/>
        <color theme="1"/>
        <rFont val="Times New Roman"/>
        <family val="1"/>
        <charset val="204"/>
      </rPr>
      <t>(1-якунланган, 
2-давом этмоқда)</t>
    </r>
  </si>
  <si>
    <t>Ҳисоб палатасининг "Масофавий аудит" автоматлаштирилган ахборот тизимини ишлаб чиқиш босқичлари тўғрисида</t>
  </si>
  <si>
    <t>financial_transactions</t>
  </si>
  <si>
    <t>dembat_faktura</t>
  </si>
  <si>
    <t>report_months</t>
  </si>
  <si>
    <t>position_vault</t>
  </si>
  <si>
    <t>positions_vault</t>
  </si>
  <si>
    <t>vedemost</t>
  </si>
  <si>
    <t>student_info</t>
  </si>
  <si>
    <t>yur_subsidies_list</t>
  </si>
  <si>
    <t>phys_subsidies_list</t>
  </si>
  <si>
    <t>unemployment_list</t>
  </si>
  <si>
    <t>employee_history</t>
  </si>
  <si>
    <t>public_workers_list</t>
  </si>
  <si>
    <t>agricultures</t>
  </si>
  <si>
    <t>export, import_data, payments</t>
  </si>
  <si>
    <t>tax_report, tax_facture, send_tax_worker</t>
  </si>
  <si>
    <t>subsidy.younger_help</t>
  </si>
  <si>
    <t>subsidy.yuonger_all_report</t>
  </si>
  <si>
    <t>subsidy.younger_note_book</t>
  </si>
  <si>
    <t>minyust.relative_person_info</t>
  </si>
  <si>
    <t>Ер қаъри участкаларидан фойдаланиш ҳуқуқи учун лицензия берилганлиги, уларнинг амал қилиши вақтинча тўхтатилганлиги ва тугатилганлиги, ҳамда мазкур ҳужжатлар бекор қилинганлиги тўғрисидаги маълумотлар</t>
  </si>
  <si>
    <t>geo_eco.yer_osti_uchastka</t>
  </si>
  <si>
    <t>Ер қаъри участкаларидан фойдаланувчилар томонидан йиллик қазиб олинган фойдали қазилмалар ҳажмлари тўғрисидаги маълумотлар.</t>
  </si>
  <si>
    <t>geo_eco.qazilma_hajmi</t>
  </si>
  <si>
    <t>Ер ости сувларидан фойдаланувчи тадбиркорлик субъектлари ва олинган сув ҳажми тўғрисидаги маълумотлар.</t>
  </si>
  <si>
    <t>geo_eco.yer_osti_suv</t>
  </si>
  <si>
    <t>“Кон ишларини ривожлантириш йиллик режалари”да қазиб олиниши кутилаётган фойдали қазилмаларнинг чораклар кесимидаги ҳажмлари тўғрисидаги маълумотлар.</t>
  </si>
  <si>
    <t>geo_eco.choraklik_hajm</t>
  </si>
  <si>
    <t>public.gos_active_reestr</t>
  </si>
  <si>
    <t>Рейтинг баллари ва уларни шаклланиш таркиби</t>
  </si>
  <si>
    <t>agrosanoat_data
ichki_ishlar_yol
mehnat_vazirligi
organization
organization_detail
sanoat_xavfsizligi</t>
  </si>
  <si>
    <t>Олий таълим муассасаларида таҳсил олаётган талаба ёшлар тўғрисидаги маълумотлар (HEMIS)</t>
  </si>
  <si>
    <t>Мол-мулк ва ер майдонлари тўғрисида маълумотлар (юридик)</t>
  </si>
  <si>
    <t>Транспорт воситаларининг эгалик тарихи</t>
  </si>
  <si>
    <t>Давлат харидлари электрон тизими орқали тендер асосида амалга оширилган барча давлат харидлари тўғрисидаги маълумотлар.</t>
  </si>
  <si>
    <t>М.Косимов</t>
  </si>
  <si>
    <t>Махсус транспорт воситалари тўғрисида маълумот</t>
  </si>
  <si>
    <t>21.1.</t>
  </si>
  <si>
    <t>Тоғ-кон, геология ва саноат хавфсизлигини назорат қилиш инспекцияси</t>
  </si>
  <si>
    <t>20.1.</t>
  </si>
  <si>
    <t>Агросаноат устидан назорат қилиш инспекцияси</t>
  </si>
  <si>
    <t>А.Каримов</t>
  </si>
  <si>
    <t>Жисмоний шахсларнинг шахсий жамғариб бориладиган пенсия ҳисобварағи маълумотларини олиш</t>
  </si>
  <si>
    <t>19.1.</t>
  </si>
  <si>
    <t>Халқ банки</t>
  </si>
  <si>
    <t>18.2.</t>
  </si>
  <si>
    <t>А.Атоев</t>
  </si>
  <si>
    <t>18.1.</t>
  </si>
  <si>
    <t>Ижтимоий ҳимоя миллий агентлиги</t>
  </si>
  <si>
    <t>17.3.</t>
  </si>
  <si>
    <t>17.2.</t>
  </si>
  <si>
    <t>94-108-00-00</t>
  </si>
  <si>
    <t>С.Кенжаев</t>
  </si>
  <si>
    <t>17.1.</t>
  </si>
  <si>
    <t>Соғлиқни сақлаш вазирлиги</t>
  </si>
  <si>
    <t>16.2.</t>
  </si>
  <si>
    <t>99-077-86-00
94-634-66-17</t>
  </si>
  <si>
    <t>У.Нуруллаев</t>
  </si>
  <si>
    <t>16.1.</t>
  </si>
  <si>
    <t>Ветеринария ва чорвачиликни ривожлантириш қўмитаси</t>
  </si>
  <si>
    <t>15.4.</t>
  </si>
  <si>
    <t>15.3.</t>
  </si>
  <si>
    <t>15.2.</t>
  </si>
  <si>
    <t>90-805-90-46</t>
  </si>
  <si>
    <t>15.1.</t>
  </si>
  <si>
    <t>Мактабгача ва мактаб таълими вазирлиги</t>
  </si>
  <si>
    <t>14.2.</t>
  </si>
  <si>
    <t>93-558-55-50
99-110-78-35</t>
  </si>
  <si>
    <t>14.1.</t>
  </si>
  <si>
    <t>Сув хўжалиги вазирлиги</t>
  </si>
  <si>
    <t>13.3</t>
  </si>
  <si>
    <t>13.2.</t>
  </si>
  <si>
    <t>71-207-01-87
97-432-51-55</t>
  </si>
  <si>
    <t>А.Солиев</t>
  </si>
  <si>
    <t>13.1.</t>
  </si>
  <si>
    <t>Адлия вазирлиги</t>
  </si>
  <si>
    <t>12.2.</t>
  </si>
  <si>
    <t>97-001-90-90</t>
  </si>
  <si>
    <t>12.1.</t>
  </si>
  <si>
    <t>Транспорт вазирлиги</t>
  </si>
  <si>
    <t>99-750-74-77</t>
  </si>
  <si>
    <t>11.1.</t>
  </si>
  <si>
    <t>Инвестициялар, саноат ва савдо вазирлиги</t>
  </si>
  <si>
    <t>99-844-48-48</t>
  </si>
  <si>
    <t>10.1.</t>
  </si>
  <si>
    <t>Ички ишлар вазирлиги</t>
  </si>
  <si>
    <t>9.4.</t>
  </si>
  <si>
    <t>9.3.</t>
  </si>
  <si>
    <t>9.2.</t>
  </si>
  <si>
    <t>90-336-15-55</t>
  </si>
  <si>
    <t>9.1.</t>
  </si>
  <si>
    <t>Божхона қўмитаси</t>
  </si>
  <si>
    <t>90-188-66-01</t>
  </si>
  <si>
    <t>8.1.</t>
  </si>
  <si>
    <t>Қишлоқ хўжалиги вазирлиги</t>
  </si>
  <si>
    <t>71-202-81-50</t>
  </si>
  <si>
    <t>7.1.</t>
  </si>
  <si>
    <t>Ўзбекистон Республикаси Президенти ҳузуридаги Статистика агентлиги</t>
  </si>
  <si>
    <t>90-920-05-50
71-207-07-70 (5005)</t>
  </si>
  <si>
    <t>М.Атаходжаев</t>
  </si>
  <si>
    <t>6.1.</t>
  </si>
  <si>
    <t>Экология, атроф-муҳитни муҳофаза қилиш ва иқлим ўзгариши вазирлиги</t>
  </si>
  <si>
    <t>5.3.</t>
  </si>
  <si>
    <t>5.2.</t>
  </si>
  <si>
    <t>71-259-20-57
94-638-83-22</t>
  </si>
  <si>
    <t>У.Тангриев</t>
  </si>
  <si>
    <t>5.1.</t>
  </si>
  <si>
    <t>Давлат активларини бошқариш агентлиги</t>
  </si>
  <si>
    <t>4.2.</t>
  </si>
  <si>
    <t>99-020-10-00</t>
  </si>
  <si>
    <t>4.1.</t>
  </si>
  <si>
    <t>“Ҳудудгазтаъминот” АЖ</t>
  </si>
  <si>
    <t>98-198-01-91</t>
  </si>
  <si>
    <t>А.Усманов</t>
  </si>
  <si>
    <t>3.1.</t>
  </si>
  <si>
    <t>Иқтисодиёт ва молия вазирлиги</t>
  </si>
  <si>
    <t>71-203-22-20
 (ички рақам: 1)
94-660-56-66</t>
  </si>
  <si>
    <t>2.1.</t>
  </si>
  <si>
    <t>Кадастр агентлиги</t>
  </si>
  <si>
    <t>1.3.</t>
  </si>
  <si>
    <t>1.2.</t>
  </si>
  <si>
    <t>1.1.</t>
  </si>
  <si>
    <t>Олий таълим, фан ва инновациялар вазирлиги</t>
  </si>
  <si>
    <t>Ходим</t>
  </si>
  <si>
    <t>Абдуллаев Олим
71-203-22-20 (ички рақам: 1)
94-660-56-66</t>
  </si>
  <si>
    <t>Баходир 98-198-01-91</t>
  </si>
  <si>
    <t>Камилов Жамолиддин
99-020-10-00</t>
  </si>
  <si>
    <t>Кушмуратов Сардор
71-259-20-57
94-638-83-22</t>
  </si>
  <si>
    <t>Абдуллаев Даврон Баходир ўғли
90-920-05-50
71-207-07-70 (5005)</t>
  </si>
  <si>
    <t>Одилов Шоҳруҳ Ғайратжонович
71-202-81-50</t>
  </si>
  <si>
    <t>Хакимов Азиз
90-188-66-01</t>
  </si>
  <si>
    <t>Эргашев Дилмурод
90-336-15-55</t>
  </si>
  <si>
    <t>Абдуҳамидов Абдурахим
99-844-48-48</t>
  </si>
  <si>
    <t>Ахмедов Азизбек
99-750-74-77</t>
  </si>
  <si>
    <t>Турахужаев Зайниддин Набижон ўғли
97-001-90-90</t>
  </si>
  <si>
    <t>Алмурадов Камол Абдуллаевич
71-207-01-87
97-432-51-55</t>
  </si>
  <si>
    <t>Razmetov Xojakbar, Ҳайдаров Шухрат
93-558-55-50
99-110-78-35</t>
  </si>
  <si>
    <t>Муминов Сарвар
90-805-90-46</t>
  </si>
  <si>
    <t>Якубов Руслан
99-077-86-00
94-634-66-17</t>
  </si>
  <si>
    <t>Акбаров Фарход Адхамович
94-108-00-00</t>
  </si>
  <si>
    <t>Масофавий назорат маркази ходимлари</t>
  </si>
  <si>
    <t>Интеграция ишлари якунига етказилмаган вазирлик ва идоралар ҳамда уларнинг маълумотлар базалари тўғрисида маълумот</t>
  </si>
  <si>
    <t>Давлат улуши мавжуд банклар</t>
  </si>
  <si>
    <t>22.1.</t>
  </si>
  <si>
    <t>Технологик йўриқнома тасдиқланмаган</t>
  </si>
  <si>
    <t>22.2.</t>
  </si>
  <si>
    <t>22.3.</t>
  </si>
  <si>
    <t>22.4.</t>
  </si>
  <si>
    <t>22.5.</t>
  </si>
  <si>
    <t>22.6.</t>
  </si>
  <si>
    <t>22.7.</t>
  </si>
  <si>
    <t>22.8.</t>
  </si>
  <si>
    <t>22.9.</t>
  </si>
  <si>
    <t>22.10.</t>
  </si>
  <si>
    <t>"ПОЙТАХТ БАНК" акциядорлик жамияти</t>
  </si>
  <si>
    <t>Камчилик ва муаммо мазмуни</t>
  </si>
  <si>
    <t>Вазирлик ва идораларнинг масъул ходимлари</t>
  </si>
  <si>
    <t>Ҳисоб палатасидан бириктирилган ходимлари</t>
  </si>
  <si>
    <t>22 нафар</t>
  </si>
  <si>
    <t>9 нафар</t>
  </si>
  <si>
    <t>Тақдим этилган API да камчиликлар мавжуд</t>
  </si>
  <si>
    <t>Технологик йўриқнома ишлаб чиқиш лозим</t>
  </si>
  <si>
    <t>Технологик йўриқнома қайта ишлаб чиқиш лозим</t>
  </si>
  <si>
    <t>Фойдaлaнишгa тaвсия қилингaн қишлоқ хўжaлиги вa мелиорaция техникaлaрининг ягонa дaвлaт реестрига киритилган махсус техника воситалари тўғрисидаги маълумотлар.</t>
  </si>
  <si>
    <t>Технологик йўриқнома тасдиқланган лекин API тақдим этилмаган</t>
  </si>
  <si>
    <t>Педагог ўқитувчиларининг сертификатлари тўғрисида маълумотлар.</t>
  </si>
  <si>
    <t>Чорвачилик, паррандачилик ва балиқчилик хўжаликларига ажратиладиган субсидиялар.</t>
  </si>
  <si>
    <t>Технологик йўриқнома ишлаб чиқилган лекин тасдиқланмаган</t>
  </si>
  <si>
    <t>Қўшма қарор ва технологик йўриқнома ишлаб чиқилмаган</t>
  </si>
  <si>
    <t>"Халқ банки" АТБ</t>
  </si>
  <si>
    <t>API тақдим этилиши лозим</t>
  </si>
  <si>
    <t>"Асакабанк" АЖ</t>
  </si>
  <si>
    <t>"Ўзбекистон саноат-қурилиш банки" АТБ</t>
  </si>
  <si>
    <t>"Агробанк" АТБ</t>
  </si>
  <si>
    <t>"Қишлоқ қурилиш банк" АТБ</t>
  </si>
  <si>
    <t>"Туронбанк" АТБ</t>
  </si>
  <si>
    <t>"Микрокредикбанк" АТБ</t>
  </si>
  <si>
    <t>"Алоқабанк" АТБ</t>
  </si>
  <si>
    <t>"Ўзбекистон Республикаси Ташқи иқтисодий фаолият миллий банки" АЖ</t>
  </si>
  <si>
    <r>
      <t xml:space="preserve">Изоҳ: Рақамлаштириш ишлари бўйича масъул </t>
    </r>
    <r>
      <rPr>
        <b/>
        <i/>
        <sz val="11"/>
        <color theme="1"/>
        <rFont val="Arial"/>
        <family val="2"/>
        <charset val="204"/>
      </rPr>
      <t xml:space="preserve">А.Атоев ва Ж.Паноев </t>
    </r>
    <r>
      <rPr>
        <i/>
        <sz val="11"/>
        <color theme="1"/>
        <rFont val="Arial"/>
        <family val="2"/>
        <charset val="204"/>
      </rPr>
      <t>ҳисобланади 
(Ўзинфоком МЧЖ билан ҳамкорликда).</t>
    </r>
  </si>
  <si>
    <t xml:space="preserve"> - Ғазначилик орқали расмийлаштирилган ҳисобварақ- фактураларини электрон ҳисоб варақ фактура сифатида Солиқ органларидан расмийлаштирилиши</t>
  </si>
  <si>
    <t>(71) 238-29-86, 
(99) 898-86-50</t>
  </si>
  <si>
    <t>Э.Юсупов</t>
  </si>
  <si>
    <t>А.Комилов</t>
  </si>
  <si>
    <t>М.Қосимов</t>
  </si>
  <si>
    <t>(71) 238-28-47,
(99) 898-86-05</t>
  </si>
  <si>
    <t>Ж.Дўстқулов</t>
  </si>
  <si>
    <t>М.Атахаджаев</t>
  </si>
  <si>
    <t>(71) 238-27-60,
(99) 798-01-28</t>
  </si>
  <si>
    <t>А.Ботиров</t>
  </si>
  <si>
    <t>А.Усмонов</t>
  </si>
  <si>
    <t>давлат харидлари</t>
  </si>
  <si>
    <t>С.Адизов</t>
  </si>
  <si>
    <t>(71) 238-27-62, (97) 455-02-92</t>
  </si>
  <si>
    <t>С.Йўлдошев</t>
  </si>
  <si>
    <t>(71) 238-29-59,
(99) 898-86-13</t>
  </si>
  <si>
    <t>А.Ғуломов</t>
  </si>
  <si>
    <t>А.Гулмуродов</t>
  </si>
  <si>
    <t>8 нафар</t>
  </si>
  <si>
    <t>2 та</t>
  </si>
  <si>
    <t>Жами: 26 та йўналиш</t>
  </si>
  <si>
    <t>Масъул ходим телефон рақами</t>
  </si>
  <si>
    <t>Узинфоком масъул ходимлари</t>
  </si>
  <si>
    <t>Масофавий назорат марказидан бириктирилган ходим Ф.И.О.</t>
  </si>
  <si>
    <t xml:space="preserve">Таҳлил соҳаси </t>
  </si>
  <si>
    <t>Риск таҳлилни йўналиш номи</t>
  </si>
  <si>
    <t>Ҳисоб палатасининг "Масофавий назорат маркази" томонидан тақдим этилган риск таҳлил йўналишларини автоматлаштириш ҳамда синовдан ўтказиш юзасидан бириктирилган ходимлар тўғрисида</t>
  </si>
  <si>
    <t>Тест синовдан ўтказиш учун масъул</t>
  </si>
  <si>
    <t>Веб дизайнер</t>
  </si>
  <si>
    <t>Тошпулатова Мадина Азаматовна</t>
  </si>
  <si>
    <t>Дизайнер</t>
  </si>
  <si>
    <t>Тошпулатов Шохрух Равшанович</t>
  </si>
  <si>
    <t>Дастурчи</t>
  </si>
  <si>
    <t>Туронов Шахбоз Абдуназар ўғли</t>
  </si>
  <si>
    <t>Раматиллоев Дилшод Шерзод ўғли</t>
  </si>
  <si>
    <t>Бахриддинов Дилшод Омонкелди ўғли</t>
  </si>
  <si>
    <t>Бош дастурчи</t>
  </si>
  <si>
    <t>Эшқулов Мирахмад Ҳақберди ўғли</t>
  </si>
  <si>
    <t>Бош мутахасис</t>
  </si>
  <si>
    <t>Курбанов Фаррух Русланович</t>
  </si>
  <si>
    <t>Юсупов Элбек Эштемир ўғли</t>
  </si>
  <si>
    <t>Комилов Аброр Машрабжон ўғли</t>
  </si>
  <si>
    <t>Ғуломов Алишер Абдулла ўғли</t>
  </si>
  <si>
    <t>Дўстқулов Жахонгир Мухиддин ўғли</t>
  </si>
  <si>
    <t>Мутахассис</t>
  </si>
  <si>
    <t>Ботиров Азамат Омонулла ўғли</t>
  </si>
  <si>
    <t>Лойиха менеджери</t>
  </si>
  <si>
    <t>Адизов Санжар Шавкат ўғли</t>
  </si>
  <si>
    <t>Гулмуродов Азизжон Султон ўғли</t>
  </si>
  <si>
    <t>Интеграция юзасидан бириктирилган ходим</t>
  </si>
  <si>
    <t>Йўлдошев Сардорбек Тўхтасин ўғли</t>
  </si>
  <si>
    <t>Бириктирилган йўналиш</t>
  </si>
  <si>
    <t>Лавозим</t>
  </si>
  <si>
    <t>ФИО</t>
  </si>
  <si>
    <t>"UZINFOCOM" АЖдан бириктирилган ходимлар тўғрисида
МАЪЛУМОТ</t>
  </si>
  <si>
    <t>23.1.</t>
  </si>
  <si>
    <t>Фуқароларнинг Ўзбекистон чегарасидан чиқиб кириши тўғрисида маълумот</t>
  </si>
  <si>
    <t>Давлат хавфсизлик хизмати чегара қўшинлари</t>
  </si>
  <si>
    <t>Ҳисобот кўрсаткичлари</t>
  </si>
  <si>
    <t>Риск ҳолатларини аниқланиши ва уларнинг бартараф этилиши юзасидан маълумотлар</t>
  </si>
  <si>
    <t>Якунланган</t>
  </si>
  <si>
    <t>2.2.</t>
  </si>
  <si>
    <t>Қурилиш ва уй-жой коммунал хўжалиги вазирлиги</t>
  </si>
  <si>
    <t>6.2.</t>
  </si>
  <si>
    <t>6.3.</t>
  </si>
  <si>
    <t>6.4.</t>
  </si>
  <si>
    <t>10.2.</t>
  </si>
  <si>
    <t>sport.organization_info</t>
  </si>
  <si>
    <t>sport.trener_app_qual_category</t>
  </si>
  <si>
    <t>sport.instructor_app_qual_category</t>
  </si>
  <si>
    <t>sport.jury_app_qual_category</t>
  </si>
  <si>
    <t>sport.employee_info</t>
  </si>
  <si>
    <t>education.teacher</t>
  </si>
  <si>
    <t>birja.xt_agreement_members</t>
  </si>
  <si>
    <t>birja.xt_request_reduction</t>
  </si>
  <si>
    <t>birja.trades</t>
  </si>
  <si>
    <t>employement.malakani_baholash_markazi</t>
  </si>
  <si>
    <t>qishloq_xojaligi.e_ijara</t>
  </si>
  <si>
    <t>qurilish.object_pudrat</t>
  </si>
  <si>
    <t>qurilish.object_loyiha</t>
  </si>
  <si>
    <t>qurilish.object_winner_pudrat</t>
  </si>
  <si>
    <t>qurilish.object_pudrat_data</t>
  </si>
  <si>
    <t>qurilish.object_winner_loyiha</t>
  </si>
  <si>
    <t>qurilish.object_loyiha_ekspertiza</t>
  </si>
  <si>
    <t>qurilish.object_gasn_data</t>
  </si>
  <si>
    <t>employement.personal_info</t>
  </si>
  <si>
    <t>soliq.tax_report</t>
  </si>
  <si>
    <t>birja.directs</t>
  </si>
  <si>
    <t>birja.e_protocol</t>
  </si>
  <si>
    <t>д</t>
  </si>
  <si>
    <t>Жами 24 та вазирлик ва идораларнинг 57 турдаги маълумотлари</t>
  </si>
  <si>
    <t>subsidy.kasbga_yun_fuqaro</t>
  </si>
  <si>
    <t>gayi.cars</t>
  </si>
  <si>
    <t>gayi.haydovchilik_guvohnomasi</t>
  </si>
  <si>
    <t>employement.turists</t>
  </si>
  <si>
    <t>sport.trener_info</t>
  </si>
  <si>
    <t>tartibga_solish.e_accreditation</t>
  </si>
  <si>
    <t>cooperation.product</t>
  </si>
  <si>
    <t>cooperation.companies</t>
  </si>
  <si>
    <t>cooperation.contract</t>
  </si>
  <si>
    <t>subsidy.credits</t>
  </si>
  <si>
    <t>API якунланди</t>
  </si>
  <si>
    <t>Мутаҳасислар томонидан таҳлил жараёнида керак эмас деб топилди</t>
  </si>
  <si>
    <t>table_name</t>
  </si>
  <si>
    <t>table_schema</t>
  </si>
  <si>
    <t>credits</t>
  </si>
  <si>
    <t>education</t>
  </si>
  <si>
    <t>dtm_recommends</t>
  </si>
  <si>
    <t>dtm_transfers</t>
  </si>
  <si>
    <t>hemis_graduates</t>
  </si>
  <si>
    <t>hemis_students</t>
  </si>
  <si>
    <t>borders</t>
  </si>
  <si>
    <t>employement</t>
  </si>
  <si>
    <t>inps</t>
  </si>
  <si>
    <t>mymehnat</t>
  </si>
  <si>
    <t>mymehnat_history</t>
  </si>
  <si>
    <t>deaths</t>
  </si>
  <si>
    <t>minyust</t>
  </si>
  <si>
    <t>authorized_funds</t>
  </si>
  <si>
    <t>birth_extra</t>
  </si>
  <si>
    <t>birth_fulled</t>
  </si>
  <si>
    <t>death_extra</t>
  </si>
  <si>
    <t>founders</t>
  </si>
  <si>
    <t>half_birth</t>
  </si>
  <si>
    <t>person</t>
  </si>
  <si>
    <t>person_red_passport</t>
  </si>
  <si>
    <t>Inappsite_appusagemonitoring</t>
  </si>
  <si>
    <t>public</t>
  </si>
  <si>
    <t>conflictofinterests</t>
  </si>
  <si>
    <t>e_qaror</t>
  </si>
  <si>
    <t>ehf_copy1</t>
  </si>
  <si>
    <t>ehf_copy2</t>
  </si>
  <si>
    <t>faktura_2022-2023</t>
  </si>
  <si>
    <t>newtable</t>
  </si>
  <si>
    <t>opendata.api.eqaror</t>
  </si>
  <si>
    <t>opendata.api.history</t>
  </si>
  <si>
    <t>opendata.api.users</t>
  </si>
  <si>
    <t>opendata.region.data</t>
  </si>
  <si>
    <t>opendata.region.users</t>
  </si>
  <si>
    <t>paragraph</t>
  </si>
  <si>
    <t>soliq_oylik</t>
  </si>
  <si>
    <t>soliq_token</t>
  </si>
  <si>
    <t>tax_ehf2022</t>
  </si>
  <si>
    <t>tax_salary</t>
  </si>
  <si>
    <t>tax_shot_faktura</t>
  </si>
  <si>
    <t>uzasbo_soliq</t>
  </si>
  <si>
    <t>sql_parts</t>
  </si>
  <si>
    <t>information_schema</t>
  </si>
  <si>
    <t>sql_implementation_info</t>
  </si>
  <si>
    <t>sql_features</t>
  </si>
  <si>
    <t>sql_sizing</t>
  </si>
  <si>
    <t>cattle_ranching</t>
  </si>
  <si>
    <t>subsidy</t>
  </si>
  <si>
    <t>temp_pinfl</t>
  </si>
  <si>
    <t>chemical</t>
  </si>
  <si>
    <t>cocoon</t>
  </si>
  <si>
    <t>horticulture</t>
  </si>
  <si>
    <t>insurance</t>
  </si>
  <si>
    <t>skins</t>
  </si>
  <si>
    <t>transports</t>
  </si>
  <si>
    <t>veterans</t>
  </si>
  <si>
    <t>water_managments</t>
  </si>
  <si>
    <t>winemaking</t>
  </si>
  <si>
    <t>women</t>
  </si>
  <si>
    <t>bank_overall1</t>
  </si>
  <si>
    <t>tax</t>
  </si>
  <si>
    <t>bank_overall2</t>
  </si>
  <si>
    <t>factures</t>
  </si>
  <si>
    <t>kadastr_informations</t>
  </si>
  <si>
    <t>legal_entities</t>
  </si>
  <si>
    <t>legal_entities_detailed</t>
  </si>
  <si>
    <t>nedra_tax_reports</t>
  </si>
  <si>
    <t>sp_pinfl_stir</t>
  </si>
  <si>
    <t>tax_reports</t>
  </si>
  <si>
    <t>tax_reports_list</t>
  </si>
  <si>
    <t>temp</t>
  </si>
  <si>
    <t>borders_service</t>
  </si>
  <si>
    <t>uzasbo</t>
  </si>
  <si>
    <t>tax_report</t>
  </si>
  <si>
    <t>accounts_organizations</t>
  </si>
  <si>
    <t>accrual_inn_lists</t>
  </si>
  <si>
    <t>accruals</t>
  </si>
  <si>
    <t>my_works</t>
  </si>
  <si>
    <t>sp_organizations_bill</t>
  </si>
  <si>
    <t>sp_orgs</t>
  </si>
  <si>
    <t>sp_positions</t>
  </si>
  <si>
    <t>sp_regions</t>
  </si>
  <si>
    <t>statements</t>
  </si>
  <si>
    <t>sp_ministry</t>
  </si>
  <si>
    <t>users</t>
  </si>
  <si>
    <t>uzasbo_oylik</t>
  </si>
  <si>
    <t>info_organization_state</t>
  </si>
  <si>
    <t>temp_lavozim_pinfl</t>
  </si>
  <si>
    <t>info_organizations</t>
  </si>
  <si>
    <t>conflictofinterests_ready</t>
  </si>
  <si>
    <t>get_experiences</t>
  </si>
  <si>
    <t>tax_qum_shagal</t>
  </si>
  <si>
    <t>geo_eco</t>
  </si>
  <si>
    <t>export</t>
  </si>
  <si>
    <t>bojxona</t>
  </si>
  <si>
    <t>import_data</t>
  </si>
  <si>
    <t>extra_salary</t>
  </si>
  <si>
    <t>soliq</t>
  </si>
  <si>
    <t>payments</t>
  </si>
  <si>
    <t>dembat_smeta</t>
  </si>
  <si>
    <t>relative_person_info</t>
  </si>
  <si>
    <t>younger_help</t>
  </si>
  <si>
    <t>younger_note_book</t>
  </si>
  <si>
    <t>yuonger_all_report</t>
  </si>
  <si>
    <t>gos_active_reestr</t>
  </si>
  <si>
    <t>teacher</t>
  </si>
  <si>
    <t>job</t>
  </si>
  <si>
    <t>organization_info</t>
  </si>
  <si>
    <t>sport</t>
  </si>
  <si>
    <t>credits_products</t>
  </si>
  <si>
    <t>tax_facture</t>
  </si>
  <si>
    <t>account_yur</t>
  </si>
  <si>
    <t>account_fiz</t>
  </si>
  <si>
    <t>yagona_reestr</t>
  </si>
  <si>
    <t>report_months_last</t>
  </si>
  <si>
    <t>send_tax_worker_last</t>
  </si>
  <si>
    <t>object_loyiha</t>
  </si>
  <si>
    <t>qurilish</t>
  </si>
  <si>
    <t>meters</t>
  </si>
  <si>
    <t>gaz_elektr</t>
  </si>
  <si>
    <t>meters_item</t>
  </si>
  <si>
    <t>tax_facture_api</t>
  </si>
  <si>
    <t>yer_osti_uchastka</t>
  </si>
  <si>
    <t>object_pudrat</t>
  </si>
  <si>
    <t>object_pudrat_data</t>
  </si>
  <si>
    <t>employee_info</t>
  </si>
  <si>
    <t>trener_app_qual_category</t>
  </si>
  <si>
    <t>gaz_consumers</t>
  </si>
  <si>
    <t>qazilma_hajmi</t>
  </si>
  <si>
    <t>diplom</t>
  </si>
  <si>
    <t>malakani_baholash_markazi</t>
  </si>
  <si>
    <t>yaqin_qarindosh</t>
  </si>
  <si>
    <t>jury_app_qual_category</t>
  </si>
  <si>
    <t>instructor_app_qual_category</t>
  </si>
  <si>
    <t>trener_info</t>
  </si>
  <si>
    <t>e_protocol</t>
  </si>
  <si>
    <t>birja</t>
  </si>
  <si>
    <t>yer_osti_suv</t>
  </si>
  <si>
    <t>object_winner_loyiha</t>
  </si>
  <si>
    <t>object_loyiha_ekspertiza</t>
  </si>
  <si>
    <t>choraklik_hajm</t>
  </si>
  <si>
    <t>kasbga_yun_fuqaro</t>
  </si>
  <si>
    <t>object_winner_pudrat</t>
  </si>
  <si>
    <t>companies</t>
  </si>
  <si>
    <t>cooperation</t>
  </si>
  <si>
    <t>cars</t>
  </si>
  <si>
    <t>gayi</t>
  </si>
  <si>
    <t>organization</t>
  </si>
  <si>
    <t>shaffof</t>
  </si>
  <si>
    <t>ijara_contracts</t>
  </si>
  <si>
    <t>mehnat_vazirligi</t>
  </si>
  <si>
    <t>personal_info</t>
  </si>
  <si>
    <t>haydovchilik_guvohnomasi</t>
  </si>
  <si>
    <t>old_data</t>
  </si>
  <si>
    <t>pudrat_done_work</t>
  </si>
  <si>
    <t>hunarmand</t>
  </si>
  <si>
    <t>object_gasn_data</t>
  </si>
  <si>
    <t>agrosanoat_data</t>
  </si>
  <si>
    <t>xt_tender_selection</t>
  </si>
  <si>
    <t>xt_tender_product</t>
  </si>
  <si>
    <t>contract</t>
  </si>
  <si>
    <t>xt_tender_participants</t>
  </si>
  <si>
    <t>gaz_main_data</t>
  </si>
  <si>
    <t>sanoat_xavfsizligi</t>
  </si>
  <si>
    <t>student_nach</t>
  </si>
  <si>
    <t>e_ijara</t>
  </si>
  <si>
    <t>qishloq_xojaligi</t>
  </si>
  <si>
    <t>tax_worker</t>
  </si>
  <si>
    <t>ichki_ishlar_yol</t>
  </si>
  <si>
    <t>tax_report_api</t>
  </si>
  <si>
    <t>tax_region_sp</t>
  </si>
  <si>
    <t>hunarmand_shogird</t>
  </si>
  <si>
    <t>organization_detail</t>
  </si>
  <si>
    <t>sp_budgets</t>
  </si>
  <si>
    <t>trade_products</t>
  </si>
  <si>
    <t>poisk_01</t>
  </si>
  <si>
    <t>xt_agreement_members</t>
  </si>
  <si>
    <t>trades</t>
  </si>
  <si>
    <t>directs</t>
  </si>
  <si>
    <t>directs_products</t>
  </si>
  <si>
    <t>tuman_code</t>
  </si>
  <si>
    <t>region_delivery</t>
  </si>
  <si>
    <t>import_unlock</t>
  </si>
  <si>
    <t>product</t>
  </si>
  <si>
    <t>org_info_stat</t>
  </si>
  <si>
    <t>turists</t>
  </si>
  <si>
    <t>org_founder_item</t>
  </si>
  <si>
    <t>xt_participants</t>
  </si>
  <si>
    <t>customers_jur</t>
  </si>
  <si>
    <t>customers_phys</t>
  </si>
  <si>
    <t>bank_001</t>
  </si>
  <si>
    <t>bank</t>
  </si>
  <si>
    <t>send_tax_worker</t>
  </si>
  <si>
    <t>mehnat_daftar</t>
  </si>
  <si>
    <t>subsidiya</t>
  </si>
  <si>
    <t>e_accreditation</t>
  </si>
  <si>
    <t>tartibga_solish</t>
  </si>
  <si>
    <t>xt_request_reduction</t>
  </si>
  <si>
    <t>xt_reduction_product</t>
  </si>
  <si>
    <t>phd</t>
  </si>
  <si>
    <t>bank_002</t>
  </si>
  <si>
    <t>bank_003</t>
  </si>
  <si>
    <t>short_person</t>
  </si>
  <si>
    <t>bank_004</t>
  </si>
  <si>
    <t>bank_005</t>
  </si>
  <si>
    <t>bank_006</t>
  </si>
  <si>
    <t>bank_007</t>
  </si>
  <si>
    <t>bank_008</t>
  </si>
  <si>
    <t>bank_009</t>
  </si>
  <si>
    <t>bank_010</t>
  </si>
  <si>
    <t>temp1_pinfl</t>
  </si>
  <si>
    <t>bank_015</t>
  </si>
  <si>
    <t>bank_011</t>
  </si>
  <si>
    <t>bank_030</t>
  </si>
  <si>
    <t>bank_012</t>
  </si>
  <si>
    <t>bank_045</t>
  </si>
  <si>
    <t>bank_013</t>
  </si>
  <si>
    <t>bank_014</t>
  </si>
  <si>
    <t>ministries</t>
  </si>
  <si>
    <t>ombor</t>
  </si>
  <si>
    <t>bank_016</t>
  </si>
  <si>
    <t>bank_017</t>
  </si>
  <si>
    <t>bank_018</t>
  </si>
  <si>
    <t>bank_019</t>
  </si>
  <si>
    <t>bank_020</t>
  </si>
  <si>
    <t>bank_021</t>
  </si>
  <si>
    <t>bank_022</t>
  </si>
  <si>
    <t>bank_023</t>
  </si>
  <si>
    <t>bank_024</t>
  </si>
  <si>
    <t>bank_025</t>
  </si>
  <si>
    <t>bank_026</t>
  </si>
  <si>
    <t>bank_027</t>
  </si>
  <si>
    <t>bank_028</t>
  </si>
  <si>
    <t>bank_029</t>
  </si>
  <si>
    <t>bank_031</t>
  </si>
  <si>
    <t>bank_032</t>
  </si>
  <si>
    <t>bank_033</t>
  </si>
  <si>
    <t>bank_034</t>
  </si>
  <si>
    <t>bank_035</t>
  </si>
  <si>
    <t>bank_036</t>
  </si>
  <si>
    <t>bank_037</t>
  </si>
  <si>
    <t>bank_038</t>
  </si>
  <si>
    <t>bank_039</t>
  </si>
  <si>
    <t>bank_040</t>
  </si>
  <si>
    <t>bank_041</t>
  </si>
  <si>
    <t>bank_042</t>
  </si>
  <si>
    <t>bank_043</t>
  </si>
  <si>
    <t>bank_044</t>
  </si>
  <si>
    <t>bank_046</t>
  </si>
  <si>
    <t>bank_047</t>
  </si>
  <si>
    <t>bank_048</t>
  </si>
  <si>
    <t>bank_049</t>
  </si>
  <si>
    <t>bank_050</t>
  </si>
  <si>
    <t>bank_051</t>
  </si>
  <si>
    <t>bank_052</t>
  </si>
  <si>
    <t>bank_053</t>
  </si>
  <si>
    <t>bank_054</t>
  </si>
  <si>
    <t>bank_055</t>
  </si>
  <si>
    <t>bank_056</t>
  </si>
  <si>
    <t>bank_057</t>
  </si>
  <si>
    <t>bank_058</t>
  </si>
  <si>
    <t>bank_059</t>
  </si>
  <si>
    <t>information</t>
  </si>
  <si>
    <t>bank_list</t>
  </si>
  <si>
    <t>gaz_elektr.meters</t>
  </si>
  <si>
    <t>employement.yaqin_qarindosh</t>
  </si>
  <si>
    <t>employement.mehnat_daftar x</t>
  </si>
  <si>
    <t>soliq.send_tax_worker</t>
  </si>
  <si>
    <t>employement.hunarmand</t>
  </si>
  <si>
    <t>employement.hunarmand_shogird</t>
  </si>
  <si>
    <t>birja.xt_tender_selection</t>
  </si>
  <si>
    <t>қидирув 1</t>
  </si>
  <si>
    <t>қидирув 2</t>
  </si>
  <si>
    <t>Итог</t>
  </si>
  <si>
    <t>Мавжуд</t>
  </si>
  <si>
    <t>employement.mehnat_daftar</t>
  </si>
  <si>
    <t>Аниқлик киритиш керак</t>
  </si>
  <si>
    <t>изох</t>
  </si>
  <si>
    <t xml:space="preserve"> +-</t>
  </si>
  <si>
    <t>-</t>
  </si>
  <si>
    <t>+</t>
  </si>
  <si>
    <t>Bojxona Ombor</t>
  </si>
  <si>
    <t xml:space="preserve">PHD </t>
  </si>
  <si>
    <t>UzAsbo Organizatsiyalar ro'yxati</t>
  </si>
  <si>
    <t>KERAK</t>
  </si>
  <si>
    <t>QANDAY TABLE EKANLIGI NOMALUM</t>
  </si>
  <si>
    <t xml:space="preserve">Qum ShAg'al exceldan export qilingan </t>
  </si>
  <si>
    <t>OTM inn va o'qituvchi ilmiy darajasi bo'yicha o'qituvchilar ro'yxatini olish</t>
  </si>
  <si>
    <t>SMETA</t>
  </si>
  <si>
    <t>BOJXONA To'lov</t>
  </si>
  <si>
    <t>Soliq Extra salary</t>
  </si>
  <si>
    <t>Эскпортни рағбатлантириш агентлиги Экспортчи корхоналар учун ажратилган субсидиялар тўғрисидаги маълумотлар</t>
  </si>
  <si>
    <t>delete</t>
  </si>
  <si>
    <t>pagran</t>
  </si>
  <si>
    <t>ulganlar</t>
  </si>
  <si>
    <t>tasisci_history</t>
  </si>
  <si>
    <t>tugulish</t>
  </si>
  <si>
    <t>tugulish_davomi</t>
  </si>
  <si>
    <t>pasport</t>
  </si>
  <si>
    <t>ped_pasport</t>
  </si>
  <si>
    <t>kadastr</t>
  </si>
  <si>
    <t>np1</t>
  </si>
  <si>
    <t>soliq_inn_pinfl</t>
  </si>
  <si>
    <t>pagran_svod</t>
  </si>
  <si>
    <t>spravochnik</t>
  </si>
  <si>
    <t>oxirgi oyligini yig'gansiz</t>
  </si>
  <si>
    <t>histori</t>
  </si>
  <si>
    <t>tasischi yig'ganiz</t>
  </si>
  <si>
    <t>birja yig'ganiz</t>
  </si>
  <si>
    <t>poisk_spravochnik</t>
  </si>
  <si>
    <t>Микросервисга қўшилди</t>
  </si>
  <si>
    <t>Ҳисобланган, тўланган ҳамда қайтарилган солиқлар ва тўловлар (жисмоний ва юридик)</t>
  </si>
  <si>
    <t>Юридик ва ЯТТ лар тўғрисида маълумот</t>
  </si>
  <si>
    <t>Ишчи ходимлар рўйхати (1, 2, 3 ва 4 иловалар)</t>
  </si>
  <si>
    <t>Дивидент тўловлари ҳисоботига бириктирилган рўйхат</t>
  </si>
  <si>
    <t>Банк мониторинги</t>
  </si>
  <si>
    <t>Қайта алоқа</t>
  </si>
  <si>
    <t>Буюртмалар</t>
  </si>
  <si>
    <t>Ҳисоб палатасининг назорат тадбирлари учун талаб этиладиган маълумотларни вазирлик ва идораларнинг маълумотлар базаларидан олиб бериш ҳамда уларни қайта ишлаш</t>
  </si>
  <si>
    <t>Мониторинглар</t>
  </si>
  <si>
    <t xml:space="preserve"> - риск ҳолатларини аниқлаш жараёнига фойдаланувчиларга тушунтириш мақсадида администраторлар томонидан таҳлил схемасини қўшиш ва ўзгартириш</t>
  </si>
  <si>
    <t>Ташқи манба базаларидан маълумотларни жамлаш</t>
  </si>
  <si>
    <t xml:space="preserve"> - икки ва ундан ортиқ маълумотларни жамлаш ва юкламалар модули орқали юклаб олиш</t>
  </si>
  <si>
    <t xml:space="preserve"> - фойдаланувчилар (администратор) томонидан интеграция API ларини дастурга автоматик тарзда улаш</t>
  </si>
  <si>
    <t xml:space="preserve"> - тизим дизайнини ишлаб чиқиш</t>
  </si>
  <si>
    <t xml:space="preserve"> - кунлик ҳисобот маълумотларини ишлаб чиқиш</t>
  </si>
  <si>
    <t>Тизимда мавжуд барча API лар ҳамда микросервисларни онлайн мониторинг қилиш орқали ишлашида хатолик юз бериш ҳолатларини аниқлаш ва бартараф этиш мақсадида тизим ишлаб чиқувчиларни ва администраторларни хабардор қилиш</t>
  </si>
  <si>
    <t xml:space="preserve"> - савол ва жавоблар модули</t>
  </si>
  <si>
    <t xml:space="preserve"> - барча фойдаланувчиларга хабар жўнатиш</t>
  </si>
  <si>
    <t xml:space="preserve"> - фойдаланувчи томонидан маълумотларни жамлаб бериш ёки риск таҳлилларини амалга оширилиши юзасидан сўров юбориш</t>
  </si>
  <si>
    <t xml:space="preserve"> - юборилган сўровни қабул қилиб ижрочини белгилаш ва назоратга қўйиш</t>
  </si>
  <si>
    <t xml:space="preserve"> - ижрога қабул қилинган мурожаатни назоратдан ечиш</t>
  </si>
  <si>
    <t xml:space="preserve"> - асосий ойна</t>
  </si>
  <si>
    <t xml:space="preserve"> - ҳисоботлар</t>
  </si>
  <si>
    <t xml:space="preserve"> - банклар томонидан тақдим этилган маълумотларни серверга жамлаш</t>
  </si>
  <si>
    <t xml:space="preserve"> - тақдим этилган маълумотлар жамланмасини фойдаланувчиларга кўрсатиш ва қайта таҳлил қилиш учун экспорт қилиш</t>
  </si>
  <si>
    <t xml:space="preserve"> - банклар томонидан маълумотлар тақдим этилиши учун хавфсиз канал яратиб ҳар бир банк учун тегишли логин, пароль ва RSA калитларни яратиш ҳамда уларга тақдим этиш</t>
  </si>
  <si>
    <t xml:space="preserve"> - банклар томонидан тақдим этилган маълумотларини банк масъул ходимлари томонидан "Масофавий аудит" ААТ орқали текшириб кўриш</t>
  </si>
  <si>
    <t xml:space="preserve"> - интеграция ҳужжатларини вазирлик ва идоралар кесимида ташқи манба тизимига бириктириш ва интеграция натижасида олинган маълумотларни устун номларини ўзгартириш</t>
  </si>
  <si>
    <t xml:space="preserve"> - аниқланган қонун бузилиш ҳолатларини хавф даражаларига тақсимлаш</t>
  </si>
  <si>
    <t xml:space="preserve"> - аниқланган ва бартараф этилган ҳолатлар интерфейсини фойдаланувчи томонидан устунларни қўшиш, олиб ташлаш, номларини ўзгартириш.</t>
  </si>
  <si>
    <t>Тизим фойдаланувчиларида юзага келган саволларга модул орқали жавобларни онлайн жўнатиш</t>
  </si>
  <si>
    <t xml:space="preserve"> - қонун бузилиш ҳолатларини бартараф этиш мақсадида масъулларни белгилаш</t>
  </si>
  <si>
    <t xml:space="preserve"> - аниқланган ва бартараф этилган ҳолатлар юзасидан риск йўналишининг самарадорлигини кузатиш</t>
  </si>
  <si>
    <t xml:space="preserve"> - риск ҳолатларини аниқлаш жараёнига фойдаланувчи томонидан қўшимча фильтрлар қўшиш орқали аниқланадиган риск ҳолатларини сифатини ошириш (мантиқий назорат)</t>
  </si>
  <si>
    <t>Банклар томонидан юборилган маълумотларни қайта ишлаш</t>
  </si>
  <si>
    <t xml:space="preserve"> - тизим томонидан аниқганлан, назоратдан ечиш учун келган риск ҳолатлари юзасидан фойдаланувчиларга телеграм бот орқали огоҳлантиришлар юбориш</t>
  </si>
  <si>
    <t>Сунъий интеллект</t>
  </si>
  <si>
    <t>Қонунлар, кодекслар ва бошқа норматив ҳужжатлар юзасидан сунъий интеллектдан муаммолик ҳолатлар юзасидан маълумотлар олиш</t>
  </si>
  <si>
    <t>Базадаги номи</t>
  </si>
  <si>
    <t>Маълумот олиш усули тўғрисида таклиф</t>
  </si>
  <si>
    <t xml:space="preserve"> - тўғридан тўғри API</t>
  </si>
  <si>
    <t xml:space="preserve"> - тўғридан тўғри база</t>
  </si>
  <si>
    <t xml:space="preserve"> - ЭҲ API</t>
  </si>
  <si>
    <t>Мол-мулк ва ер майдонлари тўғрисида маълумотлар</t>
  </si>
  <si>
    <t>“E-AUKSION” электрон савдо майдончасида кимошди савдосига қўйилган кўчмас мулк, транспорт воситалари, махсус текника, бўш турган бино ва иншоотлар ҳамда ер участкалари тўғрисидаги маълумотлар</t>
  </si>
  <si>
    <t>Абитуриентларнинг олий таълим муассасаларига ўқишга кириш ҳуқуқини тасдиқловчи ҳужжатлар тўғрисидаги маълумотлар</t>
  </si>
  <si>
    <t>Автотранспорт ҳақида маълумотлар</t>
  </si>
  <si>
    <t>Аёллар дафтарида фуқаронинг мавжудлиги ҳақида маълумотлар</t>
  </si>
  <si>
    <t>Белгиланган вақтда талабалар ҳақида маълумотлар</t>
  </si>
  <si>
    <t>Бўш объектлари тўғрисида маълумот (рўйхат олиш)</t>
  </si>
  <si>
    <t>Ёшлар реестери</t>
  </si>
  <si>
    <t>Жисмоний шахсларнинг 12 ойлик иш ҳақи тўғрисидаги маълумотлар</t>
  </si>
  <si>
    <t>Жисмоний шахсларнинг иш ҳақи тўғрисидаги маълумотлар</t>
  </si>
  <si>
    <t>Жисмоний шахсларнинг қарздорлик тўғрисидаги маълумотлар</t>
  </si>
  <si>
    <t>Жисмоний шахсларнинг солиққа тортилган мол-мулки тўғрисида маълумотлар</t>
  </si>
  <si>
    <t>ЖШШИР сўровномаси бўйича маълумотлар</t>
  </si>
  <si>
    <t>Импорт қилинган транспорт воситалари тўғрисидаги маълумотлар</t>
  </si>
  <si>
    <t>Йўловчиларни ташишга лицензия мавжудлиги тўғрисида маълумотлар</t>
  </si>
  <si>
    <t>Кадастр рақами бўйича рўйхатга олинган шахслар тўғрисидаги маълумотлар</t>
  </si>
  <si>
    <t>Колледж ва академик лицей ўқувчилари тўғрисида маълумотлар (ЖШШИР)</t>
  </si>
  <si>
    <t>Лавозим тарихи ҳақида маълумотлар</t>
  </si>
  <si>
    <t>Лицензия мавжудлиги ҳақида маълумот (СТИР, юридик ҳисоб учун)</t>
  </si>
  <si>
    <t>Маиший чиқиндиларни олиб чиқиш бўйича қарздорлик тўғрисидаги маълумотлар</t>
  </si>
  <si>
    <t>Наркологик диспансерда рўйхатга олинган шахслар тўғрисида маълумотлар (ЖШШИР)</t>
  </si>
  <si>
    <t>Наркологик диспансерда рўйхатга олинган шахслар тўғрисида маълумотлар (Паспорт серия ва рақам)</t>
  </si>
  <si>
    <t>Никоҳ тузилганлиги тўғрисидаги маълумотлар</t>
  </si>
  <si>
    <t>Никоҳдан ажралганлиги тўғрисида маълумотлар (ЖШШИР)</t>
  </si>
  <si>
    <t>Никоҳдан ажралганлиги тўғрисида маълумотлар (Фамилия ва Исм)</t>
  </si>
  <si>
    <t>Олий маълумоти тўғрисидаги диплом маълумотлари</t>
  </si>
  <si>
    <t>Олий ўқув юртида ўқишни тасдиқловчи архив маълумотномаси</t>
  </si>
  <si>
    <t>Ота-оналарнинг (васийларнинг) вояга етмаган болаларнинг чет элга чиқишига розилигини текшириш, шунингдек, вояга етмаган шахсни ҳамроҳлик қилувчи шахс томонидан кузатиб боришига розилигини текшириш хизмати маълумотлар</t>
  </si>
  <si>
    <t>Паспорт маълумотлари (ЖШШИР + паспорт серия ва рақами + тил)</t>
  </si>
  <si>
    <t>Паспорт маълумотлари (ЖШШИР + паспорт серия ва рақами + туғилган сана)</t>
  </si>
  <si>
    <t>Пенсия (нафақа) миқдори ва мақсади тўғрисида сўров</t>
  </si>
  <si>
    <t>Пенсия ва нафақа олувчилар рўйхатида мавжудлиги ёки йўқлиги ҳақида маълумотлар</t>
  </si>
  <si>
    <t>Пенсия ва нафақалар миқдори ҳақида маълумотлар</t>
  </si>
  <si>
    <t>Рўйхатдан ўтиш тўғрисидаги маълумотлар (ЖШШИР)</t>
  </si>
  <si>
    <t>Рухий касалликлар шифохонасида рўйхатга олинган шахслар тўғрисида маълумотлар (ЖШШИР)</t>
  </si>
  <si>
    <t>Рухий касалликлар шифохонасида рўйхатга олинган шахслар тўғрисида маълумотлар (Паспорт серия ва рақам, туғилган сана)</t>
  </si>
  <si>
    <t>Рухий касалликлар шифохонасида рўйхатга олинган шахслар тўғрисида маълумотлар (Паспорт серия ва рақам)</t>
  </si>
  <si>
    <t>Сертификатларни давлат рўйхатидан ўтказиш</t>
  </si>
  <si>
    <t>СТИР ҳақида маълумот (Паспорт рақам ва серия)</t>
  </si>
  <si>
    <t>СТИР ҳақида маълумотлар (ЖШШИР)</t>
  </si>
  <si>
    <t>Суғурта мукофотлари</t>
  </si>
  <si>
    <t>Судланганлик тўғрисида маълумот олиш</t>
  </si>
  <si>
    <t>Сўров вақтида жисмоний шахсларнинг иш ҳолатини  билишни таъминлайдиган хизмат</t>
  </si>
  <si>
    <t>Тадбиркорлик субъектларида ўтказилган текширишлар тўғрисида маълумот олиш (СТИР)</t>
  </si>
  <si>
    <t>Тадбиркорлик субъектларини давлат рўйхатдан ўтказганлиги тўғрисидаги маълумотлар (СТИР)</t>
  </si>
  <si>
    <t>Ташкилотнинг ИНПС рақами орқали тўлов топшириқлари маълумотларини олиш</t>
  </si>
  <si>
    <t>Тиббий-меҳнат эксперт комиссиясининг хулосаси тўғрисида маълумотлар (Паспорт)</t>
  </si>
  <si>
    <t>Транспорт воситасининг техник кўрик муддати тўғрисидаги маълумотлар</t>
  </si>
  <si>
    <t>Туғилганлик ҳақида маълумот олиш (ЖШШИР)</t>
  </si>
  <si>
    <t>Ўз ўзини иш билан таъминловчи шахслар тўғрисида маълумотлар</t>
  </si>
  <si>
    <t>Ўлим ҳақида маълумот олиш</t>
  </si>
  <si>
    <t>Ҳозирги иш жойи ҳақида маълумот олиш (ЯММТ)</t>
  </si>
  <si>
    <t>Ҳудудгазтаъминот абонентларининг маълумотлари (ЖШШИР жисмоний шахс)</t>
  </si>
  <si>
    <t>Ҳудудгазтаъминот абонентларининг маълумотлари (Кадастр рақами жисмоний шахс)</t>
  </si>
  <si>
    <t>Ҳудудгазтаъминот абонентларининг маълумотлари (СТИР юридик шахс)</t>
  </si>
  <si>
    <t>Ҳудудгазтаъминот абонентларининг маълумотлари (Шахсий ҳисоб рақам юридик шахс)</t>
  </si>
  <si>
    <t>Шахсга тақиқ қуйилганлик бўйича маълумотлар (ЖШШИР)</t>
  </si>
  <si>
    <t>Шахсга тақиқ қуйилганлик бўйича маълумотлар (Паспорт серия ва рақам)</t>
  </si>
  <si>
    <t>Юридик шахсларнинг банк реквизитлари тўғрисидаги маълумотлар</t>
  </si>
  <si>
    <t>Юридик шахсларнинг қарздорлик тўғрисидаги маълумотлар</t>
  </si>
  <si>
    <t>Юридик шахсларнинг маълумотлар базаси</t>
  </si>
  <si>
    <t>Паспорт маълумотлари</t>
  </si>
  <si>
    <t>Юридик шахсларнинг таъсисчилари тўғрисида маълумот</t>
  </si>
  <si>
    <t>Амалга оширилган импорт операциялари тўғрисида маълумот (СТИР)</t>
  </si>
  <si>
    <t>Амалга оширилган импорт операциялари тўғрисида маълумот (товар коди)</t>
  </si>
  <si>
    <t>Амалга оширилган тўловлар тўғрисида маълумот (СТИР)</t>
  </si>
  <si>
    <t>Амалга оширилган тўловлар тўғрисида маълумот (товар коди)</t>
  </si>
  <si>
    <t>Амалга оширилган экспорт операциялари тўғрисида маълумот (СТИР)</t>
  </si>
  <si>
    <t>Амалга оширилган экспорт операциялари тўғрисида маълумот (товар коди)</t>
  </si>
  <si>
    <t>Омборхона тўғрисида маълумот (СТИР)</t>
  </si>
  <si>
    <t>Омборхона тўғрисида маълумот (ТОВАР)</t>
  </si>
  <si>
    <t>Устав фондида давлат улуши мавжуд хўжалик жамиятлари ва давлат корхоналари тўғрисидаги маълумотлар</t>
  </si>
  <si>
    <t>Болалар спорт мактаблари тўғрисида маълумотлар</t>
  </si>
  <si>
    <t>Ҳакамларга берилган малака сертификати бўйича маълумотлар</t>
  </si>
  <si>
    <t>Бюджет ташкилотлари томонидан расмийлаштирилган ҳисоб варақ фактуралари</t>
  </si>
  <si>
    <t>Бюджет ташкилотлари томонидан тўланган декрет тўловлари</t>
  </si>
  <si>
    <t>Бюджет ташкилотлари томонидан тўланган иш ҳақлари</t>
  </si>
  <si>
    <t>Бюджет ташкилотларининг 4-гуруҳ харажатлари</t>
  </si>
  <si>
    <t>Ғазначилик маълумотларига асосан электрон ҳисоб фактура</t>
  </si>
  <si>
    <t>UZASBO ахборот тизимидан ташкилотларнинг СТИР рақами орқали иш хақи ва унга тенглаштирилган тўловларнинг ҳисобланиши тўғрисидаги маълумотлар</t>
  </si>
  <si>
    <t>UZASBO ахборот тизимидан ташкилотнинг СТИР рақами орқали ойлик ведомостлари тўғрисидаги маълумотлар</t>
  </si>
  <si>
    <t>UZASBO ахборот тизимидан ҳодимнинг ЖШШИР рақами орқали ойлик ведомостлари тўғрисидаги маълумотлар</t>
  </si>
  <si>
    <t>UZASBO дастуридан корхона, ташкилотлар ҳодимлари тўғрисида маълумотлар</t>
  </si>
  <si>
    <t>Манзил” ААТ тизимига киритилган фуқаролар тўғрисидаги маълумотлар</t>
  </si>
  <si>
    <t>Транспорт воситалари тўғрисида маълумотлар (ЖШШИР рақами кўрсатилган ҳолда)</t>
  </si>
  <si>
    <t>Транспорт воситалари тўғрисида маълумотлар (Йил)</t>
  </si>
  <si>
    <t>Транспорт воситалари тўғрисида маълумотлар (юридик шахснинг СТИР орқали)</t>
  </si>
  <si>
    <t>Хорижга чиқиш паспорти маълумотларига асосан фуқаронинг ЖШШИРини аниқлаш</t>
  </si>
  <si>
    <t>Ҳайдовчилик гувоҳномаси тўғрисида маълумотлар (ЖШШИР рақами кўрсатилган ҳолда)</t>
  </si>
  <si>
    <t>Кадастр объектлари тўғрисида маълумот</t>
  </si>
  <si>
    <t>Кадастр объектлари тўғрисида маълумот (ЖШШИР)</t>
  </si>
  <si>
    <t>Жазони ижро этиш муассасаларидан озод қилинган шахсларни ишга қабул қилган иш берувчиларга субсидия</t>
  </si>
  <si>
    <t>Жамоат ишларида банд бўлганлар тўғрисидаги маълумотлар</t>
  </si>
  <si>
    <t>Жисмоний шахсларнинг электрон меҳнат дафтарчаси тўғрисида маълумотлар</t>
  </si>
  <si>
    <t>Жисмоний шахсларнинг яқин қариндошлари тўғрисида маълумотлар</t>
  </si>
  <si>
    <t>Ишлаб чиқариш бирлашмаси (кооператив) аъзолигига олинган ҳар бир аъзо учун субсидия олиш</t>
  </si>
  <si>
    <t>Ишсизлик нафақасини олаётган фуқаролар тўғрисидаги маълумотлар</t>
  </si>
  <si>
    <t>Касаначиларига асбоб ускуна хариди учун юридик шахсларга субсидия</t>
  </si>
  <si>
    <t>Касаначиларни касб-ҳунарга ўқитиш харажатлари учун юридик шахсларга субсидия</t>
  </si>
  <si>
    <t>Касбга қайта тайёрлов учун субсидия</t>
  </si>
  <si>
    <t>Касбга ўқитиш хизматидан фойдаланган жисмоний шахслар тўғрисидаги маълумотлар</t>
  </si>
  <si>
    <t>Кооператив субсидия</t>
  </si>
  <si>
    <t>Корхона ва ташкилотларда ишловчи жисмоний шахсларнинг меҳнат фаолияти тўғрисида маълумотлар (ЯММТ)</t>
  </si>
  <si>
    <t>Малакани баҳолаш марказларини аккредитация қилиш</t>
  </si>
  <si>
    <t>Маҳаллаларда касаначиликни ташкил этган тадбиркорлик субектларига субсидия ажратиш</t>
  </si>
  <si>
    <t>Ногиронлиги бор касаначиларни иш ўринларига мослаштирганлиги учун юридик шахсларга субсидия</t>
  </si>
  <si>
    <t>Субсидия олган ташкилот маълумотлари</t>
  </si>
  <si>
    <t>Субсидия олган фуқаролар тўғрисидаги маълумотлар</t>
  </si>
  <si>
    <t>Ўрмон фонди ерларини ижарага олган юридик шахслар ишсизларни ишга қабул қилганлиги учун субсидия</t>
  </si>
  <si>
    <t>Фуқароларни ишга жойлаштиришда кўмаклашиш (ишга жойлаштирилган фуқаролар)</t>
  </si>
  <si>
    <t>Ҳунарманд уюшмасига аъзолик бадалини қоплаш учун субсидия</t>
  </si>
  <si>
    <t>Ҳунарманд шогирдларга асбоб ускуна учун субсидия</t>
  </si>
  <si>
    <t>Ҳунармандларга интернет сайтини яратиш учун субсидия</t>
  </si>
  <si>
    <t>Ҳунармандларга шогирд тайёрлаш учун субсидия</t>
  </si>
  <si>
    <t>Экспортни рағбатлантириш агентлиги томонидан тижорат банкларига тақдим этилган молиявий ресурсларнинг ажратилиши бўйича маълумотлар</t>
  </si>
  <si>
    <t>Юридик шахсларга квотадан ташқари ходим ишга қабул қилганлиги учун субсидия</t>
  </si>
  <si>
    <t>Юридик шахсларга ногиронлиги бўлган шахсларни ишга қабул қилганлиги учун субсидия</t>
  </si>
  <si>
    <t>Юридик шахсларга ногиронлиги бўлган шахсларни ишга мослаштирганлиги учун субсидия</t>
  </si>
  <si>
    <t>Юридик шахсларга субсидия</t>
  </si>
  <si>
    <t>Қишлоқ хўжалиги ерларини “E-IJARA”  тизимида ижрага берилганлиги тўғрисида маълумот олиш</t>
  </si>
  <si>
    <t>Қишлоқ хўжалиги ерларини "E-IJARA" ахборот тизимига киритилиши ва "E-AUKSION" га чиқарилиши натижасида ғолиб бўлган субъектлар тўғрисида маълумотлар</t>
  </si>
  <si>
    <t>Қишлоқ хўжалиги товар ишлаб чиқарувчиларининг қишлоқ хўжалиги экин майдонларига ҳисобланган норматив қийматлари</t>
  </si>
  <si>
    <t>Жисмоний шахснинг шахсий ҳисобварақ маълумотлари</t>
  </si>
  <si>
    <t>Иш ҳаққининг якка тартибдаги ҳисобини юритишнинг марказлашган электрон реестри маълумотлари</t>
  </si>
  <si>
    <t>Солиқ органлари маълумотларига асосан жисмоний шахснинг даромадлари</t>
  </si>
  <si>
    <t>Солиқ органлари маълумотларига асосан юридик шахс томонидан ҳисобланган иш ҳақлари тўғрисида маълумот</t>
  </si>
  <si>
    <t>Солиқ ҳисоботлар тўғрисидаги маълумотлар</t>
  </si>
  <si>
    <t>Электрон ҳисоб фактуралар тўғрисидаги маълумотлар (сотиб олувчи ва сотувчи)</t>
  </si>
  <si>
    <t>Электрон ҳисоб фактуралар тўғрисидаги маълумотлар (сотиб олувчи)</t>
  </si>
  <si>
    <t>Электрон ҳисоб фактуралар тўғрисидаги маълумотлар (сотувчи)</t>
  </si>
  <si>
    <t>Юридик шахснинг шахсий ҳисобварақ маълумотлари</t>
  </si>
  <si>
    <t>Туризм фаолияти реестр тўғрисида маълумотлар</t>
  </si>
  <si>
    <t>Ҳунарманд реестр тўғрисида маълумотлар</t>
  </si>
  <si>
    <t>Маълумотномани ИНПС сўровномаси орқали олиш</t>
  </si>
  <si>
    <t>Рўйхатга олиш китоби тафсилотларини олиш</t>
  </si>
  <si>
    <t>Ташкилотнинг реестрлар рўйхатини олиш</t>
  </si>
  <si>
    <t>Ташкилотнинг СТИР орқали тўлов топшириқларини қабул қилиш</t>
  </si>
  <si>
    <t>ХБ ташкилоти филиаллари рўйхатини олиш</t>
  </si>
  <si>
    <t>Аҳоли истеъмолчилар ҳисоблагичлари ва уларнинг фойдаланган газ ҳажмлари тўғрисидаги маълумотлар</t>
  </si>
  <si>
    <t>Улгуржи истеъмолчилар ҳисоблагичлари ва уларнинг фойдаланган газ ҳажмлари тўғрисидаги маълумотлар</t>
  </si>
  <si>
    <t>1. Адлия вазирлиги</t>
  </si>
  <si>
    <t>2. Божхона қўмитаси</t>
  </si>
  <si>
    <t>3. Давлат активларини бошқариш агентлиги</t>
  </si>
  <si>
    <t>4. Ёшлар ишлари агентлиги</t>
  </si>
  <si>
    <t>6. Иқтисодиёт ва молия вазирлиги</t>
  </si>
  <si>
    <t>8. Ички ишлар вазирлиги</t>
  </si>
  <si>
    <t>9. Кадастр агентлиги</t>
  </si>
  <si>
    <t>10. Камбағалликни қисқартириш ва бандлик вазирлиги</t>
  </si>
  <si>
    <t>11. Қишлоқ хўжалиги вазирлиги</t>
  </si>
  <si>
    <t>12. Қурилиш ва уй-жой коммунал хўжалиги вазирлиги</t>
  </si>
  <si>
    <t>13. Олий таълим, фан ва инновациялар вазирлиги</t>
  </si>
  <si>
    <t>Ташқи манба модулига интеграция қилинган сервислар тўғрисида маълумот</t>
  </si>
  <si>
    <t>Риск анализ</t>
  </si>
  <si>
    <t>Йўналиш</t>
  </si>
  <si>
    <t>Экспорт операциялари тўғрисида маълумот</t>
  </si>
  <si>
    <t>Импорт операциялари тўғрисида маълумот</t>
  </si>
  <si>
    <t>Божхона тўловлари тўғрисида маълумот</t>
  </si>
  <si>
    <t>API</t>
  </si>
  <si>
    <t>https://erp-integration.sport.uz/api/v1/hp/HP/OrganizationInfo</t>
  </si>
  <si>
    <t>https://api.yoshlardaftari.uz/api/v2/hisob-palatasi/notebook-data</t>
  </si>
  <si>
    <t>https://api.yoshlardaftari.uz/api/v2/hisob-palatasi/out-notebook-data</t>
  </si>
  <si>
    <t>https://api.yoshlardaftari.uz/api/v2/hisob-palatasi/statistic-out-notebook-data</t>
  </si>
  <si>
    <t>https://erp-integration.sport.uz/api/v1/hp/HP/GetEmployeeInfo</t>
  </si>
  <si>
    <t>https://erp-integration.sport.uz/api/v1/hp/HP/GetInstructorAppQualCategory</t>
  </si>
  <si>
    <t>https://erp-integration.sport.uz/api/v1/hp/HP/GetTrenerInfo</t>
  </si>
  <si>
    <t>https://erp-integration.sport.uz/api/v1/hp/HP/GetJuryAppQualCategory</t>
  </si>
  <si>
    <t>https://erp-integration.sport.uz/api/v1/hp/HP/GetTrenerAppQualCategory</t>
  </si>
  <si>
    <t>https://out-api.masofaviyaudit.uz/api/v1/request/internal/moliya/kazna-factura/</t>
  </si>
  <si>
    <t>https://out-api.masofaviyaudit.uz/api/v1/request/internal/moliya/kazna-dekret/</t>
  </si>
  <si>
    <t xml:space="preserve"> - Декрет тўловлари;</t>
  </si>
  <si>
    <t>https://out-api.masofaviyaudit.uz/api/v1/request/internal/moliya/kazna-salary/</t>
  </si>
  <si>
    <t xml:space="preserve"> - 4-гурух харажати</t>
  </si>
  <si>
    <t>https://out-api.masofaviyaudit.uz/api/v1/request/internal/moliya/kazna-fourth/</t>
  </si>
  <si>
    <t xml:space="preserve"> - Бюджет ташкилотлари тўғрисида маълумот</t>
  </si>
  <si>
    <t>https://new.cooperation.uz/Shared/GetContracts</t>
  </si>
  <si>
    <t>https://new.cooperation.uz/Shared/GetCompanies</t>
  </si>
  <si>
    <t>https://new.cooperation.uz/Shared/GetProducts</t>
  </si>
  <si>
    <t>http://10.190.0.77:7116/api/v2/permanent_registrations</t>
  </si>
  <si>
    <t>https://10.190.25.78:8093/api/v2/account-chamber/car-search-06-method</t>
  </si>
  <si>
    <t>https://10.190.25.78:8093/api/v2/account-chamber/driver-search-03-method</t>
  </si>
  <si>
    <t>https://10.190.33.150/api/info-all</t>
  </si>
  <si>
    <t>https://10.190.2.81/api/account-chamber/exempt-employees</t>
  </si>
  <si>
    <t>https://10.190.2.81/api/account-chamber/public-workers-list</t>
  </si>
  <si>
    <t>https://10.190.2.81/api/account-chamber/coop-subsidies</t>
  </si>
  <si>
    <t>https://10.190.2.81/api/account-chamber/unemployment-list</t>
  </si>
  <si>
    <t>https://10.190.2.81/api/account-chamber/household-equipment</t>
  </si>
  <si>
    <t>https://10.190.2.81/api/account-chamber/retrain-homemaker</t>
  </si>
  <si>
    <t>https://10.190.2.81/api/account-chamber/prepared-again</t>
  </si>
  <si>
    <t>https://10.190.2.81/api/account-chamber/retraining-list</t>
  </si>
  <si>
    <t>https://10.190.2.81/api/account-chamber/coop-subsidies366</t>
  </si>
  <si>
    <t>https://10.190.10.74/api/accounting-chamber/citizen/get-experiences/by-companies</t>
  </si>
  <si>
    <t>https://10.190.2.83/api/api/v1/confirm-companies-for-hisob-palatasi</t>
  </si>
  <si>
    <t>https://10.190.2.81/api/account-chamber/household-salary</t>
  </si>
  <si>
    <t>https://10.190.2.81/api/account-chamber/adjustment-disabilities</t>
  </si>
  <si>
    <t>https://10.190.2.81/api/account-chamber/yur-subsidies-list</t>
  </si>
  <si>
    <t>https://10.190.2.81/api/account-chamber/phys-subsidies-list</t>
  </si>
  <si>
    <t>https://10.190.2.81/api/account-chamber/forest-leased</t>
  </si>
  <si>
    <t>https://10.190.2.81/api/account-chamber/job-searchers-list</t>
  </si>
  <si>
    <t>https://10.190.2.81/api/account-chamber/master-craftsman-list/for-membership-fee</t>
  </si>
  <si>
    <t>https://10.190.2.81/api/account-chamber/master-craftsman-list/for-students</t>
  </si>
  <si>
    <t>https://10.190.2.81/api/account-chamber/master-craftsman-list/for-web-sites</t>
  </si>
  <si>
    <t>https://10.190.2.81/api/account-chamber/master-craftsman-list/for-student-training</t>
  </si>
  <si>
    <t>https://apiapply.epauzb.uz/api/v1/integration/requests/credit</t>
  </si>
  <si>
    <t>https://10.190.2.81/api/account-chamber/out-of-quota</t>
  </si>
  <si>
    <t>https://10.190.2.81/api/account-chamber/for-disabilities</t>
  </si>
  <si>
    <t>https://10.190.2.81/api/account-chamber/adjustment-jobs</t>
  </si>
  <si>
    <t>https://10.190.2.81/api/account-chamber/for-homemaker</t>
  </si>
  <si>
    <t>http://api.e-ijara.uz/api/integration/winners/info-list</t>
  </si>
  <si>
    <t>https://api.agro.uz/openapi/hisob_palata/fetch-eijara</t>
  </si>
  <si>
    <t>https://api.agro.uz/openapi/hisob_palata/fetch-subsidiya</t>
  </si>
  <si>
    <t>http://10.190.41.202/normative/</t>
  </si>
  <si>
    <t xml:space="preserve"> - микросервислар мониторинги, API лар орқали маълумотлар жамланишида юзага келган камчиликлар бўйича ҲП масъулларини огохлантириш ҳамда вазирлик ва идоралар билан ташкил этилган телеграм каналларида камчилик юзасидан маълумот юбориш, бундан ташқари риск анализлар таҳлилида юзага келган камчиликлар юзасидан огоҳлантириш</t>
  </si>
  <si>
    <t xml:space="preserve"> - ташқи манба мониторинги, API лар ишлашида юзага келган камчиликлар бўйича ҲП масъулларини огохлантириш ҳамда вазирлик ва идоралар билан ташкил этилган телеграм каналларида камчилик юзасидан маълумот юбориш</t>
  </si>
  <si>
    <t>Мессенжер</t>
  </si>
  <si>
    <t>Пудрат ва лойиҳа ташкилотларининг рейтинг тизимидаги соҳаларини ўзгариши</t>
  </si>
  <si>
    <t>Лот буйича умумий маълумотлар</t>
  </si>
  <si>
    <t>Товар (иш, хизмат) лар кесимида маълумот</t>
  </si>
  <si>
    <t>Харид қилиш тартиб-таомилида қатнашган иштирокчилар тўғрисида маълумот.</t>
  </si>
  <si>
    <t>Харид қилиш тартиб-таомилининг ҳолати (статуси) ва унинг ўзгариши тўғрисида маълумот</t>
  </si>
  <si>
    <t>Маҳсулот ва хизматларни халқаро электрон савдо майдончаларига, шу жумладан, уларда рўйхатдан ўтиш ва аъзо бўлиш  орқали жойлаштириш йўналиши бўйича бериладиган субсидиялар</t>
  </si>
  <si>
    <t>Ваколатли органларнинг мева-сабзавотлар, тўқимачилик маҳсулотлари ва буюмларини экспорт қилиш учун зарур рухсатнома ва сертификатларни расмийлаштириш билан боғлиқ харажатларини қоплаб бериш йўналиши бўйича бериладиган субсидиялар тоғрисида маълумотлар</t>
  </si>
  <si>
    <t>Маҳсулот намуналарини хорижда ва (ёки) Ўзбекистон Республикасидаги лабораторияларда текшириш,  синовдан ўтказиш, хулосалар олиш, хориждаги лабораторияларга маҳсулот намуналарини етказиб бериш, сақлаш ва (ёки) йўқ қилиш,  шу жумладан, хорижий харидорларнинг талабларини бажариш ва экспорт шартномалари ижросини таъминлаш йўналиши бўйича бериладиган  субсидиялар тоғрисида маълумотлар</t>
  </si>
  <si>
    <t>Савдо уйларини очиш ва сақлаш, офис, савдо ва омбор биноларини ижарага олиш, шу билан бирга, реклама кампанияларини ташкил қилиш билан боғлиқ чет элдаги харажатларни қисман қоплаб бериш йўналиши бўйича ажратиладиган субсидиялар тўғрисида маълумотлар</t>
  </si>
  <si>
    <t>Стандартларни жорий қилиш ва мувофиқлик сертификатларини олиш йўналиши бўйича ажратиладиган субсидиялар тўғрисида маълумотлар</t>
  </si>
  <si>
    <t>Экспорт қилувчилар гаров сифатида суғурта хизматларидан фойдаланганда, суғурта мукофоти учун тўлов харажатларини компенсация қилиш йўналиши бўйича ажратиладиган субсидиялар тўғрисида маълумотлар</t>
  </si>
  <si>
    <t>Тўқимачилик соҳасини қўллаб-қувватлаш жамғармаси йўналиши бўйича ажратиладиган субсидиялар тўғрисида маълумотлар</t>
  </si>
  <si>
    <t>Халқаро тендер ва танловларда иштирок этиш йўналиши бўйича ажратиладиган субсидиялар тўғрисида маълумотлар</t>
  </si>
  <si>
    <t>Савдо миссиялари ва бизнес-форумларда иштирок этиш йўналиши бўйича ажратиладиган субсидиялар тўғрисида маълумотлар</t>
  </si>
  <si>
    <t>Маҳсулотларни экспорт қилишда ташиш харажатларининг бир қисмини компенсация қилиш йўналиши бўйича ажратиладиган субсидиялар тўғрисида маълумотлар</t>
  </si>
  <si>
    <t>Хорижий ваколатли органларда маҳаллий маҳсулотлар ва брендларни (товар белгиларини) рўйхатдан ўтказиш йўналиши ажратиладиган субсидиялар тўғрисида маълумотлар</t>
  </si>
  <si>
    <t>Кўргазма-ярмарка тадбирларида иштирок этиш йўналиши бўйича ажратиладиган субсидиялар тўғрисида маълумотлар</t>
  </si>
  <si>
    <t>Маҳаллий маҳсулотлар ва брендларни (товар белгиларини) ташқи бозорларга олиб чиқиш мақсадида тақдимотлар ва реклама кампаниялари ўтказиш йўналиши бўйича ажратиладиган субсидиялар тўғрисида маълумотлар</t>
  </si>
  <si>
    <t>https://new.cooperation.uz/Shared/Lots</t>
  </si>
  <si>
    <t>https://new.cooperation.uz/Shared/Products</t>
  </si>
  <si>
    <t>https://new.cooperation.uz/Shared/Participants</t>
  </si>
  <si>
    <t>https://new.cooperation.uz/Shared/Statuses</t>
  </si>
  <si>
    <t>http://apiapply.epauzb.uz/api/v1/integration/requests/advertising-electronic-platforms</t>
  </si>
  <si>
    <t>http://apiapply.epauzb.uz/api/v1/integration/requests/fito</t>
  </si>
  <si>
    <t>http://apiapply.epauzb.uz/api/v1/integration/requests/product_sample</t>
  </si>
  <si>
    <t>http://apiapply.epauzb.uz/api/v1/integration/requests/credit</t>
  </si>
  <si>
    <t>http://apiapply.epauzb.uz/api/v1/integration/requests/trading_house</t>
  </si>
  <si>
    <t>http://apiapply.epauzb.uz/api/v1/integration/requests/certification</t>
  </si>
  <si>
    <t>http://apiapply.epauzb.uz/api/v1/integration/requests/insurance</t>
  </si>
  <si>
    <t>http://apiapply.epauzb.uz/api/v1/integration/requests/textile</t>
  </si>
  <si>
    <t>http://apiapply.epauzb.uz/api/v1/integration/requests/transportation</t>
  </si>
  <si>
    <t>http://apiapply.epauzb.uz/api/v1/integration/requests/business</t>
  </si>
  <si>
    <t>http://apiapply.epauzb.uz/api/v1/integration/requests/registration</t>
  </si>
  <si>
    <t>http://apiapply.epauzb.uz/api/v1/integration/requests/exhibition</t>
  </si>
  <si>
    <t>http://apiapply.epauzb.uz/api/v1/integration/requests/advertising</t>
  </si>
  <si>
    <t>Аккредитация буйича маълумот олиш</t>
  </si>
  <si>
    <t>Ҳисобга олиш приборлари ва ускуналарининг қиёслов ва метрологик кўриги тўғрисида маълумот оли</t>
  </si>
  <si>
    <t>1.31. Банклар маълумотлари</t>
  </si>
  <si>
    <t>https://akkred.uz:8081/main/registries/</t>
  </si>
  <si>
    <t>http://10.190.7.22:55551/api/investitsiya/devices-certificate</t>
  </si>
  <si>
    <t>Банк баланс ҳисоботлари</t>
  </si>
  <si>
    <t>Кредит портфели ҳисоботлари</t>
  </si>
  <si>
    <t>Банкнинг регулятив капитали ҳисоб-китоби</t>
  </si>
  <si>
    <t xml:space="preserve">Таваккалчиликни ҳисобга олган ҳолдаги баланс активлар  </t>
  </si>
  <si>
    <t>Миллий валютада таваккалчиликни ҳисобга олган ҳолдаги активлар</t>
  </si>
  <si>
    <t>Хорижий валютада таваккалчиликни ҳисобга олган ҳолдаги активлар</t>
  </si>
  <si>
    <t>Операцион ва бозор таваккалчиликлари ҳисоб-китоби</t>
  </si>
  <si>
    <t>Банк баланси таркиби</t>
  </si>
  <si>
    <t>Ликвидлилик таҳлили.</t>
  </si>
  <si>
    <t>Банк активлари таҳлили.</t>
  </si>
  <si>
    <t>Миллий валютадаги банк активлари таҳлили.</t>
  </si>
  <si>
    <t>Банк мажбуриятлари таҳлили.</t>
  </si>
  <si>
    <t>Миллий валютада банк мажбуриятлари таҳлили.</t>
  </si>
  <si>
    <t>Балансдан ташқари ҳисобварақлар тўғрисида ҳисобот.</t>
  </si>
  <si>
    <t>Мижозлар турларига кўра депозитлар тўғрисида ҳисобот.</t>
  </si>
  <si>
    <t>Қимматли қоғозлар ва уларга қилинган инвестициялар тўғрисида ҳисобот.</t>
  </si>
  <si>
    <t>Активлар таснифи ва улар бўйича яратилган эҳтимолий йўқотишларни қоплаш захиралари тўғрисида ҳисобот</t>
  </si>
  <si>
    <t>Молиявий натижалар тўғрисида ҳисобот.</t>
  </si>
  <si>
    <t>Фоизли даромад ва харажатлар таҳлили</t>
  </si>
  <si>
    <t>Хусусий капиталдаги ўзгаришлар.</t>
  </si>
  <si>
    <t>Иқтисодиёт тармоқлари, мижозлар турлари, ва таъминот турлари бўйича ажратилган кредитлар ва лизинглар ҳисоботи.</t>
  </si>
  <si>
    <t>Олиниши лозим бўлган муддати ўтган кредит ва молиявий лизинг таҳлили.</t>
  </si>
  <si>
    <t>Активлар сифати бўйича таснифланиши тўғрисида ҳисобот.</t>
  </si>
  <si>
    <t>Активлар ва уларнинг таснифи бўйича шакллантирилган захиралар.</t>
  </si>
  <si>
    <t>Алоқадор шахслар билан тузилган битимлар тўғрисида ҳисобот.</t>
  </si>
  <si>
    <t>Банкнинг йирик таваккалчиликлари ҳисоботи.</t>
  </si>
  <si>
    <t>Ҳисобдан чиқарилган кредитларнинг қайтарилиши ва эҳтимолий йўқотишларга қарши захиралар ҳаракати тўғрисида ҳисобот.</t>
  </si>
  <si>
    <t>Кредит ва лизинглар бўйича ўртача тортилган фоиз ставкалари тўғрисида ҳисобот.</t>
  </si>
  <si>
    <t>Кредит портфель таркиби тўғрисида ҳисобот.</t>
  </si>
  <si>
    <t>Банк томонидан жалб қилинган депозитларнинг ўртача тортилган фоиз ставкалари тўғрисида ҳисобот.</t>
  </si>
  <si>
    <t>Иқтисодий меъёрлар ҳисоб-китоби.</t>
  </si>
  <si>
    <t>Молиявий барқарорлик кўрсаткичлари.</t>
  </si>
  <si>
    <t>Банкнинг бошқа банклардаги ҳисобварақлари (барча 10255 ҳисобварақлар) тўғрисида маълумот.</t>
  </si>
  <si>
    <t>Банкнинг қимматли қоғозлар портфели ва қилинган инвестициялар тўғрисида  маълумот.</t>
  </si>
  <si>
    <t>Банкнинг 20 та энг йирик депозиторлари (барча валюталарда, миллий валютада ва хорижий валютада) тўғрисида маълумот.</t>
  </si>
  <si>
    <t>Банкнинг бошқа хусусий мулклари тўғрисида маълумот.</t>
  </si>
  <si>
    <t>Банкнинг бошқа банклар/юридик шахслардан олган депозитлари (кредитлар) ва бошқа воситалари тўғрисида маълумот.</t>
  </si>
  <si>
    <t>Банкнинг бошқа активлар ва мажбуриятлари тўғрисида маълумот.</t>
  </si>
  <si>
    <t>Банкнинг асосий воситалари тўғрисида маълумот.</t>
  </si>
  <si>
    <t>Банк томонидан берилган кафолат ва кафилликлар (90993 ҳисобварақ) тўғрисида маълумот.</t>
  </si>
  <si>
    <t>Банкнинг кредитлар ажратиш (кредит линиялар ҳисобидан) бўйича мажбуриятлари тўғрисида.</t>
  </si>
  <si>
    <t>Банкнинг субординар қарз мажбуриятлари тўғрисида маълумот.</t>
  </si>
  <si>
    <t>Банкнинг шартлари қайта кўриб чиқилган кредитлари тўғрисида  маълумот.</t>
  </si>
  <si>
    <t>Банкнинг муаммоли кредитлари тўғрисида маълумот.</t>
  </si>
  <si>
    <t>Банкда потенциал муаммога айланиши мумкин бўлган кредитлар мониторинги тўғрисида маълумот.</t>
  </si>
  <si>
    <t>Банкда муаммоли кредитларни ундириш чоралари.</t>
  </si>
  <si>
    <t>Банкнинг давлат харидлари тўғрисидаги маълумотлари.</t>
  </si>
  <si>
    <t>Корпоратив буюртмачиларнинг давлат харидлари тўғрисидаги маълумотлари.</t>
  </si>
  <si>
    <t>Банк томонидан мижозларга ажратилган кредитлар ва улар бўйича ажратилган субсидиялар тўғрисидаги маълумотлари.</t>
  </si>
  <si>
    <t>Банк  томонидан давлат дастурлари доирасида лойиҳаларни молиялаштириш учун Давлат бюджети, Тикланиш ва тараққиёт жамғармаси ҳамда бошқа жамғармалардан жалб қилинган ва қайтарилган ресурс маблағлари тўғрисидаги маълумотлари.</t>
  </si>
  <si>
    <t>Банк  устав капиталини шакллантириш учун Давлат бюджети, Тикланиш ва тараққиёт жамғармаси, давлат мақсадли жамғармалари ва бошқа давлат ташкилотлари томонидан киритилган маблағлар тўғрисидаги маълумотлар.</t>
  </si>
  <si>
    <t>Тадбиркорлик фаолиятини қўллаб-қувватлаш давлат жамғармаси томонидан кўрсатилган молиявий ёрдамлар бўйича маълумотлар.</t>
  </si>
  <si>
    <t>Банкнинг даромад ва харажатлари таркиби тўғрисида маълумотлар.</t>
  </si>
  <si>
    <t xml:space="preserve"> Бюджет ташкилотлари ва устав фондида давлат улуши 50 фоиздан юқори бўлган корхоналар томонидан банкка қўйилган депозит пул маблағлари ҳамда улар бўйича ҳисобланган ва тўлаб берилган фоиз суммалари тўғрисида ҳисобварақлар айланмалари. (01.01.2021 йилдан бошлаб ҳисобот санасига қадар давр ва кейинчалик ҳар ойда тақдим этилади)</t>
  </si>
  <si>
    <t>Солиқ ва божхона имтиёзларидан фойдаланган ҳамда субсидия олган субъектларнинг банк айланмаси бўйича маълумот.</t>
  </si>
  <si>
    <t>Банк томонидан ажратилган ҳамда балансдан ташқари (95413) ҳисобварақларга ўтказилган кредитлар тўғрисида маълумот.</t>
  </si>
  <si>
    <t>Бюджет ташкилотларида ишловчи ходимлари, пенсия ва ижтимоий нафақаларнинг пластик карточкаларига ҳисобот ойида ўтказилган  тўловлар (иш ҳақи, пенсия, нафақа) миқдорлари тўғрисида маълумот (23402, 23404, 23108, 23112, 23114, 22630 баланс ҳисобварақлари бўйича).</t>
  </si>
  <si>
    <t xml:space="preserve"> Ҳисобварақлар рўйхатида кўрсатилган ҳисобварақлар айланмалари</t>
  </si>
  <si>
    <t>Бюджет ташкилотлари ва устав фондида давлат улуши 50 фоиздан юқори бўлган корхоналарга ажратилган кредит  ҳамда улар бўйича ҳисобланган ва ундирилган фоизлар бўйича баланс ҳисобварақлар айланмалари.</t>
  </si>
  <si>
    <t>офлайн файл</t>
  </si>
  <si>
    <t>Яқин қариндошлар тўғрисидаги маълумотлар</t>
  </si>
  <si>
    <t>"Ёшлар дафтари"га рўйхатга олинган фуқаролар тўғрисидаги маълумотлар</t>
  </si>
  <si>
    <t>"Ёшлар дафтари"га рўйхатга олинган ҳамда моддий ёрдам олган ёшлар тўғрисидаги маълумотлар</t>
  </si>
  <si>
    <t>"Ёшлар дафтари"га рўйхатга олинган ҳамда моддий ёрдам олган жами ёшлар тўғрисидаги ҳисобот</t>
  </si>
  <si>
    <t>"ERP sport" тизимига киритилган спортчилар тўғрисидаги маълумотлар</t>
  </si>
  <si>
    <t>"ERP sport" тизимига киритилган ўқитувчи педагоглар тўғрисидаги маълумотлар</t>
  </si>
  <si>
    <t>Спортчи тренерларга берилган малака сертификати бўйича маълумотлар</t>
  </si>
  <si>
    <t>Спортчи инструктор-методестлар тўғрисидаги маълумотлар</t>
  </si>
  <si>
    <t>Қурилиш бўйича капитал қўйилмалар тўғрисида маълумот</t>
  </si>
  <si>
    <t>Қурилиш бўйича манзилли рўйхат тўғрисида маълумот</t>
  </si>
  <si>
    <t>“ID карта” тизимига киритилган фуқаролар тўғрисидаги маълумотлар</t>
  </si>
  <si>
    <t>“Манзил” тизимига киритилган фуқаролар тўғрисидаги маълумотлар</t>
  </si>
  <si>
    <t>Транспорт воситалари тўғрисида маълумотлар (автотранспорт ишлаб чиқарилган давр оралиғи санаси кўрсатилган ҳолда)</t>
  </si>
  <si>
    <t>Транспорт воситалари тўғрисида маълумотлар (автотранспорт эгаликка ўтказилган давр оралиғи санаси кўрсатилган ҳолда)</t>
  </si>
  <si>
    <t>Транспорт воситалари тўғрисида маълумотлар (давлат рақами кўрсатилган ҳолда)</t>
  </si>
  <si>
    <t>Транспорт воситалари тўғрисида маълумотлар (ҳудудлар кесимида автотранспорт ишлаб чиқарилган сана)</t>
  </si>
  <si>
    <t>Ҳайдовчилик гувоҳномаси тўғрисида маълумотлар (ҳайдовчилик гувоҳномаси берилган давр оралиғи санаси кўрсатилган ҳолда)</t>
  </si>
  <si>
    <t>Ҳайдовчилик гувоҳномаси тўғрисида маълумотлар (ҳудудлар кесимида ҳайдовчилик гувоҳномаси берилган сана)</t>
  </si>
  <si>
    <t>Юридик шахсларнинг мол-мулки тўғрисида маълумот</t>
  </si>
  <si>
    <t>Тижорат мақсадида субсидия олган фуқаролар</t>
  </si>
  <si>
    <t>Тижорат мақсадида субсидия олган юридик шахслар</t>
  </si>
  <si>
    <t>Жисмоний шахсларнинг шахсий маълумотлари</t>
  </si>
  <si>
    <t>Жисмоний шахсларнинг меҳнат фаолияти тўғрисида маълумотлар</t>
  </si>
  <si>
    <t>Жамоат ишларига жалб қилинган фуқаролар тўғрисидаги маълумотлар</t>
  </si>
  <si>
    <t>Ҳақ тўланадиган жамоат ишларига жалб қилиш</t>
  </si>
  <si>
    <t>Фуқароларни ишга жойлаштиришда кўмаклашиш (жисмоний шахсларнинг меҳнат фаолияти тўғрисида маълумот)</t>
  </si>
  <si>
    <t>Корхона ва ташкилотларда умумий иш ўринлари тўғрисида маълумот</t>
  </si>
  <si>
    <t>ЎзР Бандликка кўмаклашиш давлат жамғармаси маблағлари ҳисобидан субсидия ва грантлар ажратиш (субсидия олган фуқаролар маълумотлари)</t>
  </si>
  <si>
    <t>Амалий мономарказ ташкил этиш</t>
  </si>
  <si>
    <t>Қишлоқ хўжалиги субъектларига ажратилган субсидиялар тўғрисида маълумот (агросубсидия)</t>
  </si>
  <si>
    <t>Ўзбекистон Республикaси ҳудудидa фойдaлaнишгa тaвсия қилингaн қишлоқ хўжaлиги вa мелиорaция техникaлaрининг ягонa дaвлaт реестрига киритилган махсус техника воситалари тўғрисидаги маълумотлар</t>
  </si>
  <si>
    <t>Давлат ташкилотлари ва идоралари томонидан ишлаб чиқилган ахборот тизимлари тўғрисидаги маълумотлар</t>
  </si>
  <si>
    <t>"Шогирд реестри" тўғрисида маълумотлар</t>
  </si>
  <si>
    <t>Жисмоний шахслар томонидан фойдаланилган электр энергия тўғрисидаги маълумотлар (жами)</t>
  </si>
  <si>
    <t>Жисмоний шахслар томонидан фойдаланилган электр энергия тўғрисидаги маълумотлар (дона)</t>
  </si>
  <si>
    <t>Юридик шахслар ва якка тартибдаги тадбиркорлар томонидан фойдаланилган электр энергия тўғрисидаги маълумотлар (жами)</t>
  </si>
  <si>
    <t>Юридик шахслар ва якка тартибдаги тадбиркорлар томонидан фойдаланилган электр энергия тўғрисидаги маълумотлар (дона)</t>
  </si>
  <si>
    <t>“Ҳудудий электр тармоқлари” АЖ абонент маълумотлари</t>
  </si>
  <si>
    <t>Маҳсулотнинг мувофиқлик сертификати маълумотлар</t>
  </si>
  <si>
    <t>Ҳисобга олиш приборлари ва ускуналарининг қиёслов ва метрологик кўриги тўғрисидаги маълумотлар</t>
  </si>
  <si>
    <t>Маиший ҳисоблагичларни давлат қиёсловидан ўтказилганлиги тўғрисидаги маълумотлар</t>
  </si>
  <si>
    <t>Сертификатлаштириш органлари ва лабораториялар тўғрисидаги маълумотлар (Е-Аккредитация)</t>
  </si>
  <si>
    <t>Республика тиббий-ижтимоий экспертиза инспекциясининг “ТИЭК” дастурида рўйхатга олинган имконияти чекланган фуқароларнинг ногиронлиги тўғрисидаги маълумотлар</t>
  </si>
  <si>
    <t>“Кон ишларини ривожлантириш йиллик режалари”да қазиб олиниши кутилаётган фойдали қазилмаларнинг чораклар кесимидаги ҳажмлари тўғрисидаги маълумотлар</t>
  </si>
  <si>
    <t>Халқаро юк ва йўловчи ташиш бўйича рухсатномалар тўғрисидаги маълумотлар</t>
  </si>
  <si>
    <t>"Тендер" ахборот тизимида мавжуд йўналишлар, йўналишлардаги корхоналар ва уларнинг автотранспортлари тўғрисидаги маълумотлар</t>
  </si>
  <si>
    <t>“Онлайн маҳалла” ахборот тизими билан жисмоний шахсларга туман ҳокими ёрдамчилари тавсияси асосида берилган субсидиялар тўғрисида маълумот</t>
  </si>
  <si>
    <t>Қимматли қоғозлар ва депонентлар тўғрисида маълумот</t>
  </si>
  <si>
    <t>Ягона иштирокчиси ногиронлиги бўлган шахсларнинг жамоат бирлашмалари ҳисобланган юридик шахслар ҳамда улар томонидан ишлаб чиқариладиган маҳсулотларнинг ягона реестридан ўтган ташкилотлар рўйхати</t>
  </si>
  <si>
    <t>Табиий газ тақсимоти бўйича юридик истеъмолчилар (маҳаллалар) рўйхатини олиш</t>
  </si>
  <si>
    <t>Суюлтирилган газ тақсимоти бўйича маҳаллалар рўйхатини олиш</t>
  </si>
  <si>
    <t>Ташкилотлар категориялари рўйхатини олиш</t>
  </si>
  <si>
    <t>Суюлтирилган газ истеъмолчиларнинг бир ойлик маълумотларини олиш</t>
  </si>
  <si>
    <t>Суюлтирилган газ истеъмолчиларнинг белгиланган сана учун маълумотларини олиш</t>
  </si>
  <si>
    <t>Суюлтирилган газ балонларини етказиб берилиши тўғрисида маълумот олиш</t>
  </si>
  <si>
    <t>ЭР ва ТЖХАБТ мавжуд хисобга олиш пунктлари тўғрисидаги маълумот (pointId) олиш</t>
  </si>
  <si>
    <t>ЭР ва ТЖХАБТ томонидан газ оқими ҳисобини юритувчи ўлчов ҳисоблагичлари тўғрисида маълумот</t>
  </si>
  <si>
    <t>ЭР ва ТЖХАБТ томонидан газ етказиб берилган хўжалик юритувчи субъектлар тўғрисида маълумот (кунлик)</t>
  </si>
  <si>
    <t>Республикадаги ишлаб чиқарувчилардан газни харид қилиш тўғрисида маълумот олиш</t>
  </si>
  <si>
    <t>Қўшма корхоналар ва чет эл компанияларидан газни харид қилиш тўғрисида маълумот олиш</t>
  </si>
  <si>
    <t>Хорижий етказиб берувчилардан газни импорт қилиш бўйича тўғрисида маълумот олиш</t>
  </si>
  <si>
    <t>Газни ГЕОСИ га ҳайдаш ва ГЕОСИ дан олиш (прогноз, факт, фактга нисбатан фоиз) (йиллик, ойлик, кунлик), шунингдек ГЕОСИ даги газ қолдиғи фақат ҳисобот ойлари (ҳисобот тасдиқлангандан кейинги ойнинг бошида) бўйича маълумот олиш</t>
  </si>
  <si>
    <t>Тузилган шартномалар асосида магистрал газ тармоқларига уланган истеъмолчиларга, “Ҳудудгазтаминот” АЖ га, "Ўзтрансгаз" АЖ га табиий газ сотиш тўғрисида маълумот олиш</t>
  </si>
  <si>
    <t>Табиий газни экспорт қилиш бўйича маълумот олиш</t>
  </si>
  <si>
    <t>“Ўзтрансгаз” АЖ нинг магистрал газ тармоқларидаги табиий газ қолдиқлари тўғрисида маълумот олиш</t>
  </si>
  <si>
    <t>Ҳисоблагичлардан олинган газ миқдорлари тўғрисида маълумот олиш</t>
  </si>
  <si>
    <t>Товар (иш, хизмат) лар кесимида маълумот олиш</t>
  </si>
  <si>
    <t>Харид комиссияси аъзолари тўғрисида маълумот олиш</t>
  </si>
  <si>
    <t>URL</t>
  </si>
  <si>
    <t>Вазирдик ва идора номи</t>
  </si>
  <si>
    <t>Маълумот номи</t>
  </si>
  <si>
    <t>Таблица номи</t>
  </si>
  <si>
    <t>Таблицада одам тили</t>
  </si>
  <si>
    <t>1. Адлия</t>
  </si>
  <si>
    <t>Yaqin qarindoshlar</t>
  </si>
  <si>
    <t>Bank xodimlarini yaqin qarindoshlarini yig'ish</t>
  </si>
  <si>
    <t>2. УзАСБО ДТ</t>
  </si>
  <si>
    <t>Uzasbo G'azna Faktura</t>
  </si>
  <si>
    <t>uzasbo.gazna_faktura</t>
  </si>
  <si>
    <t>Lavozimlarni olish</t>
  </si>
  <si>
    <t>uzasbo.position_vault</t>
  </si>
  <si>
    <t>http://10.190.4.11/inps/api/UzRXP/GetSqlQuery</t>
  </si>
  <si>
    <t>Dembat Faktura</t>
  </si>
  <si>
    <t>uzasbo.dembat_faktura</t>
  </si>
  <si>
    <t>Uzasbo ish haqqi</t>
  </si>
  <si>
    <t>uzasbo.report_months</t>
  </si>
  <si>
    <t>Dembat Smeta</t>
  </si>
  <si>
    <t>uzasbo.dembat_smeta</t>
  </si>
  <si>
    <t>Asosiy Smeta</t>
  </si>
  <si>
    <t>uzasbo.main_smeta</t>
  </si>
  <si>
    <t>Vedemost</t>
  </si>
  <si>
    <t>uzasbo.vedemost</t>
  </si>
  <si>
    <t>Dembat shartnomalar</t>
  </si>
  <si>
    <t>uzasbo.financial_transactions</t>
  </si>
  <si>
    <t>Organizatsiyalar</t>
  </si>
  <si>
    <t>uzasbo.info_organizations</t>
  </si>
  <si>
    <t>Position Svod</t>
  </si>
  <si>
    <t>uzasbo.positions_vault</t>
  </si>
  <si>
    <t>bittadan inn yuborib Uzasbo Oylik olish</t>
  </si>
  <si>
    <t>Taxlil uchun Ish xaqqini tayorlash</t>
  </si>
  <si>
    <t>uzasbo.report_months_last</t>
  </si>
  <si>
    <t>3. Субсидия</t>
  </si>
  <si>
    <t>subsidy.job_searchers_list</t>
  </si>
  <si>
    <t>Камбағалликни қисқартириш ва бандлик вазирлиги</t>
  </si>
  <si>
    <t>Фуқароларни ишга жойлаштиришда кўмаклашиш (жисмоний шахсларнинг меҳнат фаолияти тўғрисидаги маълумотлар)</t>
  </si>
  <si>
    <t>{"params": [{"type": "str", "child": false, "field": "fio", "name_cr": "F.I.SH", "name_en": "F.I.SH", "name_ru": "F.I.SH", "name_uz": "F.I.SH"}, {"type": "str", "child": false, "field": "gender", "name_cr": "Jinsi", "name_en": "Jinsi", "name_ru": "Jinsi", "name_uz": "Jinsi"}, {"type": "str", "child": false, "field": "birth_date", "name_cr": "Tug‘ilgan sanasi", "name_en": "Tug‘ilgan sanasi", "name_ru": "Tug‘ilgan sanasi", "name_uz": "Tug‘ilgan sanasi"}, {"type": "str", "child": false, "field": "passport", "name_cr": "Pasport seriya va raqami", "name_en": "Pasport seriya va raqami", "name_ru": "Pasport seriya va raqami", "name_uz": "Pasport seriya va raqami"}, {"type": "str", "child": false, "field": "tin", "name_cr": "STIR (INN)", "name_en": "STIR (INN)", "name_ru": "STIR (INN)", "name_uz": "STIR (INN)"}, {"type": "str", "child": false, "field": "pin", "name_cr": "PINFL", "name_en": "PINFL", "name_ru": "PINFL", "name_uz": "PINFL"}, {"type": "str", "child": false, "field": "phone", "name_cr": "Tel raqami", "name_en": "Tel raqami", "name_ru": "Tel raqami", "name_uz": "Tel raqami"}, {"type": "str", "child": false, "field": "application_date", "name_cr": "Ishsizlik bo‘yicha murojaat sanasi", "name_en": "Ishsizlik bo‘yicha murojaat sanasi", "name_ru": "Ishsizlik bo‘yicha murojaat sanasi", "name_uz": "Ishsizlik bo‘yicha murojaat sanasi"}, {"type": "str", "child": false, "field": "employed_date", "name_cr": "Ishga joylashtirilgan sanasi", "name_en": "Ishga joylashtirilgan sanasi", "name_ru": "Ishga joylashtirilgan sanasi", "name_uz": "Ishga joylashtirilgan sanasi"}, {"type": "str", "child": false, "field": "region_name", "name_cr": "Hudud (viloyat) nomi", "name_en": "Hudud (viloyat) nomi", "name_ru": "Hudud (viloyat) nomi", "name_uz": "Hudud (viloyat) nomi"}, {"type": "str", "child": false, "field": "region_soato", "name_cr": "Hudud (viloyat) SOATO kodi", "name_en": "Hudud (viloyat) SOATO kodi", "name_ru": "Hudud (viloyat) SOATO kodi", "name_uz": "Hudud (viloyat) SOATO kodi"}, {"type": "str", "child": false, "field": "district_name", "name_cr": "Tuman (shahar) nomi", "name_en": "Tuman (shahar) nomi", "name_ru": "Tuman (shahar) nomi", "name_uz": "Tuman (shahar) nomi"}, {"type": "str", "child": false, "field": "city_soato", "name_cr": "Tuman (shahar) SOATO kodi", "name_en": "Tuman (shahar) SOATO kodi", "name_ru": "Tuman (shahar) SOATO kodi", "name_uz": "Tuman (shahar) SOATO kodi"}, {"type": "str", "child": false, "field": "company_tin", "name_cr": "Korxona STIR", "name_en": "Korxona STIR", "name_ru": "Korxona STIR", "name_uz": "Korxona STIR"}, {"type": "str", "child": false, "field": "company_name", "name_cr": "Korxona nomi", "name_en": "Korxona nomi", "name_ru": "Korxona nomi", "name_uz": "Korxona nomi"}, {"type": "str", "child": false, "field": "salary", "name_cr": "Oylik ish haqi miqdori", "name_en": "Oylik ish haqi miqdori", "name_ru": "Oylik ish haqi miqdori", "name_uz": "Oylik ish haqi miqdori"}, {"type": "str", "child": false, "field": "contract_date", "name_cr": "Mehnat shartnomasi sanasi", "name_en": "Mehnat shartnomasi sanasi", "name_ru": "Mehnat shartnomasi sanasi", "name_uz": "Mehnat shartnomasi sanasi"}, {"type": "str", "child": false, "field": "contract_expire_date", "name_cr": "Mehnat shartnomasi amal qilish muddati", "name_en": "Mehnat shartnomasi amal qilish muddati", "name_ru": "Mehnat shartnomasi amal qilish muddati", "name_uz": "Mehnat shartnomasi amal qilish muddati"}, {"type": "str", "child": false, "field": "age", "name_cr": "Yoshi", "name_en": "Yoshi", "name_ru": "Yoshi", "name_uz": "Yoshi"}]}</t>
  </si>
  <si>
    <t>Ҳунарманд шогирдларга асбоб ускуна учун субсидия</t>
  </si>
  <si>
    <t>subsidy.for_students</t>
  </si>
  <si>
    <t>{"params": [{"type": "string", "child": false, "field": "region_name", "name_cr": "region_name", "name_en": "region_name", "name_ru": "region_name", "name_uz": "region_name"}, {"type": "string", "child": false, "field": "region_soato", "name_cr": "region_soato", "name_en": "region_soato", "name_ru": "region_soato", "name_uz": "region_soato"}, {"type": "string", "child": false, "field": "district_name", "name_cr": "district_name", "name_en": "district_name", "name_ru": "district_name", "name_uz": "district_name"}, {"type": "string", "child": false, "field": "city_soato", "name_cr": "city_soato", "name_en": "city_soato", "name_ru": "city_soato", "name_uz": "city_soato"}, {"type": "string", "child": false, "field": "bdate", "name_cr": "bdate", "name_en": "bdate", "name_ru": "bdate", "name_uz": "bdate"}, {"type": "string", "child": false, "field": "psdata", "name_cr": "psdata", "name_en": "psdata", "name_ru": "psdata", "name_uz": "psdata"}, {"type": "string", "child": false, "field": "inn", "name_cr": "inn", "name_en": "inn", "name_ru": "inn", "name_uz": "inn"}, {"type": "string", "child": false, "field": "pinfl", "name_cr": "pinfl", "name_en": "pinfl", "name_ru": "pinfl", "name_uz": "pinfl"}, {"type": "string", "child": false, "field": "sex", "name_cr": "sex", "name_en": "sex", "name_ru": "sex", "name_uz": "sex"}, {"type": "string", "child": false, "field": "full_name", "name_cr": "full_name", "name_en": "full_name", "name_ru": "full_name", "name_uz": "full_name"}, {"type": "string", "child": false, "field": "subsidy_amount", "name_cr": "subsidy_amount", "name_en": "subsidy_amount", "name_ru": "subsidy_amount", "name_uz": "subsidy_amount"}, {"type": "string", "child": false, "field": "subsidy_date", "name_cr": "subsidy_date", "name_en": "subsidy_date", "name_ru": "subsidy_date", "name_uz": "subsidy_date"}, {"type": "string", "child": false, "field": "subsidy_name", "name_cr": "subsidy_name", "name_en": "subsidy_name", "name_ru": "subsidy_name", "name_uz": "subsidy_name"}]}</t>
  </si>
  <si>
    <t>Ҳунарманд уюшмасига аъзолик бадалини қоплаш учун субсидия</t>
  </si>
  <si>
    <t>subsidy.for_membership_fee</t>
  </si>
  <si>
    <t>Касбга ўқитиш хизматидан фойдаланган жисмоний шахслар тўғрисидаги маълумотлар</t>
  </si>
  <si>
    <t>{"params": [{"type": "string", "child": false, "field": "parent_structure", "name_cr": "parent_structure", "name_en": "parent_structure", "name_ru": "parent_structure", "name_uz": "parent_structure"}, {"type": "string", "child": false, "field": "structure", "name_cr": "structure", "name_en": "structure", "name_ru": "structure", "name_uz": "structure"}, {"type": "string", "child": false, "field": "soato", "name_cr": "soato", "name_en": "soato", "name_ru": "soato", "name_uz": "soato"}, {"type": "string", "child": false, "field": "sector", "name_cr": "sector", "name_en": "sector", "name_ru": "sector", "name_uz": "sector"}, {"type": "string", "child": false, "field": "makhalla", "name_cr": "makhalla", "name_en": "makhalla", "name_ru": "makhalla", "name_uz": "makhalla"}, {"type": "string", "child": false, "field": "date_from", "name_cr": "date_from", "name_en": "date_from", "name_ru": "date_from", "name_uz": "date_from"}, {"type": "string", "child": false, "field": "date_to", "name_cr": "date_to", "name_en": "date_to", "name_ru": "date_to", "name_uz": "date_to"}, {"type": "string", "child": false, "field": "full_name", "name_cr": "full_name", "name_en": "full_name", "name_ru": "full_name", "name_uz": "full_name"}, {"type": "string", "child": false, "field": "type", "name_cr": "type", "name_en": "type", "name_ru": "type", "name_uz": "type"}, {"type": "string", "child": false, "field": "service_result", "name_cr": "service_result", "name_en": "service_result", "name_ru": "service_result", "name_uz": "service_result"}, {"type": "string", "child": false, "field": "birth_date", "name_cr": "birth_date", "name_en": "birth_date", "name_ru": "birth_date", "name_uz": "birth_date"}, {"type": "string", "child": false, "field": "passport", "name_cr": "passport", "name_en": "passport", "name_ru": "passport", "name_uz": "passport"}, {"type": "string", "child": false, "field": "pin", "name_cr": "pin", "name_en": "pin", "name_ru": "pin", "name_uz": "pin"}, {"type": "string", "child": false, "field": "gender", "name_cr": "gender", "name_en": "gender", "name_ru": "gender", "name_uz": "gender"}, {"type": "string", "child": false, "field": "phone", "name_cr": "phone", "name_en": "phone", "name_ru": "phone", "name_uz": "phone"}, {"type": "string", "child": false, "field": "scholarship", "name_cr": "scholarship", "name_en": "scholarship", "name_ru": "scholarship", "name_uz": "scholarship"}, {"type": "string", "child": false, "field": "service_date", "name_cr": "service_date", "name_en": "service_date", "name_ru": "service_date", "name_uz": "service_date"}, {"type": "string", "child": false, "field": "institution_name", "name_cr": "institution_name", "name_en": "institution_name", "name_ru": "institution_name", "name_uz": "institution_name"}, {"type": "string", "child": false, "field": "institution_tin", "name_cr": "institution_tin", "name_en": "institution_tin", "name_ru": "institution_tin", "name_uz": "institution_tin"}, {"type": "string", "child": false, "field": "institution_address", "name_cr": "institution_address", "name_en": "institution_address", "name_ru": "institution_address", "name_uz": "institution_address"}, {"type": "string", "child": false, "field": "direction", "name_cr": "direction", "name_en": "direction", "name_ru": "direction", "name_uz": "direction"}, {"type": "string", "child": false, "field": "period", "name_cr": "period", "name_en": "period", "name_ru": "period", "name_uz": "period"}]}</t>
  </si>
  <si>
    <t>Jamoat ishlarida band bo‘lganlar to‘g‘risidagi ma’lumotlar.</t>
  </si>
  <si>
    <t>subsidy.public_workers_list</t>
  </si>
  <si>
    <t>Ҳақ тўланадиган жамоат ишларига жалб қилиш (жамоат ишларида банд бўлганлар тўғрисидаги маълумотлар)</t>
  </si>
  <si>
    <t>{"params": [{"type": "string", "child": false, "field": "ID", "name_cr": "ID", "name_en": "ID", "name_ru": "ID", "name_uz": "ID"}, {"type": "string", "child": false, "field": "region_name", "name_cr": "region_name", "name_en": "region_name", "name_ru": "region_name", "name_uz": "region_name"}, {"type": "string", "child": false, "field": "region_soato", "name_cr": "region_soato", "name_en": "region_soato", "name_ru": "region_soato", "name_uz": "region_soato"}, {"type": "string", "child": false, "field": "district_name", "name_cr": "district_name", "name_en": "district_name", "name_ru": "district_name", "name_uz": "district_name"}, {"type": "string", "child": false, "field": "city_soato", "name_cr": "city_soato", "name_en": "city_soato", "name_ru": "city_soato", "name_uz": "city_soato"}, {"type": "string", "child": false, "field": "company_tin", "name_cr": "company_tin", "name_en": "company_tin", "name_ru": "company_tin", "name_uz": "company_tin"}, {"type": "string", "child": false, "field": "company_name", "name_cr": "company_name", "name_en": "company_name", "name_ru": "company_name", "name_uz": "company_name"}, {"type": "string", "child": false, "field": "passport", "name_cr": "passport", "name_en": "passport", "name_ru": "passport", "name_uz": "passport"}, {"type": "string", "child": false, "field": "tin", "name_cr": "tin", "name_en": "tin", "name_ru": "tin", "name_uz": "tin"}, {"type": "string", "child": false, "field": "pin", "name_cr": "pin", "name_en": "pin", "name_ru": "pin", "name_uz": "pin"}, {"type": "string", "child": false, "field": "phone", "name_cr": "phone", "name_en": "phone", "name_ru": "phone", "name_uz": "phone"}, {"type": "string", "child": false, "field": "gender", "name_cr": "gender", "name_en": "gender", "name_ru": "gender", "name_uz": "gender"}, {"type": "string", "child": false, "field": "birth_date", "name_cr": "birth_date", "name_en": "birth_date", "name_ru": "birth_date", "name_uz": "birth_date"}, {"type": "string", "child": false, "field": "salary", "name_cr": "salary", "name_en": "salary", "name_ru": "salary", "name_uz": "salary"}, {"type": "string", "child": false, "field": "start_date", "name_cr": "start_date", "name_en": "start_date", "name_ru": "start_date", "name_uz": "start_date"}, {"type": "string", "child": false, "field": "end_date", "name_cr": "end_date", "name_en": "end_date", "name_ru": "end_date", "name_uz": "end_date"}, {"type": "string", "child": false, "field": "attended_sdate", "name_cr": "attended_sdate", "name_en": "attended_sdate", "name_ru": "attended_sdate", "name_uz": "attended_sdate"}, {"type": "string", "child": false, "field": "fullname", "name_cr": "fullname", "name_en": "fullname", "name_ru": "fullname", "name_uz": "fullname"}, {"type": "string", "child": false, "field": "company_type", "name_cr": "company_type", "name_en": "company_type", "name_ru": "company_type", "name_uz": "company_type"}, {"type": "string", "child": false, "field": "activity", "name_cr": "activity", "name_en": "activity", "name_ru": "activity", "name_uz": "activity"}, {"type": "string", "child": false, "field": "attended_edate", "name_cr": "attended_edate", "name_en": "attended_edate", "name_ru": "attended_edate", "name_uz": "attended_edate"}, {"type": "string", "child": false, "field": "age", "name_cr": "age", "name_en": "age", "name_ru": "age", "name_uz": "age"}]}</t>
  </si>
  <si>
    <t>Ishsizlik nafaqasini olayotgan fuqarolar to‘g‘risidagi ma’lumotlar.</t>
  </si>
  <si>
    <t>subsidy.unemployment_list</t>
  </si>
  <si>
    <t>{"params": [{"type": "str", "child": false, "field": "birth_date", "name_cr": "Tug‘ilgan sanasi", "name_en": "Tug‘ilgan sanasi", "name_ru": "Tug‘ilgan sanasi", "name_uz": "Tug‘ilgan sanasi"}, {"type": "str", "child": false, "field": "continued_date", "name_cr": "Davom ettirilgan sanasi", "name_en": "Davom ettirilgan sanasi", "name_ru": "Davom ettirilgan sanasi", "name_uz": "Davom ettirilgan sanasi"}, {"type": "str", "child": false, "field": "date_from", "name_cr": "Nafaqa muddati boshlanish sanasi (dan)", "name_en": "Nafaqa muddati boshlanish sanasi (dan)", "name_ru": "Nafaqa muddati boshlanish sanasi (dan)", "name_uz": "Nafaqa muddati boshlanish sanasi (dan)"}, {"type": "str", "child": false, "field": "date_to", "name_cr": "Nafaqa muddati tugash sanasi (gacha)", "name_en": "Nafaqa muddati tugash sanasi (gacha)", "name_ru": "Nafaqa muddati tugash sanasi (gacha)", "name_uz": "Nafaqa muddati tugash sanasi (gacha)"}, {"type": "str", "child": false, "field": "full_name", "name_cr": "F.I.O", "name_en": "F.I.O", "name_ru": "F.I.O", "name_uz": "F.I.O"}, {"type": "str", "child": false, "field": "gender", "name_cr": "Jinsi", "name_en": "Jinsi", "name_ru": "Jinsi", "name_uz": "Jinsi"}, {"type": "str", "child": false, "field": "makhalla", "name_cr": "Mahalla nomi", "name_en": "Mahalla nomi", "name_ru": "Mahalla nomi", "name_uz": "Mahalla nomi"}, {"type": "str", "child": false, "field": "parent_structure", "name_cr": "Hudud", "name_en": "Hudud", "name_ru": "Hudud", "name_uz": "Hudud"}, {"type": "str", "child": false, "field": "parent_structure", "name_cr": "Hudud", "name_en": "Hudud", "name_ru": "Hudud", "name_uz": "Hudud"}, {"type": "str", "child": false, "field": "passport", "name_cr": "Pasport seriya va raqami", "name_en": "Pasport seriya va raqami", "name_ru": "Pasport seriya va raqami", "name_uz": "Pasport seriya va raqami"}, {"type": "str", "child": false, "field": "paused_date", "name_cr": "Vaqtincha to‘xtatilgan sana", "name_en": "Vaqtincha to‘xtatilgan sana", "name_ru": "Vaqtincha to‘xtatilgan sana", "name_uz": "Vaqtincha to‘xtatilgan sana"}, {"type": "str", "child": false, "field": "paused_reason", "name_cr": "Vaqtincha to‘xtatish sababi", "name_en": "Vaqtincha to‘xtatish sababi", "name_ru": "Vaqtincha to‘xtatish sababi", "name_uz": "Vaqtincha to‘xtatish sababi"}, {"type": "str", "child": false, "field": "payment_summ", "name_cr": "Nafaqa miqdori", "name_en": "Nafaqa miqdori", "name_ru": "Nafaqa miqdori", "name_uz": "Nafaqa miqdori"}, {"type": "str", "child": false, "field": "phone", "name_cr": "Telefon raqami", "name_en": "Telefon raqami", "name_ru": "Telefon raqami", "name_uz": "Telefon raqami"}, {"type": "str", "child": false, "field": "pin", "name_cr": "JSHSHIR", "name_en": "JSHSHIR", "name_ru": "JSHSHIR", "name_uz": "JSHSHIR"}, {"type": "str", "child": false, "field": "sector", "name_cr": "Tuman sektor raqami", "name_en": "Tuman sektor raqami", "name_ru": "Tuman sektor raqami", "name_uz": "Tuman sektor raqami"}, {"type": "str", "child": false, "field": "service_date", "name_cr": "Xizmat yaratilgan (ko‘rsatilgan) sana", "name_en": "Xizmat yaratilgan (ko‘rsatilgan) sana", "name_ru": "Xizmat yaratilgan (ko‘rsatilgan) sana", "name_uz": "Xizmat yaratilgan (ko‘rsatilgan) sana"}, {"type": "str", "child": false, "field": "service_result", "name_cr": "Xizmat holati (hozirgi vaqtda)", "name_en": "Xizmat holati (hozirgi vaqtda)", "name_ru": "Xizmat holati (hozirgi vaqtda)", "name_uz": "Xizmat holati (hozirgi vaqtda)"}, {"type": "str", "child": false, "field": "soato", "name_cr": "Tuman (shahar) SOATO kodi", "name_en": "Tuman (shahar) SOATO kodi", "name_ru": "Tuman (shahar) SOATO kodi", "name_uz": "Tuman (shahar) SOATO kodi"}, {"type": "str", "child": false, "field": "stopped_reason", "name_cr": "Tugatilish sababi", "name_en": "Tugatilish sababi", "name_ru": "Tugatilish sababi", "name_uz": "Tugatilish sababi"}, {"type": "str", "child": false, "field": "structure", "name_cr": "Tuman (shahar)", "name_en": "Tuman (shahar)", "name_ru": "Tuman (shahar)", "name_uz": "Tuman (shahar)"}]}</t>
  </si>
  <si>
    <t>Tijorat maqsadida subsidiya olgan fuqarolar ma’lumotlari.</t>
  </si>
  <si>
    <t>subsidy.phys_subsidies_list</t>
  </si>
  <si>
    <t>{"params": [{"type": "str", "child": false, "field": "region_name", "name_cr": "Hudud (viloyat) nomi", "name_en": "Hudud (viloyat) nomi", "name_ru": "Hudud (viloyat) nomi", "name_uz": "Hudud (viloyat) nomi"}, {"type": "str", "child": false, "field": "region_soato", "name_cr": "Hudud (viloyat) SOATO kodi", "name_en": "Hudud (viloyat) SOATO kodi", "name_ru": "Hudud (viloyat) SOATO kodi", "name_uz": "Hudud (viloyat) SOATO kodi"}, {"type": "str", "child": false, "field": "district_name", "name_cr": "Tuman (shahar) nomi", "name_en": "Tuman (shahar) nomi", "name_ru": "Tuman (shahar) nomi", "name_uz": "Tuman (shahar) nomi"}, {"type": "str", "child": false, "field": "city_soato", "name_cr": "Tuman (shahar) SOATO kodi", "name_en": "Tuman (shahar) SOATO kodi", "name_ru": "Tuman (shahar) SOATO kodi", "name_uz": "Tuman (shahar) SOATO kodi"}, {"type": "str", "child": false, "field": "bdate", "name_cr": "Tug'ilgan sanasi", "name_en": "Tug'ilgan sanasi", "name_ru": "Tug'ilgan sanasi", "name_uz": "Tug'ilgan sanasi"}, {"type": "str", "child": false, "field": "inn", "name_cr": "INN", "name_en": "INN", "name_ru": "INN", "name_uz": "INN"}, {"type": "str", "child": false, "field": "pinfl", "name_cr": "JShShIR", "name_en": "JShShIR", "name_ru": "JShShIR", "name_uz": "JShShIR"}, {"type": "str", "child": false, "field": "sex", "name_cr": "Jinsi (1-erkak 2-ayol)", "name_en": "Jinsi (1-erkak 2-ayol)", "name_ru": "Jinsi (1-erkak 2-ayol)", "name_uz": "Jinsi (1-erkak 2-ayol)"}, {"type": "str", "child": false, "field": "fname", "name_cr": "Familiya", "name_en": "Familiya", "name_ru": "Familiya", "name_uz": "Familiya"}, {"type": "str", "child": false, "field": "lname", "name_cr": "Ism", "name_en": "Ism", "name_ru": "Ism", "name_uz": "Ism"}, {"type": "str", "child": false, "field": "mname", "name_cr": "Sharifi", "name_en": "Sharifi", "name_ru": "Sharifi", "name_uz": "Sharifi"}, {"type": "str", "child": false, "field": "psdata", "name_cr": "Passport raqami", "name_en": "Passport raqami", "name_ru": "Passport raqami", "name_uz": "Passport raqami"}, {"type": "str", "child": false, "field": "subsidiya_name", "name_cr": "Subsidiya turi", "name_en": "Subsidiya turi", "name_ru": "Subsidiya turi", "name_uz": "Subsidiya turi"}, {"type": "str", "child": false, "field": "subsidiya_date", "name_cr": "Subsidiya ajratilgan sana", "name_en": "Subsidiya ajratilgan sana", "name_ru": "Subsidiya ajratilgan sana", "name_uz": "Subsidiya ajratilgan sana"}, {"type": "str", "child": false, "field": "subsidiya_summa", "name_cr": "Ajratilgan summa miqdori", "name_en": "Ajratilgan summa miqdori", "name_ru": "Ajratilgan summa miqdori", "name_uz": "Ajratilgan summa miqdori"}]}</t>
  </si>
  <si>
    <t>Tijorat maqsadida subsidiya olgan tashkilot ma’lumotlari.</t>
  </si>
  <si>
    <t>subsidy.yur_subsidies_list</t>
  </si>
  <si>
    <t>Субсидия олган ташкилот тўғрисидаги маълумотлар</t>
  </si>
  <si>
    <t>{"params": [{"type": "str", "child": false, "field": "region_name", "name_cr": "Hudud (viloyat) nomi", "name_en": "Hudud (viloyat) nomi", "name_ru": "Hudud (viloyat) nomi", "name_uz": "Hudud (viloyat) nomi"}, {"type": "str", "child": false, "field": "region_soato", "name_cr": "Hudud (viloyat) SOATO kodi", "name_en": "Hudud (viloyat) SOATO kodi", "name_ru": "Hudud (viloyat) SOATO kodi", "name_uz": "Hudud (viloyat) SOATO kodi"}, {"type": "str", "child": false, "field": "district_name", "name_cr": "Tuman (shahar) nomi", "name_en": "Tuman (shahar) nomi", "name_ru": "Tuman (shahar) nomi", "name_uz": "Tuman (shahar) nomi"}, {"type": "str", "child": false, "field": "city_soato", "name_cr": "Tuman (shahar) SOATO kodi", "name_en": "Tuman (shahar) SOATO kodi", "name_ru": "Tuman (shahar) SOATO kodi", "name_uz": "Tuman (shahar) SOATO kodi"}, {"type": "str", "child": false, "field": "subsidy_date", "name_cr": "Subsidiya ajratilgan sana", "name_en": "Subsidiya ajratilgan sana", "name_ru": "Subsidiya ajratilgan sana", "name_uz": "Subsidiya ajratilgan sana"}, {"type": "str", "child": false, "field": "company_tin", "name_cr": "Korxona STIR", "name_en": "Korxona STIR", "name_ru": "Korxona STIR", "name_uz": "Korxona STIR"}, {"type": "str", "child": false, "field": "company_name", "name_cr": "Korxona nomi", "name_en": "Korxona nomi", "name_ru": "Korxona nomi", "name_uz": "Korxona nomi"}, {"type": "str", "child": false, "field": "subsidy_name", "name_cr": "Subsidiya turi", "name_en": "Subsidiya turi", "name_ru": "Subsidiya turi", "name_uz": "Subsidiya turi"}, {"type": "str", "child": false, "field": "subsidy_amount", "name_cr": "Ajratilgan subsidiya miqdori", "name_en": "Ajratilgan subsidiya miqdori", "name_ru": "Ajratilgan subsidiya miqdori", "name_uz": "Ajratilgan subsidiya miqdori"}]}</t>
  </si>
  <si>
    <t>Ҳунармандларга шогирд тайёрлаш учун субсидия</t>
  </si>
  <si>
    <t>subsidy.for_student_training</t>
  </si>
  <si>
    <t>Ҳунармандларга интернет сайтини яратиш учун субсидия</t>
  </si>
  <si>
    <t>subsidy.for_web_sites</t>
  </si>
  <si>
    <t>subsidy.coop_subsidies</t>
  </si>
  <si>
    <t>{"params": [{"type": "string", "child": false, "field": "region_name", "name_cr": "region_name", "name_en": "region_name", "name_ru": "region_name", "name_uz": "region_name"}, {"type": "string", "child": false, "field": "region_soato", "name_cr": "region_soato", "name_en": "region_soato", "name_ru": "region_soato", "name_uz": "region_soato"}, {"type": "string", "child": false, "field": "district_name", "name_cr": "district_name", "name_en": "district_name", "name_ru": "district_name", "name_uz": "district_name"}, {"type": "string", "child": false, "field": "city_soato", "name_cr": "city_soato", "name_en": "city_soato", "name_ru": "city_soato", "name_uz": "city_soato"}, {"type": "string", "child": false, "field": "subsidy_date", "name_cr": "subsidy_date", "name_en": "subsidy_date", "name_ru": "subsidy_date", "name_uz": "subsidy_date"}, {"type": "string", "child": false, "field": "company_tin", "name_cr": "company_tin", "name_en": "company_tin", "name_ru": "company_tin", "name_uz": "company_tin"}, {"type": "string", "child": false, "field": "company_name", "name_cr": "company_name", "name_en": "company_name", "name_ru": "company_name", "name_uz": "company_name"}, {"type": "string", "child": false, "field": "subsidy_name", "name_cr": "subsidy_name", "name_en": "subsidy_name", "name_ru": "subsidy_name", "name_uz": "subsidy_name"}, {"type": "string", "child": false, "field": "subsidy_amount", "name_cr": "subsidy_amount", "name_en": "subsidy_amount", "name_ru": "subsidy_amount", "name_uz": "subsidy_amount"}]}</t>
  </si>
  <si>
    <t>Эскпортни рағбатлантириш агентлиги Экспортчи корхоналар учун ажратилган субсидиялар тўғрисидаги маъл</t>
  </si>
  <si>
    <t>{"params": [{"type": "string", "child": false, "field": "application_id", "name_cr": "application_id", "name_en": "application_id", "name_ru": "application_id", "name_uz": "application_id"}, {"type": "string", "child": false, "field": "submission_date", "name_cr": "submission_date", "name_en": "submission_date", "name_ru": "submission_date", "name_uz": "submission_date"}, {"type": "string", "child": false, "field": "commission_date", "name_cr": "commission_date", "name_en": "commission_date", "name_ru": "commission_date", "name_uz": "commission_date"}, {"type": "string", "child": false, "field": "company_name", "name_cr": "company_name", "name_en": "company_name", "name_ru": "company_name", "name_uz": "company_name"}, {"type": "string", "child": false, "field": "inn", "name_cr": "inn", "name_en": "inn", "name_ru": "inn", "name_uz": "inn"}, {"type": "string", "child": false, "field": "region", "name_cr": "region", "name_en": "region", "name_ru": "region", "name_uz": "region"}, {"type": "string", "child": false, "field": "district", "name_cr": "district", "name_en": "district", "name_ru": "district", "name_uz": "district"}, {"type": "string", "child": false, "field": "bank_name", "name_cr": "bank_name", "name_en": "bank_name", "name_ru": "bank_name", "name_uz": "bank_name"}, {"type": "string", "child": false, "field": "trading_type_name", "name_cr": "trading_type_name", "name_en": "trading_type_name", "name_ru": "trading_type_name", "name_uz": "trading_type_name"}, {"type": "string", "child": false, "field": "credit_point", "name_cr": "credit_point", "name_en": "credit_point", "name_ru": "credit_point", "name_uz": "credit_point"}, {"type": "string", "child": false, "field": "country_name", "name_cr": "country_name", "name_en": "country_name", "name_ru": "country_name", "name_uz": "country_name"}, {"type": "string", "child": false, "field": "trade_production_type", "name_cr": "trade_production_type", "name_en": "trade_production_type", "name_ru": "trade_production_type", "name_uz": "trade_production_type"}, {"type": "string", "child": false, "field": "credit_resource", "name_cr": "credit_resource", "name_en": "credit_resource", "name_ru": "credit_resource", "name_uz": "credit_resource"}, {"type": "string", "child": false, "field": "credit_sum", "name_cr": "credit_sum", "name_en": "credit_sum", "name_ru": "credit_sum", "name_uz": "credit_sum"}, {"type": "string", "child": false, "field": "credit_expire", "name_cr": "credit_expire", "name_en": "credit_expire", "name_ru": "credit_expire", "name_uz": "credit_expire"}, {"type": "string", "child": false, "field": "export_sum", "name_cr": "export_sum", "name_en": "export_sum", "name_ru": "export_sum", "name_uz": "export_sum"}, {"type": "string", "child": false, "field": "funded_at", "name_cr": "funded_at", "name_en": "funded_at", "name_ru": "funded_at", "name_uz": "funded_at"}, {"type": "list", "child": true, "field": "products", "name_cr": "products", "name_en": "products", "name_ru": "products", "name_uz": "products", "children": [{"type": "string", "child": false, "field": "tncode", "name_cr": "tncode", "name_en": "tncode", "name_ru": "tncode", "name_uz": "tncode"}, {"type": "string", "child": false, "field": "product_name", "name_cr": "product_name", "name_en": "product_name", "name_ru": "product_name", "name_uz": "product_name"}, {"type": "string", "child": false, "field": "contract_id", "name_cr": "contract_id", "name_en": "contract_id", "name_ru": "contract_id", "name_uz": "contract_id"}]}]}</t>
  </si>
  <si>
    <t>subsidy.adjustment_disabilities</t>
  </si>
  <si>
    <t>Юридик шахсларга ссуда</t>
  </si>
  <si>
    <t>subsidy.for_homemaker</t>
  </si>
  <si>
    <t>subsidy.retrain_homemaker</t>
  </si>
  <si>
    <t>subsidy.exempt_employees</t>
  </si>
  <si>
    <t>{"params": [{"type": "string", "child": false, "field": "region_name", "name_cr": "region_name", "name_en": "region_name", "name_ru": "region_name", "name_uz": "region_name"}, {"type": "string", "child": false, "field": "region_soato", "name_cr": "region_soato", "name_en": "region_soato", "name_ru": "region_soato", "name_uz": "region_soato"}, {"type": "string", "child": false, "field": "district_name", "name_cr": "district_name", "name_en": "district_name", "name_ru": "district_name", "name_uz": "district_name"}, {"type": "string", "child": false, "field": "city_soato", "name_cr": "city_soato", "name_en": "city_soato", "name_ru": "city_soato", "name_uz": "city_soato"}, {"type": "string", "child": false, "field": "company_tin", "name_cr": "company_tin", "name_en": "company_tin", "name_ru": "company_tin", "name_uz": "company_tin"}, {"type": "string", "child": false, "field": "company_name", "name_cr": "company_name", "name_en": "company_name", "name_ru": "company_name", "name_uz": "company_name"}, {"type": "string", "child": false, "field": "subsidy_date", "name_cr": "subsidy_date", "name_en": "subsidy_date", "name_ru": "subsidy_date", "name_uz": "subsidy_date"}, {"type": "string", "child": false, "field": "subsidy_amount", "name_cr": "subsidy_amount", "name_en": "subsidy_amount", "name_ru": "subsidy_amount", "name_uz": "subsidy_amount"}, {"type": "string", "child": false, "field": "subsidy_name", "name_cr": "subsidy_name", "name_en": "subsidy_name", "name_ru": "subsidy_name", "name_uz": "subsidy_name"}]}</t>
  </si>
  <si>
    <t>subsidy.household_salary</t>
  </si>
  <si>
    <t>subsidy.household_equipment</t>
  </si>
  <si>
    <t>subsidy.coop_subsidies366</t>
  </si>
  <si>
    <t>subsidy.for_disabilities</t>
  </si>
  <si>
    <t>subsidy.forest_leased</t>
  </si>
  <si>
    <t>subsidy.prepared_again</t>
  </si>
  <si>
    <t>subsidy.out_of_quota</t>
  </si>
  <si>
    <t>“Yoshlat daftari” tizimiga kiritilgan yoshlar to‘g‘risidagi ma’lumotlar</t>
  </si>
  <si>
    <t>Ёшлар ишлари агентлиги</t>
  </si>
  <si>
    <t>“Ёшлар дафтари” тизимига киритилган ёшлар тўғрисидаги маълумотлар</t>
  </si>
  <si>
    <t>{"params": [{"type": "string", "child": false, "field": "id", "name_cr": "id", "name_en": "id", "name_ru": "id", "name_uz": "id"}, {"type": "string", "child": false, "field": "region", "name_cr": "region", "name_en": "region", "name_ru": "region", "name_uz": "region"}, {"type": "string", "child": false, "field": "region_soato", "name_cr": "region_soato", "name_en": "region_soato", "name_ru": "region_soato", "name_uz": "region_soato"}, {"type": "string", "child": false, "field": "city", "name_cr": "city", "name_en": "city", "name_ru": "city", "name_uz": "city"}, {"type": "string", "child": false, "field": "city_soato", "name_cr": "city_soato", "name_en": "city_soato", "name_ru": "city_soato", "name_uz": "city_soato"}, {"type": "string", "child": false, "field": "address", "name_cr": "address", "name_en": "address", "name_ru": "address", "name_uz": "address"}, {"type": "string", "child": false, "field": "surname", "name_cr": "surname", "name_en": "surname", "name_ru": "surname", "name_uz": "surname"}, {"type": "string", "child": false, "field": "firstname", "name_cr": "firstname", "name_en": "firstname", "name_ru": "firstname", "name_uz": "firstname"}, {"type": "string", "child": false, "field": "patronymic", "name_cr": "patronymic", "name_en": "patronymic", "name_ru": "patronymic", "name_uz": "patronymic"}, {"type": "string", "child": false, "field": "birth_date", "name_cr": "birth_date", "name_en": "birth_date", "name_ru": "birth_date", "name_uz": "birth_date"}, {"type": "string", "child": false, "field": "pin", "name_cr": "pin", "name_en": "pin", "name_ru": "pin", "name_uz": "pin"}, {"type": "string", "child": false, "field": "passport", "name_cr": "passport", "name_en": "passport", "name_ru": "passport", "name_uz": "passport"}, {"type": "string", "child": false, "field": "gender", "name_cr": "gender", "name_en": "gender", "name_ru": "gender", "name_uz": "gender"}, {"type": "string", "child": false, "field": "social_status", "name_cr": "social_status", "name_en": "social_status", "name_ru": "social_status", "name_uz": "social_status"}, {"type": "string", "child": false, "field": "reason", "name_cr": "reason", "name_en": "reason", "name_ru": "reason", "name_uz": "reason"}, {"type": "string", "child": false, "field": "enter_date", "name_cr": "enter_date", "name_en": "enter_date", "name_ru": "enter_date", "name_uz": "enter_date"}, {"type": "string", "child": false, "field": "degree", "name_cr": "degree", "name_en": "degree", "name_ru": "degree", "name_uz": "degree"}, {"type": "string", "child": false, "field": "speciality", "name_cr": "speciality", "name_en": "speciality", "name_ru": "speciality", "name_uz": "speciality"}, {"type": "string", "child": false, "field": "job", "name_cr": "job", "name_en": "job", "name_ru": "job", "name_uz": "job"}, {"type": "string", "child": false, "field": "phone", "name_cr": "phone", "name_en": "phone", "name_ru": "phone", "name_uz": "phone"}]}</t>
  </si>
  <si>
    <t>Ёшлар сиёсати ва спорт вазирлиги: "Ёшлар дафтари"га рўйхатга олинган ҳамда моддий ёрдам олган жами ё</t>
  </si>
  <si>
    <t>"Ёшлар дафтари"га киритилиб ёрдам олган жами ёшлар тўғрисида маълумотлар</t>
  </si>
  <si>
    <t>{"params": [{"type": "string", "child": false, "field": "total", "name_cr": "total", "name_en": "total", "name_ru": "total", "name_uz": "total"}, {"type": "string", "child": false, "field": "material_support", "name_cr": "material_support", "name_en": "material_support", "name_ru": "material_support", "name_uz": "material_support"}, {"type": "string", "child": false, "field": "vacational_training", "name_cr": "vacational_training", "name_en": "vacational_training", "name_ru": "vacational_training", "name_uz": "vacational_training"}, {"type": "string", "child": false, "field": "driving_training", "name_cr": "driving_training", "name_en": "driving_training", "name_ru": "driving_training", "name_uz": "driving_training"}, {"type": "string", "child": false, "field": "seeding_subsidy", "name_cr": "seeding_subsidy", "name_en": "seeding_subsidy", "name_ru": "seeding_subsidy", "name_uz": "seeding_subsidy"}, {"type": "string", "child": false, "field": "non_residential_rent", "name_cr": "non_residential_rent", "name_en": "non_residential_rent", "name_ru": "non_residential_rent", "name_uz": "non_residential_rent"}, {"type": "string", "child": false, "field": "equipment_subsidy", "name_cr": "equipment_subsidy", "name_en": "equipment_subsidy", "name_ru": "equipment_subsidy", "name_uz": "equipment_subsidy"}, {"type": "string", "child": false, "field": "edu_contract_subsidy", "name_cr": "edu_contract_subsidy", "name_en": "edu_contract_subsidy", "name_ru": "edu_contract_subsidy", "name_uz": "edu_contract_subsidy"}, {"type": "string", "child": false, "field": "kelajak_kasblari", "name_cr": "kelajak_kasblari", "name_en": "kelajak_kasblari", "name_ru": "kelajak_kasblari", "name_uz": "kelajak_kasblari"}, {"type": "string", "child": false, "field": "training_subsidy", "name_cr": "training_subsidy", "name_en": "training_subsidy", "name_ru": "training_subsidy", "name_uz": "training_subsidy"}, {"type": "string", "child": false, "field": "loc_compet_exp", "name_cr": "loc_compet_exp", "name_en": "loc_compet_exp", "name_ru": "loc_compet_exp", "name_uz": "loc_compet_exp"}, {"type": "string", "child": false, "field": "treatment_expense", "name_cr": "treatment_expense", "name_en": "treatment_expense", "name_ru": "treatment_expense", "name_uz": "treatment_expense"}, {"type": "string", "child": false, "field": "psychological_expense", "name_cr": "psychological_expense", "name_en": "psychological_expense", "name_ru": "psychological_expense", "name_uz": "psychological_expense"}, {"type": "string", "child": false, "field": "schr", "name_cr": "schr", "name_en": "schr", "name_ru": "schr", "name_uz": "schr"}, {"type": "string", "child": false, "field": "credits", "name_cr": "credits", "name_en": "credits", "name_ru": "credits", "name_uz": "credits"}, {"type": "string", "child": false, "field": "residential_rent", "name_cr": "residential_rent", "name_en": "residential_rent", "name_ru": "residential_rent", "name_uz": "residential_rent"}, {"type": "string", "child": false, "field": "employment", "name_cr": "employment", "name_en": "employment", "name_ru": "employment", "name_uz": "employment"}, {"type": "string", "child": false, "field": "entrepreneurship", "name_cr": "entrepreneurship", "name_en": "entrepreneurship", "name_ru": "entrepreneurship", "name_uz": "entrepreneurship"}, {"type": "string", "child": false, "field": "migration", "name_cr": "migration", "name_en": "migration", "name_ru": "migration", "name_uz": "migration"}, {"type": "string", "child": false, "field": "school_uniform", "name_cr": "school_uniform", "name_en": "school_uniform", "name_ru": "school_uniform", "name_uz": "school_uniform"}, {"type": "string", "child": false, "field": "passport_fee", "name_cr": "passport_fee", "name_en": "passport_fee", "name_ru": "passport_fee", "name_uz": "passport_fee"}, {"type": "string", "child": false, "field": "tour_expense", "name_cr": "tour_expense", "name_en": "tour_expense", "name_ru": "tour_expense", "name_uz": "tour_expense"}, {"type": "string", "child": false, "field": "int_compet_exp", "name_cr": "int_compet_exp", "name_en": "int_compet_exp", "name_ru": "int_compet_exp", "name_uz": "int_compet_exp"}, {"type": "string", "child": false, "field": "seperated_land", "name_cr": "seperated_land", "name_en": "seperated_land", "name_ru": "seperated_land", "name_uz": "seperated_land"}]}</t>
  </si>
  <si>
    <t>Ҳоким ёрдамчилари тавсияси асосида берилган жами субсидиялар тўғрисида маълумот олиш</t>
  </si>
  <si>
    <t>mahalla.subsidiya</t>
  </si>
  <si>
    <t>Субсидия схемасига ўтказиб номини хоким ёрдамчи тавсия қилиш керак</t>
  </si>
  <si>
    <t>https://api.online-mahalla.uz/api/v1/sync/subsidy/hp</t>
  </si>
  <si>
    <t>subsidy.adjustment_jobs</t>
  </si>
  <si>
    <t>subsidy.agricultures</t>
  </si>
  <si>
    <t>{"params": [{"type": "string", "child": false, "field": "District_id", "name_cr": "District_id", "name_en": "District_id", "name_ru": "District_id", "name_uz": "District_id"}, {"type": "string", "child": false, "field": "Ekin_turi", "name_cr": "Ekin_turi", "name_en": "Ekin_turi", "name_ru": "Ekin_turi", "name_uz": "Ekin_turi"}, {"type": "string", "child": false, "field": "OrgInn", "name_cr": "OrgInn", "name_en": "OrgInn", "name_ru": "OrgInn", "name_uz": "OrgInn"}, {"type": "string", "child": false, "field": "OrgName", "name_cr": "OrgName", "name_en": "OrgName", "name_ru": "OrgName", "name_uz": "OrgName"}, {"type": "string", "child": false, "field": "Purpose", "name_cr": "Purpose", "name_en": "Purpose", "name_ru": "Purpose", "name_uz": "Purpose"}, {"type": "string", "child": false, "field": "Region_id", "name_cr": "Region_id", "name_en": "Region_id", "name_ru": "Region_id", "name_uz": "Region_id"}, {"type": "string", "child": false, "field": "Status", "name_cr": "Status", "name_en": "Status", "name_ru": "Status", "name_uz": "Status"}, {"type": "string", "child": false, "field": "Summa_mln", "name_cr": "Summa_mln", "name_en": "Summa_mln", "name_ru": "Summa_mln", "name_uz": "Summa_mln"}, {"type": "string", "child": false, "field": "Task_date", "name_cr": "Task_date", "name_en": "Task_date", "name_ru": "Task_date", "name_uz": "Task_date"}, {"type": "string", "child": false, "field": "Task_done_date", "name_cr": "Task_done_date", "name_en": "Task_done_date", "name_ru": "Task_done_date", "name_uz": "Task_done_date"}, {"type": "string", "child": false, "field": "Task_id", "name_cr": "Task_id", "name_en": "Task_id", "name_ru": "Task_id", "name_uz": "Task_id"}, {"type": "string", "child": false, "field": "district", "name_cr": "district", "name_en": "district", "name_ru": "district", "name_uz": "district"}, {"type": "string", "child": false, "field": "province", "name_cr": "province", "name_en": "province", "name_ru": "province", "name_uz": "province"}, {"type": "string", "child": false, "field": "yer_maydoniHajm", "name_cr": "yer_maydoniHajm", "name_en": "yer_maydoniHajm", "name_ru": "yer_maydoniHajm", "name_uz": "yer_maydoniHajm"}]}</t>
  </si>
  <si>
    <t>"Ёшлар дафтари"га киритилиб ёрдам олган ёшлар тўғрисида маълумотлар</t>
  </si>
  <si>
    <t>{"params": [{"type": "string", "child": false, "field": "id", "name_cr": "id", "name_en": "id", "name_ru": "id", "name_uz": "id"}, {"type": "string", "child": false, "field": "region", "name_cr": "region", "name_en": "region", "name_ru": "region", "name_uz": "region"}, {"type": "string", "child": false, "field": "region_soato", "name_cr": "region_soato", "name_en": "region_soato", "name_ru": "region_soato", "name_uz": "region_soato"}, {"type": "string", "child": false, "field": "city", "name_cr": "city", "name_en": "city", "name_ru": "city", "name_uz": "city"}, {"type": "string", "child": false, "field": "city_soato", "name_cr": "city_soato", "name_en": "city_soato", "name_ru": "city_soato", "name_uz": "city_soato"}, {"type": "string", "child": false, "field": "address", "name_cr": "address", "name_en": "address", "name_ru": "address", "name_uz": "address"}, {"type": "string", "child": false, "field": "surname", "name_cr": "surname", "name_en": "surname", "name_ru": "surname", "name_uz": "surname"}, {"type": "string", "child": false, "field": "firstname", "name_cr": "firstname", "name_en": "firstname", "name_ru": "firstname", "name_uz": "firstname"}, {"type": "string", "child": false, "field": "patronymic", "name_cr": "patronymic", "name_en": "patronymic", "name_ru": "patronymic", "name_uz": "patronymic"}, {"type": "string", "child": false, "field": "birth_date", "name_cr": "birth_date", "name_en": "birth_date", "name_ru": "birth_date", "name_uz": "birth_date"}, {"type": "string", "child": false, "field": "pin", "name_cr": "pin", "name_en": "pin", "name_ru": "pin", "name_uz": "pin"}, {"type": "string", "child": false, "field": "passport", "name_cr": "passport", "name_en": "passport", "name_ru": "passport", "name_uz": "passport"}, {"type": "string", "child": false, "field": "gender", "name_cr": "gender", "name_en": "gender", "name_ru": "gender", "name_uz": "gender"}, {"type": "string", "child": false, "field": "social_status", "name_cr": "social_status", "name_en": "social_status", "name_ru": "social_status", "name_uz": "social_status"}, {"type": "string", "child": false, "field": "reason", "name_cr": "reason", "name_en": "reason", "name_ru": "reason", "name_uz": "reason"}, {"type": "string", "child": false, "field": "enter_date", "name_cr": "enter_date", "name_en": "enter_date", "name_ru": "enter_date", "name_uz": "enter_date"}, {"type": "string", "child": false, "field": "out_date", "name_cr": "out_date", "name_en": "out_date", "name_ru": "out_date", "name_uz": "out_date"}, {"type": "string", "child": false, "field": "help_type", "name_cr": "help_type", "name_en": "help_type", "name_ru": "help_type", "name_uz": "help_type"}, {"type": "string", "child": false, "field": "company_name", "name_cr": "company_name", "name_en": "company_name", "name_ru": "company_name", "name_uz": "company_name"}, {"type": "string", "child": false, "field": "help_source", "name_cr": "help_source", "name_en": "help_source", "name_ru": "help_source", "name_uz": "help_source"}]}</t>
  </si>
  <si>
    <t>4. Давлат активлари</t>
  </si>
  <si>
    <t>Ustav fondida davlat ulushi mavjud xo‘jalik jamiyatlari va davlat korxonalari to‘g‘risidagi ma'lumot</t>
  </si>
  <si>
    <t>ГосАктив схемага ўтказиш</t>
  </si>
  <si>
    <t>http://10.190.5.2:8675/reestr/v4</t>
  </si>
  <si>
    <t>Ташкилот СТИР рақами киритилган ҳолда маълумотлар олинади</t>
  </si>
  <si>
    <t>{"params": [{"type": "string", "child": false, "field": "ID_DOCUMENT", "name_cr": "ID_DOCUMENT", "name_en": "ID_DOCUMENT", "name_ru": "ID_DOCUMENT", "name_uz": "ID_DOCUMENT"}, {"type": "string", "child": false, "field": "SEND_DATE", "name_cr": "SEND_DATE", "name_en": "SEND_DATE", "name_ru": "SEND_DATE", "name_uz": "SEND_DATE"}, {"type": "string", "child": false, "field": "NAME", "name_cr": "NAME", "name_en": "NAME", "name_ru": "NAME", "name_uz": "NAME"}, {"type": "string", "child": false, "field": "NS10", "name_cr": "NS10", "name_en": "NS10", "name_ru": "NS10", "name_uz": "NS10"}, {"type": "string", "child": false, "field": "NS11", "name_cr": "NS11", "name_en": "NS11", "name_ru": "NS11", "name_uz": "NS11"}, {"type": "string", "child": false, "field": "ADDRESS", "name_cr": "ADDRESS", "name_en": "ADDRESS", "name_ru": "ADDRESS", "name_uz": "ADDRESS"}, {"type": "string", "child": false, "field": "TIN", "name_cr": "TIN", "name_en": "TIN", "name_ru": "TIN", "name_uz": "TIN"}, {"type": "string", "child": false, "field": "SHARE1", "name_cr": "SHARE1", "name_en": "SHARE1", "name_ru": "SHARE1", "name_uz": "SHARE1"}, {"type": "string", "child": false, "field": "ORG_TYPE_NAME", "name_cr": "ORG_TYPE_NAME", "name_en": "ORG_TYPE_NAME", "name_ru": "ORG_TYPE_NAME", "name_uz": "ORG_TYPE_NAME"}, {"type": "string", "child": false, "field": "STATUS", "name_cr": "STATUS", "name_en": "STATUS", "name_ru": "STATUS", "name_uz": "STATUS"}]}</t>
  </si>
  <si>
    <t>Gos Active ijara</t>
  </si>
  <si>
    <t>public.ijara_contracts</t>
  </si>
  <si>
    <t>http://10.190.34.202:8146/api/get-rent-contract</t>
  </si>
  <si>
    <t>Мулкка эгалик қилувчи ташкилот, СТИР рақами киритилган ҳолда маълумотлар олинади</t>
  </si>
  <si>
    <t>{"params": [{"type": "string", "child": false, "field": "id", "name_cr": "id", "name_en": "id", "name_ru": "id", "name_uz": "id"}, {"type": "string", "child": false, "field": "sent_date", "name_cr": "sent_date", "name_en": "sent_date", "name_ru": "sent_date", "name_uz": "sent_date"}, {"type": "string", "child": false, "field": "contract_number", "name_cr": "contract_number", "name_en": "contract_number", "name_ru": "contract_number", "name_uz": "contract_number"}, {"type": "string", "child": false, "field": "object_region", "name_cr": "object_region", "name_en": "object_region", "name_ru": "object_region", "name_uz": "object_region"}, {"type": "string", "child": false, "field": "object_district", "name_cr": "object_district", "name_en": "object_district", "name_ru": "object_district", "name_uz": "object_district"}, {"type": "string", "child": false, "field": "contract_sum", "name_cr": "contract_sum", "name_en": "contract_sum", "name_ru": "contract_sum", "name_uz": "contract_sum"}, {"type": "string", "child": false, "field": "contract_date", "name_cr": "contract_date", "name_en": "contract_date", "name_ru": "contract_date", "name_uz": "contract_date"}, {"type": "string", "child": false, "field": "owner_name", "name_cr": "owner_name", "name_en": "owner_name", "name_ru": "owner_name", "name_uz": "owner_name"}, {"type": "string", "child": false, "field": "owner_tin", "name_cr": "owner_tin", "name_en": "owner_tin", "name_ru": "owner_tin", "name_uz": "owner_tin"}, {"type": "string", "child": false, "field": "owner_region", "name_cr": "owner_region", "name_en": "owner_region", "name_ru": "owner_region", "name_uz": "owner_region"}, {"type": "string", "child": false, "field": "owner_district", "name_cr": "owner_district", "name_en": "owner_district", "name_ru": "owner_district", "name_uz": "owner_district"}, {"type": "string", "child": false, "field": "owner_address", "name_cr": "owner_address", "name_en": "owner_address", "name_ru": "owner_address", "name_uz": "owner_address"}, {"type": "string", "child": false, "field": "renter_name", "name_cr": "renter_name", "name_en": "renter_name", "name_ru": "renter_name", "name_uz": "renter_name"}, {"type": "string", "child": false, "field": "renter_tin", "name_cr": "renter_tin", "name_en": "renter_tin", "name_ru": "renter_tin", "name_uz": "renter_tin"}, {"type": "string", "child": false, "field": "renter_region", "name_cr": "renter_region", "name_en": "renter_region", "name_ru": "renter_region", "name_uz": "renter_region"}, {"type": "string", "child": false, "field": "renter_district", "name_cr": "renter_district", "name_en": "renter_district", "name_ru": "renter_district", "name_uz": "renter_district"}, {"type": "string", "child": false, "field": "renter_address", "name_cr": "renter_address", "name_en": "renter_address", "name_ru": "renter_address", "name_uz": "renter_address"}, {"type": "string", "child": false, "field": "activity_type_id", "name_cr": "activity_type_id", "name_en": "activity_type_id", "name_ru": "activity_type_id", "name_uz": "activity_type_id"}, {"type": "string", "child": false, "field": "rental_area", "name_cr": "rental_area", "name_en": "rental_area", "name_ru": "rental_area", "name_uz": "rental_area"}]}</t>
  </si>
  <si>
    <t>5. Статистика</t>
  </si>
  <si>
    <t>Statistika saytini Parse qilish</t>
  </si>
  <si>
    <t>tax.org_info_stat</t>
  </si>
  <si>
    <t>Статистика схемасига ўтказиш</t>
  </si>
  <si>
    <t>https://registr.stat.uz</t>
  </si>
  <si>
    <t>Organization state</t>
  </si>
  <si>
    <t>6. Олий таълим</t>
  </si>
  <si>
    <t>Talabalrga hisoblangan stipendiyalar</t>
  </si>
  <si>
    <t>education.student_nach</t>
  </si>
  <si>
    <t>https://api.hemis.uz/api/university</t>
  </si>
  <si>
    <t>Student Kontrakt</t>
  </si>
  <si>
    <t>education.contract</t>
  </si>
  <si>
    <t>Diplomlar</t>
  </si>
  <si>
    <t>education.diplom</t>
  </si>
  <si>
    <t>PHD</t>
  </si>
  <si>
    <t>education.phd</t>
  </si>
  <si>
    <t>http://api-phd.mininnovation.uz/api-account-chamber/doctorates</t>
  </si>
  <si>
    <t>Talabalar ro'yxati</t>
  </si>
  <si>
    <t>education.student_info</t>
  </si>
  <si>
    <t>7. Спорт</t>
  </si>
  <si>
    <t>Bolalar sport maktablari to‘g‘risida ma’lumotlar.</t>
  </si>
  <si>
    <t>Ёшлар сиёсати ва спорт вазирлиги</t>
  </si>
  <si>
    <t>{"params": [{"type": "string", "child": false, "field": "company_profile_name", "name_cr": "company_profile_name"}, {"type": "string", "child": false, "field": "company_tin", "name_cr": "company_tin"}, {"type": "string", "child": false, "field": "pinfl", "name_cr": "pinfl"}, {"type": "string", "child": false, "field": "fullname", "name_cr": "fullname"}, {"type": "string", "child": false, "field": "birth_date", "name_cr": "birth_date"}, {"type": "string", "child": false, "field": "date_start", "name_cr": "date_start"}, {"type": "string", "child": false, "field": "date_stop", "name_cr": "date_stop"}, {"type": "string", "child": false, "field": "id", "name_cr": "id"}, {"type": "string", "child": false, "field": "order_date", "name_cr": "order_date"}, {"type": "string", "child": false, "field": "order_number", "name_cr": "order_number"}, {"type": "string", "child": false, "field": "parent_id", "name_cr": "parent_id"}, {"type": "string", "child": false, "field": "position_name", "name_cr": "position_name"}, {"type": "string", "child": false, "field": "position_name_ru", "name_cr": "position_name_ru"}, {"type": "string", "child": false, "field": "structure_name", "name_cr": "structure_name"}, {"type": "string", "child": false, "field": "structure_name_ru", "name_cr": "structure_name_ru"}, {"type": "string", "child": false, "field": "work_type", "name_cr": "work_type"}, {"type": "string", "child": false, "field": "kodp_pn", "name_cr": "kodp_pn"}, {"type": "string", "child": false, "field": "kodp_nskz_code", "name_cr": "kodp_nskz_code"}, {"type": "string", "child": false, "field": "kodp_personal_category", "name_cr": "kodp_personal_category"}, {"type": "string", "child": false, "field": "kodp_min_education", "name_cr": "kodp_min_education"}, {"type": "string", "child": false, "field": "classifier_name_uz", "name_cr": "classifier_name_uz"}, {"type": "string", "child": false, "field": "classifier_name_ru", "name_cr": "classifier_name_ru"}]}</t>
  </si>
  <si>
    <t>“ERP” tizimidagi o‘qituvchi pedagoglar to‘g‘risidagi ma’lumotlar.</t>
  </si>
  <si>
    <t>“ЕРП” тизимидаги ўқитувчи педагоглар тўғрисидаги маълумотлар</t>
  </si>
  <si>
    <t>{"params": [{"type": "string", "child": false, "field": "organizationoblast", "name_cr": "organizationoblast", "name_en": "organizationoblast", "name_ru": "organizationoblast", "name_uz": "organizationoblast"}, {"type": "string", "child": false, "field": "organizationregion", "name_cr": "organizationregion", "name_en": "organizationregion", "name_ru": "organizationregion", "name_uz": "organizationregion"}, {"type": "string", "child": false, "field": "organizationaddress", "name_cr": "organizationaddress", "name_en": "organizationaddress", "name_ru": "organizationaddress", "name_uz": "organizationaddress"}, {"type": "string", "child": false, "field": "id", "name_cr": "id", "name_en": "id", "name_ru": "id", "name_uz": "id"}, {"type": "string", "child": false, "field": "organizationname", "name_cr": "organizationname", "name_en": "organizationname", "name_ru": "organizationname", "name_uz": "organizationname"}, {"type": "string", "child": false, "field": "organizationinn", "name_cr": "organizationinn", "name_en": "organizationinn", "name_ru": "organizationinn", "name_uz": "organizationinn"}, {"type": "string", "child": false, "field": "pinfl", "name_cr": "pinfl", "name_en": "pinfl", "name_ru": "pinfl", "name_uz": "pinfl"}, {"type": "string", "child": false, "field": "pasportsn", "name_cr": "pasportsn", "name_en": "pasportsn", "name_ru": "pasportsn", "name_uz": "pasportsn"}, {"type": "string", "child": false, "field": "familyname", "name_cr": "familyname", "name_en": "familyname", "name_ru": "familyname", "name_uz": "familyname"}, {"type": "string", "child": false, "field": "firstname", "name_cr": "firstname", "name_en": "firstname", "name_ru": "firstname", "name_uz": "firstname"}, {"type": "string", "child": false, "field": "lastname", "name_cr": "lastname", "name_en": "lastname", "name_ru": "lastname", "name_uz": "lastname"}, {"type": "string", "child": false, "field": "liveoblastname", "name_cr": "liveoblastname", "name_en": "liveoblastname", "name_ru": "liveoblastname", "name_uz": "liveoblastname"}, {"type": "string", "child": false, "field": "liveregionname", "name_cr": "liveregionname", "name_en": "liveregionname", "name_ru": "liveregionname", "name_uz": "liveregionname"}, {"type": "string", "child": false, "field": "adress", "name_cr": "adress", "name_en": "adress", "name_ru": "adress", "name_uz": "adress"}, {"type": "string", "child": false, "field": "contractdate", "name_cr": "contractdate", "name_en": "contractdate", "name_ru": "contractdate", "name_uz": "contractdate"}, {"type": "string", "child": false, "field": "qualcategory", "name_cr": "qualcategory", "name_en": "qualcategory", "name_ru": "qualcategory", "name_uz": "qualcategory"}, {"type": "string", "child": false, "field": "employmentrate", "name_cr": "employmentrate", "name_en": "employmentrate", "name_ru": "employmentrate", "name_uz": "employmentrate"}, {"type": "string", "child": false, "field": "positionname", "name_cr": "positionname", "name_en": "positionname", "name_ru": "positionname", "name_uz": "positionname"}, {"type": "list", "child": true, "field": "qualificationcategory", "name_cr": "qualificationcategory", "name_en": "qualificationcategory", "name_ru": "qualificationcategory", "name_uz": "qualificationcategory", "children": [{"type": "string", "child": false, "field": "docnumber", "name_cr": "docnumber", "name_en": "docnumber", "name_ru": "docnumber", "name_uz": "docnumber"}, {"type": "string", "child": false, "field": "docdate", "name_cr": "docdate", "name_en": "docdate", "name_ru": "docdate", "name_uz": "docdate"}, {"type": "string", "child": false, "field": "startdate", "name_cr": "startdate", "name_en": "startdate", "name_ru": "startdate", "name_uz": "startdate"}, {"type": "string", "child": false, "field": "enddate", "name_cr": "enddate", "name_en": "enddate", "name_ru": "enddate", "name_uz": "enddate"}]}]}</t>
  </si>
  <si>
    <t>Trenerlarga berilgan malaka sertifikati bo‘yicha ma’lumotlar.</t>
  </si>
  <si>
    <t>Trenerlarga berilgan malaka sertifikati bo‘yicha ma’lumotlar</t>
  </si>
  <si>
    <t>{"params": [{"type": "string", "child": false, "field": "oblastname", "name_cr": "oblastname", "name_en": "oblastname", "name_ru": "oblastname", "name_uz": "oblastname"}, {"type": "string", "child": false, "field": "regionname", "name_cr": "regionname", "name_en": "regionname", "name_ru": "regionname", "name_uz": "regionname"}, {"type": "string", "child": false, "field": "adress", "name_cr": "adress", "name_en": "adress", "name_ru": "adress", "name_uz": "adress"}, {"type": "string", "child": false, "field": "id", "name_cr": "id", "name_en": "id", "name_ru": "id", "name_uz": "id"}, {"type": "string", "child": false, "field": "pinfl", "name_cr": "pinfl", "name_en": "pinfl", "name_ru": "pinfl", "name_uz": "pinfl"}, {"type": "string", "child": false, "field": "pasportsn", "name_cr": "pasportsn", "name_en": "pasportsn", "name_ru": "pasportsn", "name_uz": "pasportsn"}, {"type": "string", "child": false, "field": "familyname", "name_cr": "familyname", "name_en": "familyname", "name_ru": "familyname", "name_uz": "familyname"}, {"type": "string", "child": false, "field": "firstname", "name_cr": "firstname", "name_en": "firstname", "name_ru": "firstname", "name_uz": "firstname"}, {"type": "string", "child": false, "field": "lastname", "name_cr": "lastname", "name_en": "lastname", "name_ru": "lastname", "name_uz": "lastname"}, {"type": "string", "child": false, "field": "sporttypeclassifiername", "name_cr": "sporttypeclassifiername", "name_en": "sporttypeclassifiername", "name_ru": "sporttypeclassifiername", "name_uz": "sporttypeclassifiername"}, {"type": "string", "child": false, "field": "hascertificate", "name_cr": "hascertificate", "name_en": "hascertificate", "name_ru": "hascertificate", "name_uz": "hascertificate"}, {"type": "string", "child": false, "field": "certificatesn", "name_cr": "certificatesn", "name_en": "certificatesn", "name_ru": "certificatesn", "name_uz": "certificatesn"}, {"type": "string", "child": false, "field": "certificategivendate", "name_cr": "certificategivendate", "name_en": "certificategivendate", "name_ru": "certificategivendate", "name_uz": "certificategivendate"}, {"type": "string", "child": false, "field": "certificateexpiredate", "name_cr": "certificateexpiredate", "name_en": "certificateexpiredate", "name_ru": "certificateexpiredate", "name_uz": "certificateexpiredate"}, {"type": "string", "child": false, "field": "qualificationcategoryname", "name_cr": "qualificationcategoryname", "name_en": "qualificationcategoryname", "name_ru": "qualificationcategoryname", "name_uz": "qualificationcategoryname"}, {"type": "string", "child": false, "field": "certificateissuedorganization", "name_cr": "certificateissuedorganization", "name_en": "certificateissuedorganization", "name_ru": "certificateissuedorganization", "name_uz": "certificateissuedorganization"}]}</t>
  </si>
  <si>
    <t>Hakamlarga berilgan malaka sertifikati bo‘yicha ma’lumotlar</t>
  </si>
  <si>
    <t>Instruktor-metodestlar to‘g‘risidagi ma’lumotlar.</t>
  </si>
  <si>
    <t>Инструктор-методестлар тўғрисидаги маълумотлар</t>
  </si>
  <si>
    <t>Sudiyalar to‘g‘risidagi ma’lumotlar.</t>
  </si>
  <si>
    <t>Судиялар тўғрисидаги маълумотлар</t>
  </si>
  <si>
    <t>{"params": [{"type": "string", "child": false, "field": "oblastname", "name_cr": "oblastname", "name_en": "oblastname", "name_ru": "oblastname", "name_uz": "oblastname"}, {"type": "string", "child": false, "field": "regionname", "name_cr": "regionname", "name_en": "regionname", "name_ru": "regionname", "name_uz": "regionname"}, {"type": "string", "child": false, "field": "adress", "name_cr": "adress", "name_en": "adress", "name_ru": "adress", "name_uz": "adress"}, {"type": "string", "child": false, "field": "id", "name_cr": "id", "name_en": "id", "name_ru": "id", "name_uz": "id"}, {"type": "string", "child": false, "field": "pinfl", "name_cr": "pinfl", "name_en": "pinfl", "name_ru": "pinfl", "name_uz": "pinfl"}, {"type": "string", "child": false, "field": "pasportsn", "name_cr": "pasportsn", "name_en": "pasportsn", "name_ru": "pasportsn", "name_uz": "pasportsn"}, {"type": "string", "child": false, "field": "familyname", "name_cr": "familyname", "name_en": "familyname", "name_ru": "familyname", "name_uz": "familyname"}, {"type": "string", "child": false, "field": "firstname", "name_cr": "firstname", "name_en": "firstname", "name_ru": "firstname", "name_uz": "firstname"}, {"type": "string", "child": false, "field": "lastname", "name_cr": "lastname", "name_en": "lastname", "name_ru": "lastname", "name_uz": "lastname"}, {"type": "string", "child": false, "field": "sporttypeclassifiername", "name_cr": "sporttypeclassifiername", "name_en": "sporttypeclassifiername", "name_ru": "sporttypeclassifiername", "name_uz": "sporttypeclassifiername"}, {"type": "string", "child": false, "field": "hascertificate", "name_cr": "hascertificate", "name_en": "hascertificate", "name_ru": "hascertificate", "name_uz": "hascertificate"}, {"type": "string", "child": false, "field": "certificatesn", "name_cr": "certificatesn", "name_en": "certificatesn", "name_ru": "certificatesn", "name_uz": "certificatesn"}, {"type": "string", "child": false, "field": "certificategivendate", "name_cr": "certificategivendate", "name_en": "certificategivendate", "name_ru": "certificategivendate", "name_uz": "certificategivendate"}, {"type": "string", "child": false, "field": "certificateexpiredate", "name_cr": "certificateexpiredate", "name_en": "certificateexpiredate", "name_ru": "certificateexpiredate", "name_uz": "certificateexpiredate"}, {"type": "string", "child": false, "field": "qualificationcategoryname", "name_cr": "qualificationcategoryname", "name_en": "qualificationcategoryname", "name_ru": "qualificationcategoryname", "name_uz": "qualificationcategoryname"}, {"type": "string", "child": false, "field": "certificateissuedorganization", "name_cr": "certificateissuedorganization", "name_en": "certificateissuedorganization", "name_ru": "certificateissuedorganization", "name_uz": "certificateissuedorganization"}, {"type": "string", "child": false, "field": "studentcount", "name_cr": "studentcount", "name_en": "studentcount", "name_ru": "studentcount", "name_uz": "studentcount"}, {"type": "string", "child": false, "field": "organizationname", "name_cr": "organizationname", "name_en": "organizationname", "name_ru": "organizationname", "name_uz": "organizationname"}]}</t>
  </si>
  <si>
    <t>8. Банк</t>
  </si>
  <si>
    <t>Bank Malumotlarini yuklash</t>
  </si>
  <si>
    <t>bank.{table_name}</t>
  </si>
  <si>
    <t>Bank xodimlarining yaqin qarindoshlarining ko'chmas mulklarini yig'ish</t>
  </si>
  <si>
    <t>bank.cadastr</t>
  </si>
  <si>
    <t>https://maspd:19030/api/info-all</t>
  </si>
  <si>
    <t>Bank xodimlarining yaqin qarindoshlarining transportlarini yig'ish</t>
  </si>
  <si>
    <t>bank.car_information</t>
  </si>
  <si>
    <t>https://mspd:19022/api/v2/account-chamber/car-search-06-method</t>
  </si>
  <si>
    <t>9. УзСтандарт</t>
  </si>
  <si>
    <t>Ҳисобга олиш приборлари ва ускуналарининг қиёслов ва метрологик кўриги тўғрисида маълумот олиш</t>
  </si>
  <si>
    <t>uzstandart.devices_certificate</t>
  </si>
  <si>
    <t>http://mspd:19002/api/investitsiya/devices-certificate</t>
  </si>
  <si>
    <t>Маиший ҳисоблагичларни давлат қиёсловидан ўтказилганлиги ҳақидаги маълумот олиш</t>
  </si>
  <si>
    <t>uzstandart.devices_two_certificate</t>
  </si>
  <si>
    <t>http://mspd:19027/api/investitsiya/devices-two-certificate</t>
  </si>
  <si>
    <t>"Э-Аккредитация" oрган ва лабораториялар ҳақида маълумотлар. (Ўзбекистон техник жиҳатдан тартибга со</t>
  </si>
  <si>
    <t>uzstandart.e_accreditation</t>
  </si>
  <si>
    <t>https://akkred.uz:8081/main/registries</t>
  </si>
  <si>
    <t>Маҳсулотнинг мувофиқлик сертификати маълумотлар олиш</t>
  </si>
  <si>
    <t>uzstandart.product_certifications</t>
  </si>
  <si>
    <t>http://mspd:19027/api/investment/certificate</t>
  </si>
  <si>
    <t>Узстандарт базасидан Аккредитация буйича маълумот олиш</t>
  </si>
  <si>
    <t>uzstandart.registries</t>
  </si>
  <si>
    <t>10. Божхона</t>
  </si>
  <si>
    <t>Bojxona Export</t>
  </si>
  <si>
    <t>bojxona.export</t>
  </si>
  <si>
    <t>http://10.190.0.118:8889/api/get-form1</t>
  </si>
  <si>
    <t>1 йилдан кўп оралиқни киритиш мумкин эмас ( 365 кундан ортиқ киритилиши мумкин эмас )</t>
  </si>
  <si>
    <t>{"params": [{"type": "string", "child": false, "field": "g7a", "name_cr": "Пост коди", "name_en": "g7a", "name_ru": "Код поста", "name_uz": "Пост коди"}, {"type": "string", "child": false, "field": "g7b", "name_cr": "БЮД санаси", "name_en": "g7b", "name_ru": "Дата ГТД", "name_uz": "БЮД санаси"}, {"type": "string", "child": false, "field": "g7c", "name_cr": "БЮД тартиб рақами", "name_en": "g7c", "name_ru": "Порядковый номер ГТД", "name_uz": "БЮД тартиб рақами"}, {"type": "string", "child": false, "field": "rejim", "name_cr": "Режим", "name_en": "rejim", "name_ru": "Режим", "name_uz": "Режим"}, {"type": "string", "child": false, "field": "g43", "name_cr": "Мақсади", "name_en": "g43", "name_ru": "Цель", "name_uz": "Мақсади"}, {"type": "string", "child": false, "field": "inn", "name_cr": "СТИР", "name_en": "inn", "name_ru": "ИНН", "name_uz": "СТИР"}, {"type": "string", "child": false, "field": "g2name", "name_cr": "Юк жўнатувчи", "name_en": "g2name", "name_ru": "Отправитель", "name_uz": "Юк жўнатувчи"}, {"type": "string", "child": false, "field": "g8name", "name_cr": "Юк қабул қилувчи", "name_en": "g8name", "name_ru": "Получатель", "name_uz": "Юк қабул қилувчи"}, {"type": "string", "child": false, "field": "g22a", "name_cr": "Шартнома валютаси коди", "name_en": "g22a", "name_ru": "Валюта контракта", "name_uz": "Шартнома валютаси коди"}, {"type": "string", "child": false, "field": "g32", "name_cr": "Товар тартиб рақами", "name_en": "g32", "name_ru": "Номер товара", "name_uz": "Товар тартиб рақами"}, {"type": "string", "child": false, "field": "g33", "name_cr": "ТИФ ТН коди", "name_en": "g33", "name_ru": "Код ТН ВЭД", "name_uz": "ТИФ ТН коди"}, {"type": "string", "child": false, "field": "g31name", "name_cr": "Товар номи", "name_en": "g31name", "name_ru": "Наименование товара", "name_uz": "Товар номи"}, {"type": "string", "child": false, "field": "g38", "name_cr": "Нетто вазн, кг", "name_en": "g38", "name_ru": "Вес нетто, кг", "name_uz": "Нетто вазн, кг"}, {"type": "string", "child": false, "field": "g46", "name_cr": "Статистик қиймат (минг доллар)", "name_en": "g46", "name_ru": "Стат. стоимость (тыс. дол)", "name_uz": "Статистик қиймат (минг доллар)"}, {"type": "string", "child": false, "field": "g42", "name_cr": "Фактура қиймати (шартнома валютасида)", "name_en": "g42", "name_ru": "Фактурная стоимость (в валюте контракта)", "name_uz": "Фактура қиймати (шартнома валютасида)"}, {"type": "string", "child": false, "field": "g31amount", "name_cr": "Товар миқдори", "name_en": "g31amount", "name_ru": "Количество товара", "name_uz": "Товар миқдори"}, {"type": "string", "child": false, "field": "g41", "name_cr": "Қўшимча ўлчов бирлиги", "name_en": "g41", "name_ru": "Доп ед. измерения", "name_uz": "Қўшимча ўлчов бирлиги"}, {"type": "string", "child": false, "field": "g17", "name_cr": "Келиб тушадиган мамлакат", "name_en": "g17", "name_ru": "Страна назначения", "name_uz": "Келиб тушадиган мамлакат"}, {"type": "string", "child": false, "field": "g34", "name_cr": "Ишлаб чиқарилган мамлакат", "name_en": "g34", "name_ru": "Код страны происхождения", "name_uz": "Ишлаб чиқарилган мамлакат"}, {"type": "string", "child": false, "field": "g11", "name_cr": "Савдо қилинаётган мамлакат", "name_en": "g11", "name_ru": "Торгующая страна", "name_uz": "Савдо қилинаётган мамлакат"}, {"type": "string", "child": false, "field": "g23", "name_cr": "Шартнома валютаси курси", "name_en": "g23", "name_ru": "Курс валюты", "name_uz": "Шартнома валютаси курси"}, {"type": "string", "child": false, "field": "g23scale", "name_cr": "Валюта бирлиги", "name_en": "g23scale", "name_ru": "отношения к национальной валюте", "name_uz": "Валюта бирлиги"}, {"type": "string", "child": false, "field": "g13", "name_cr": "АҚШ доллари курси", "name_en": "g13", "name_ru": "Курс доллара", "name_uz": "АҚШ доллари курси"}, {"type": "string", "child": false, "field": "gdvipdate", "name_cr": "Расмийлаштирилган сана", "name_en": "gdvipdate", "name_ru": "Дата оформление", "name_uz": "Расмийлаштирилган сана"}]}</t>
  </si>
  <si>
    <t>Bojxona Import</t>
  </si>
  <si>
    <t>bojxona.import_data</t>
  </si>
  <si>
    <t>http://10.190.0.118:8889/api/get-form2</t>
  </si>
  <si>
    <t>{"params": [{"type": "string", "child": false, "field": "g7a", "name_cr": "g7a", "name_en": "g7a", "name_ru": "g7a", "name_uz": "g7a"}, {"type": "string", "child": false, "field": "g7b", "name_cr": "g7b", "name_en": "g7b", "name_ru": "g7b", "name_uz": "g7b"}, {"type": "string", "child": false, "field": "g7c", "name_cr": "g7c", "name_en": "g7c", "name_ru": "g7c", "name_uz": "g7c"}, {"type": "string", "child": false, "field": "rejim", "name_cr": "rejim", "name_en": "rejim", "name_ru": "rejim", "name_uz": "rejim"}, {"type": "string", "child": false, "field": "g37", "name_cr": "g37", "name_en": "g37", "name_ru": "g37", "name_uz": "g37"}, {"type": "string", "child": false, "field": "g43", "name_cr": "g43", "name_en": "g43", "name_ru": "g43", "name_uz": "g43"}, {"type": "string", "child": false, "field": "inn", "name_cr": "inn", "name_en": "inn", "name_ru": "inn", "name_uz": "inn"}, {"type": "string", "child": false, "field": "g2name", "name_cr": "g2name", "name_en": "g2name", "name_ru": "g2name", "name_uz": "g2name"}, {"type": "string", "child": false, "field": "g8name", "name_cr": "g8name", "name_en": "g8name", "name_ru": "g8name", "name_uz": "g8name"}, {"type": "string", "child": false, "field": "g22a", "name_cr": "g22a", "name_en": "g22a", "name_ru": "g22a", "name_uz": "g22a"}, {"type": "string", "child": false, "field": "g42", "name_cr": "g42", "name_en": "g42", "name_ru": "g42", "name_uz": "g42"}, {"type": "string", "child": false, "field": "g32", "name_cr": "g32", "name_en": "g32", "name_ru": "g32", "name_uz": "g32"}, {"type": "string", "child": false, "field": "g33", "name_cr": "g33", "name_en": "g33", "name_ru": "g33", "name_uz": "g33"}, {"type": "string", "child": false, "field": "g31name", "name_cr": "g31name", "name_en": "g31name", "name_ru": "g31name", "name_uz": "g31name"}, {"type": "string", "child": false, "field": "g38", "name_cr": "g38", "name_en": "g38", "name_ru": "g38", "name_uz": "g38"}, {"type": "string", "child": false, "field": "g46", "name_cr": "g46", "name_en": "g46", "name_ru": "g46", "name_uz": "g46"}, {"type": "string", "child": false, "field": "g45", "name_cr": "g45", "name_en": "g45", "name_ru": "g45", "name_uz": "g45"}, {"type": "string", "child": false, "field": "g31amount", "name_cr": "g31amount", "name_en": "g31amount", "name_ru": "g31amount", "name_uz": "g31amount"}, {"type": "string", "child": false, "field": "g41", "name_cr": "g41", "name_en": "g41", "name_ru": "g41", "name_uz": "g41"}, {"type": "string", "child": false, "field": "g17", "name_cr": "g17", "name_en": "g17", "name_ru": "g17", "name_uz": "g17"}, {"type": "string", "child": false, "field": "g34", "name_cr": "g34", "name_en": "g34", "name_ru": "g34", "name_uz": "g34"}, {"type": "string", "child": false, "field": "g11", "name_cr": "g11", "name_en": "g11", "name_ru": "g11", "name_uz": "g11"}, {"type": "string", "child": false, "field": "g23", "name_cr": "g23", "name_en": "g23", "name_ru": "g23", "name_uz": "g23"}, {"type": "string", "child": false, "field": "g23scale", "name_cr": "g23scale", "name_en": "g23scale", "name_ru": "g23scale", "name_uz": "g23scale"}, {"type": "string", "child": false, "field": "g13", "name_cr": "g13", "name_en": "g13", "name_ru": "g13", "name_uz": "g13"}, {"type": "string", "child": false, "field": "pay20", "name_cr": "pay20", "name_en": "pay20", "name_ru": "pay20", "name_uz": "pay20"}, {"type": "string", "child": false, "field": "pay27", "name_cr": "pay27", "name_en": "pay27", "name_ru": "pay27", "name_uz": "pay27"}, {"type": "string", "child": false, "field": "pay29", "name_cr": "pay29", "name_en": "pay29", "name_ru": "pay29", "name_uz": "pay29"}, {"type": "string", "child": false, "field": "otherPay", "name_cr": "otherPay", "name_en": "otherPay", "name_ru": "otherPay", "name_uz": "otherPay"}, {"type": "string", "child": false, "field": "gdvipdate", "name_cr": "gdvipdate", "name_en": "gdvipdate", "name_ru": "gdvipdate", "name_uz": "gdvipdate"}]}</t>
  </si>
  <si>
    <t>bojxona.ombor</t>
  </si>
  <si>
    <t>http://10.190.0.118:8889/api/get-form4</t>
  </si>
  <si>
    <t>{"params": [{"type": "string", "child": false, "field": "g7a", "name_cr": "g7a", "name_en": "g7a", "name_ru": "g7a", "name_uz": "g7a"}, {"type": "string", "child": false, "field": "g7b", "name_cr": "g7b", "name_en": "g7b", "name_ru": "g7b", "name_uz": "g7b"}, {"type": "string", "child": false, "field": "g7c", "name_cr": "g7c", "name_en": "g7c", "name_ru": "g7c", "name_uz": "g7c"}, {"type": "string", "child": false, "field": "g1a", "name_cr": "g1a", "name_en": "g1a", "name_ru": "g1a", "name_uz": "g1a"}, {"type": "string", "child": false, "field": "g1b", "name_cr": "g1b", "name_en": "g1b", "name_ru": "g1b", "name_uz": "g1b"}, {"type": "string", "child": false, "field": "g8name", "name_cr": "g8name", "name_en": "g8name", "name_ru": "g8name", "name_uz": "g8name"}, {"type": "string", "child": false, "field": "g8code2", "name_cr": "g8code2", "name_en": "g8code2", "name_ru": "g8code2", "name_uz": "g8code2"}, {"type": "string", "child": false, "field": "g54date", "name_cr": "g54date", "name_en": "g54date", "name_ru": "g54date", "name_uz": "g54date"}, {"type": "string", "child": false, "field": "g32", "name_cr": "g32", "name_en": "g32", "name_ru": "g32", "name_uz": "g32"}, {"type": "string", "child": false, "field": "g31name", "name_cr": "g31name", "name_en": "g31name", "name_ru": "g31name", "name_uz": "g31name"}, {"type": "string", "child": false, "field": "g33", "name_cr": "g33", "name_en": "g33", "name_ru": "g33", "name_uz": "g33"}, {"type": "string", "child": false, "field": "g38", "name_cr": "g38", "name_en": "g38", "name_ru": "g38", "name_uz": "g38"}, {"type": "string", "child": false, "field": "g31amount", "name_cr": "g31amount", "name_en": "g31amount", "name_ru": "g31amount", "name_uz": "g31amount"}, {"type": "string", "child": false, "field": "g41", "name_cr": "g41", "name_en": "g41", "name_ru": "g41", "name_uz": "g41"}, {"type": "string", "child": false, "field": "g46", "name_cr": "g46", "name_en": "g46", "name_ru": "g46", "name_uz": "g46"}]}</t>
  </si>
  <si>
    <t>Bojxona to'lovlar</t>
  </si>
  <si>
    <t>bojxona.payments</t>
  </si>
  <si>
    <t>http://10.190.0.118:8889/api/get-form3</t>
  </si>
  <si>
    <t>{"params": [{"type": "string", "child": false, "field": "gtd", "name_cr": "БЮД рақами", "name_en": "gtd", "name_ru": "Номер ГТД", "name_uz": "БЮД рақами"}, {"type": "string", "child": false, "field": "g7a", "name_cr": "Пост коди", "name_en": "g7a", "name_ru": "Код поста", "name_uz": "Пост коди"}, {"type": "string", "child": false, "field": "g7b", "name_cr": "БЮД санаси", "name_en": "g7b", "name_ru": "Дата ГТД", "name_uz": "БЮД санаси"}, {"type": "string", "child": false, "field": "g7c", "name_cr": "БЮД рақами", "name_en": "g7c", "name_ru": "Номер ГТД", "name_uz": "БЮД рақами"}, {"type": "string", "child": false, "field": "rejim", "name_cr": "Режим", "name_en": "rejim", "name_ru": "Режим", "name_uz": "Режим"}, {"type": "string", "child": false, "field": "g37", "name_cr": "Процедура", "name_en": "g37", "name_ru": "Процедура", "name_uz": "Процедура"}, {"type": "string", "child": false, "field": "g43", "name_cr": "Мақсади", "name_en": "g43", "name_ru": "Цель", "name_uz": "Мақсади"}, {"type": "string", "child": false, "field": "inn", "name_cr": "СТИР", "name_en": "inn", "name_ru": "ИНН", "name_uz": "СТИР"}, {"type": "string", "child": false, "field": "g2name", "name_cr": "Юк жўнатувчи", "name_en": "g2name", "name_ru": "Отправитель", "name_uz": "Юк жўнатувчи"}, {"type": "string", "child": false, "field": "g8name", "name_cr": "Юк қабул қилувчи", "name_en": "g8name", "name_ru": "Получатель", "name_uz": "Юк қабул қилувчи"}, {"type": "string", "child": false, "field": "g14code2", "name_cr": "Брокер СТИР", "name_en": "g14code2", "name_ru": "ИНН брокера", "name_uz": "Брокер СТИР"}, {"type": "string", "child": false, "field": "g14name", "name_cr": "Брокер", "name_en": "g14name", "name_ru": "Брокер", "name_uz": "Брокер"}, {"type": "string", "child": false, "field": "g9code2", "name_cr": "СТИР", "name_en": "g9code2", "name_ru": "ИНН", "name_uz": "СТИР"}, {"type": "string", "child": false, "field": "g9name", "name_cr": "Молиявий тартибга солиш учун жавобгар шахс", "name_en": "g9name", "name_ru": "Лицо, ответственное за финансовое урегулирование", "name_uz": "Молиявий тартибга солиш учун жавобгар шахс"}, {"type": "string", "child": false, "field": "g22a", "name_cr": "g22a", "name_en": "g22a", "name_ru": "g22a", "name_uz": "g22a"}, {"type": "string", "child": false, "field": "g42", "name_cr": "g42", "name_en": "g42", "name_ru": "g42", "name_uz": "g42"}, {"type": "string", "child": false, "field": "g32", "name_cr": "g32", "name_en": "g32", "name_ru": "g32", "name_uz": "g32"}, {"type": "string", "child": false, "field": "g33", "name_cr": "g33", "name_en": "g33", "name_ru": "g33", "name_uz": "g33"}, {"type": "string", "child": false, "field": "g31name", "name_cr": "g31name", "name_en": "g31name", "name_ru": "g31name", "name_uz": "g31name"}, {"type": "string", "child": false, "field": "g38", "name_cr": "g38", "name_en": "g38", "name_ru": "g38", "name_uz": "g38"}, {"type": "string", "child": false, "field": "g35", "name_cr": "g35", "name_en": "g35", "name_ru": "g35", "name_uz": "g35"}, {"type": "string", "child": false, "field": "g46", "name_cr": "g46", "name_en": "g46", "name_ru": "g46", "name_uz": "g46"}, {"type": "string", "child": false, "field": "g45", "name_cr": "g45", "name_en": "g45", "name_ru": "g45", "name_uz": "g45"}, {"type": "string", "child": false, "field": "g31amount", "name_cr": "g31amount", "name_en": "g31amount", "name_ru": "g31amount", "name_uz": "g31amount"}, {"type": "string", "child": false, "field": "g41", "name_cr": "g41", "name_en": "g41", "name_ru": "g41", "name_uz": "g41"}, {"type": "string", "child": false, "field": "g20b", "name_cr": "g20b", "name_en": "g20b", "name_ru": "g20b", "name_uz": "g20b"}, {"type": "string", "child": false, "field": "g20name", "name_cr": "g20name", "name_en": "g20name", "name_ru": "g20name", "name_uz": "g20name"}, {"type": "string", "child": false, "field": "g20a", "name_cr": "g20a", "name_en": "g20a", "name_ru": "g20a", "name_uz": "g20a"}, {"type": "string", "child": false, "field": "g17", "name_cr": "g17", "name_en": "g17", "name_ru": "g17", "name_uz": "g17"}, {"type": "string", "child": false, "field": "g34", "name_cr": "g34", "name_en": "g34", "name_ru": "g34", "name_uz": "g34"}, {"type": "string", "child": false, "field": "g11", "name_cr": "g11", "name_en": "g11", "name_ru": "g11", "name_uz": "g11"}, {"type": "string", "child": false, "field": "g23", "name_cr": "g23", "name_en": "g23", "name_ru": "g23", "name_uz": "g23"}, {"type": "string", "child": false, "field": "g23scale", "name_cr": "g23scale", "name_en": "g23scale", "name_ru": "g23scale", "name_uz": "g23scale"}, {"type": "string", "child": false, "field": "g13", "name_cr": "g13", "name_en": "g13", "name_ru": "g13", "name_uz": "g13"}, {"type": "string", "child": false, "field": "pay20Lgot", "name_cr": "pay20Lgot", "name_en": "pay20Lgot", "name_ru": "pay20Lgot", "name_uz": "pay20Lgot"}, {"type": "string", "child": false, "field": "pay27Lgot", "name_cr": "pay27Lgot", "name_en": "pay27Lgot", "name_ru": "pay27Lgot", "name_uz": "pay27Lgot"}, {"type": "string", "child": false, "field": "pay29Lgot", "name_cr": "pay29Lgot", "name_en": "pay29Lgot", "name_ru": "pay29Lgot", "name_uz": "pay29Lgot"}, {"type": "string", "child": false, "field": "otherPayLgot", "name_cr": "otherPayLgot", "name_en": "otherPayLgot", "name_ru": "otherPayLgot", "name_uz": "otherPayLgot"}, {"type": "string", "child": false, "field": "pay20", "name_cr": "pay20", "name_en": "pay20", "name_ru": "pay20", "name_uz": "pay20"}, {"type": "string", "child": false, "field": "pay27", "name_cr": "pay27", "name_en": "pay27", "name_ru": "pay27", "name_uz": "pay27"}, {"type": "string", "child": false, "field": "pay29", "name_cr": "pay29", "name_en": "pay29", "name_ru": "pay29", "name_uz": "pay29"}, {"type": "string", "child": false, "field": "otherPay", "name_cr": "otherPay", "name_en": "otherPay", "name_ru": "otherPay", "name_uz": "otherPay"}, {"type": "list", "child": true, "field": "docNoLgot", "name_cr": "docNoLgot", "name_en": "docNoLgot", "name_ru": "docNoLgot", "name_uz": "docNoLgot", "children": [{"type": "string", "child": false, "field": "docNo", "name_cr": "docNo", "name_en": "docNo", "name_ru": "docNo", "name_uz": "docNo"}]}, {"type": "string", "child": false, "field": "gdvipdate", "name_cr": "gdvipdate", "name_en": "gdvipdate", "name_ru": "gdvipdate", "name_uz": "gdvipdate"}, {"type": "string", "child": false, "field": "sfer", "name_cr": "sfer", "name_en": "sfer", "name_ru": "sfer", "name_uz": "sfer"}, {"type": "string", "child": false, "field": "gcodinves", "name_cr": "gcodinves", "name_en": "gcodinves", "name_ru": "gcodinves", "name_uz": "gcodinves"}, {"type": "string", "child": false, "field": "gdocno", "name_cr": "gdocno", "name_en": "gdocno", "name_ru": "gdocno", "name_uz": "gdocno"}, {"type": "string", "child": false, "field": "gdcodate", "name_cr": "gdcodate", "name_en": "gdcodate", "name_ru": "gdcodate", "name_uz": "gdcodate"}, {"type": "string", "child": false, "field": "gidn", "name_cr": "gidn", "name_en": "gidn", "name_ru": "gidn", "name_uz": "gidn"}]}</t>
  </si>
  <si>
    <t>11. Бандлик вазирлиги</t>
  </si>
  <si>
    <t>O'lganlar haqida malumot olish</t>
  </si>
  <si>
    <t>employement.died_person</t>
  </si>
  <si>
    <t>Yammt dan mehnat shartnomlarini olish</t>
  </si>
  <si>
    <t>employement.employee_history</t>
  </si>
  <si>
    <t>Ташкилотлар кесимида жисмоний шахсларнинг меҳнат фаолияти тўғрисида маълумотлар</t>
  </si>
  <si>
    <t>{"params": [{"type": "string", "child": false, "field": "id", "name_cr": "id", "name_en": "id", "name_ru": "id", "name_uz": "id"}, {"type": "string", "child": false, "field": "company_profile_name", "name_cr": "company_profile_name", "name_en": "company_profile_name", "name_ru": "company_profile_name", "name_uz": "company_profile_name"}, {"type": "string", "child": false, "field": "company_tin", "name_cr": "company_tin", "name_en": "company_tin", "name_ru": "company_tin", "name_uz": "company_tin"}, {"type": "string", "child": false, "field": "pinfl", "name_cr": "pinfl", "name_en": "pinfl", "name_ru": "pinfl", "name_uz": "pinfl"}, {"type": "string", "child": false, "field": "full_name", "name_cr": "full_name", "name_en": "full_name", "name_ru": "full_name", "name_uz": "full_name"}, {"type": "string", "child": false, "field": "date_start", "name_cr": "date_start", "name_en": "date_start", "name_ru": "date_start", "name_uz": "date_start"}, {"type": "string", "child": false, "field": "date_stop", "name_cr": "date_stop", "name_en": "date_stop", "name_ru": "date_stop", "name_uz": "date_stop"}, {"type": "string", "child": false, "field": "order_date", "name_cr": "order_date", "name_en": "order_date", "name_ru": "order_date", "name_uz": "order_date"}, {"type": "string", "child": false, "field": "birth_date", "name_cr": "birth_date", "name_en": "birth_date", "name_ru": "birth_date", "name_uz": "birth_date"}, {"type": "string", "child": false, "field": "order_number", "name_cr": "order_number", "name_en": "order_number", "name_ru": "order_number", "name_uz": "order_number"}, {"type": "string", "child": false, "field": "parent_id", "name_cr": "parent_id", "name_en": "parent_id", "name_ru": "parent_id", "name_uz": "parent_id"}, {"type": "string", "child": false, "field": "position_name", "name_cr": "position_name", "name_en": "position_name", "name_ru": "position_name", "name_uz": "position_name"}, {"type": "string", "child": false, "field": "position_name_ru", "name_cr": "position_name_ru", "name_en": "position_name_ru", "name_ru": "position_name_ru", "name_uz": "position_name_ru"}, {"type": "string", "child": false, "field": "kodp_pn", "name_cr": "kodp_pn", "name_en": "kodp_pn", "name_ru": "kodp_pn", "name_uz": "kodp_pn"}, {"type": "string", "child": false, "field": "kodp_nskz_code", "name_cr": "kodp_nskz_code", "name_en": "kodp_nskz_code", "name_ru": "kodp_nskz_code", "name_uz": "kodp_nskz_code"}, {"type": "string", "child": false, "field": "kodp_personal_category", "name_cr": "kodp_personal_category", "name_en": "kodp_personal_category", "name_ru": "kodp_personal_category", "name_uz": "kodp_personal_category"}, {"type": "string", "child": false, "field": "structure_name", "name_cr": "structure_name", "name_en": "structure_name", "name_ru": "structure_name", "name_uz": "structure_name"}, {"type": "string", "child": false, "field": "structure_name_ru", "name_cr": "structure_name_ru", "name_en": "structure_name_ru", "name_ru": "structure_name_ru", "name_uz": "structure_name_ru"}, {"type": "string", "child": false, "field": "work_type", "name_cr": "work_type", "name_en": "work_type", "name_ru": "work_type", "name_uz": "work_type"}, {"type": "string", "child": false, "field": "classifier_name_uz", "name_cr": "classifier_name_uz", "name_en": "classifier_name_uz", "name_ru": "classifier_name_uz", "name_uz": "classifier_name_uz"}, {"type": "string", "child": false, "field": "classifier_name_ru", "name_cr": "classifier_name_ru", "name_en": "classifier_name_ru", "name_ru": "classifier_name_ru", "name_uz": "classifier_name_ru"}, {"type": "string", "child": false, "field": "kodp_min_education", "name_cr": "kodp_min_education", "name_en": "kodp_min_education", "name_ru": "kodp_min_education", "name_uz": "kodp_min_education"}, {"type": "string", "child": false, "field": "created_at", "name_cr": "created_at", "name_en": "created_at", "name_ru": "created_at", "name_uz": "created_at"}]}</t>
  </si>
  <si>
    <t>Hunarmandlar</t>
  </si>
  <si>
    <t>https://hunar.uz/api/accounts-chamber/get-hunarmand</t>
  </si>
  <si>
    <t>Ўзбекистон Республикаси “Ҳунарманд” уюшмаси</t>
  </si>
  <si>
    <t>{"params": [{"type": "string", "child": false, "field": "id", "name_cr": "id", "name_en": "id", "name_ru": "id", "name_uz": "id"}, {"type": "string", "child": false, "field": "registration_date", "name_cr": "registration_date", "name_en": "registration_date", "name_ru": "registration_date", "name_uz": "registration_date"}, {"type": "string", "child": false, "field": "tin", "name_cr": "tin", "name_en": "tin", "name_ru": "tin", "name_uz": "tin"}, {"type": "string", "child": false, "field": "pinfl", "name_cr": "pinfl", "name_en": "pinfl", "name_ru": "pinfl", "name_uz": "pinfl"}, {"type": "string", "child": false, "field": "fio", "name_cr": "fio", "name_en": "fio", "name_ru": "fio", "name_uz": "fio"}, {"type": "string", "child": false, "field": "a_region_soato", "name_cr": "a_region_soato", "name_en": "a_region_soato", "name_ru": "a_region_soato", "name_uz": "a_region_soato"}, {"type": "string", "child": false, "field": "a_sub_region_soatoio", "name_cr": "a_sub_region_soatoio", "name_en": "a_sub_region_soatoio", "name_ru": "a_sub_region_soatoio", "name_uz": "a_sub_region_soatoio"}, {"type": "string", "child": false, "field": "a_village_soato", "name_cr": "a_village_soato", "name_en": "a_village_soato", "name_ru": "a_village_soato", "name_uz": "a_village_soato"}, {"type": "string", "child": false, "field": "home_region_soato", "name_cr": "home_region_soato", "name_en": "home_region_soato", "name_ru": "home_region_soato", "name_uz": "home_region_soato"}, {"type": "string", "child": false, "field": "home_sub_region_soato", "name_cr": "home_sub_region_soato", "name_en": "home_sub_region_soato", "name_ru": "home_sub_region_soato", "name_uz": "home_sub_region_soato"}, {"type": "string", "child": false, "field": "mahalla", "name_cr": "mahalla", "name_en": "mahalla", "name_ru": "mahalla", "name_uz": "mahalla"}, {"type": "string", "child": false, "field": "home_street", "name_cr": "home_street", "name_en": "home_street", "name_ru": "home_street", "name_uz": "home_street"}, {"type": "string", "child": false, "field": "activity_type", "name_cr": "activity_type", "name_en": "activity_type", "name_ru": "activity_type", "name_uz": "activity_type"}, {"type": "string", "child": false, "field": "expiry_date", "name_cr": "expiry_date", "name_en": "expiry_date", "name_ru": "expiry_date", "name_uz": "expiry_date"}, {"type": "string", "child": false, "field": "birthday", "name_cr": "birthday", "name_en": "birthday", "name_ru": "birthday", "name_uz": "birthday"}, {"type": "string", "child": false, "field": "nationality", "name_cr": "nationality", "name_en": "nationality", "name_ru": "nationality", "name_uz": "nationality"}, {"type": "string", "child": false, "field": "phones", "name_cr": "phones", "name_en": "phones", "name_ru": "phones", "name_uz": "phones"}, {"type": "string", "child": false, "field": "passport_serial", "name_cr": "passport_serial", "name_en": "passport_serial", "name_ru": "passport_serial", "name_uz": "passport_serial"}]}</t>
  </si>
  <si>
    <t>Hunarmamnd Shogirtlar</t>
  </si>
  <si>
    <t>https://hunar.uz/api/accounts-chamber/get-student</t>
  </si>
  <si>
    <t>Шогирд реестр тўғрисида маълумотлар</t>
  </si>
  <si>
    <t>{"params": [{"type": "string", "child": false, "field": "id", "name_cr": "id", "name_en": "id", "name_ru": "id", "name_uz": "id"}, {"type": "string", "child": false, "field": "passport_serial", "name_cr": "passport_serial", "name_en": "passport_serial", "name_ru": "passport_serial", "name_uz": "passport_serial"}, {"type": "string", "child": false, "field": "tin", "name_cr": "tin", "name_en": "tin", "name_ru": "tin", "name_uz": "tin"}, {"type": "string", "child": false, "field": "pinfl", "name_cr": "pinfl", "name_en": "pinfl", "name_ru": "pinfl", "name_uz": "pinfl"}, {"type": "string", "child": false, "field": "fio", "name_cr": "fio", "name_en": "fio", "name_ru": "fio", "name_uz": "fio"}, {"type": "string", "child": false, "field": "phones", "name_cr": "phones", "name_en": "phones", "name_ru": "phones", "name_uz": "phones"}, {"type": "string", "child": false, "field": "nationality", "name_cr": "nationality", "name_en": "nationality", "name_ru": "nationality", "name_uz": "nationality"}, {"type": "string", "child": false, "field": "home_region_soato", "name_cr": "home_region_soato", "name_en": "home_region_soato", "name_ru": "home_region_soato", "name_uz": "home_region_soato"}, {"type": "string", "child": false, "field": "home_sub_region_soato", "name_cr": "home_sub_region_soato", "name_en": "home_sub_region_soato", "name_ru": "home_sub_region_soato", "name_uz": "home_sub_region_soato"}, {"type": "string", "child": false, "field": "home_address", "name_cr": "home_address", "name_en": "home_address", "name_ru": "home_address", "name_uz": "home_address"}, {"type": "string", "child": false, "field": "birthday", "name_cr": "birthday", "name_en": "birthday", "name_ru": "birthday", "name_uz": "birthday"}, {"type": "string", "child": false, "field": "registration_date", "name_cr": "registration_date", "name_en": "registration_date", "name_ru": "registration_date", "name_uz": "registration_date"}, {"type": "string", "child": false, "field": "is_tax_payed", "name_cr": "is_tax_payed", "name_en": "is_tax_payed", "name_ru": "is_tax_payed", "name_uz": "is_tax_payed"}, {"type": "string", "child": false, "field": "mahalla", "name_cr": "mahalla", "name_en": "mahalla", "name_ru": "mahalla", "name_uz": "mahalla"}, {"type": "string", "child": false, "field": "master_id", "name_cr": "master_id", "name_en": "master_id", "name_ru": "master_id", "name_uz": "master_id"}, {"type": "string", "child": false, "field": "master_tin", "name_cr": "master_tin", "name_en": "master_tin", "name_ru": "master_tin", "name_uz": "master_tin"}, {"type": "string", "child": false, "field": "master_pinfl", "name_cr": "master_pinfl", "name_en": "master_pinfl", "name_ru": "master_pinfl", "name_uz": "master_pinfl"}, {"type": "string", "child": false, "field": "master_fio", "name_cr": "master_fio", "name_en": "master_fio", "name_ru": "master_fio", "name_uz": "master_fio"}, {"type": "string", "child": false, "field": "master_phones", "name_cr": "master_phones", "name_en": "master_phones", "name_ru": "master_phones", "name_uz": "master_phones"}, {"type": "string", "child": false, "field": "master_nationality", "name_cr": "master_nationality", "name_en": "master_nationality", "name_ru": "master_nationality", "name_uz": "master_nationality"}, {"type": "string", "child": false, "field": "master_home_region_soato", "name_cr": "master_home_region_soato", "name_en": "master_home_region_soato", "name_ru": "master_home_region_soato", "name_uz": "master_home_region_soato"}, {"type": "string", "child": false, "field": "master_home_sub_region_soato", "name_cr": "master_home_sub_region_soato", "name_en": "master_home_sub_region_soato", "name_ru": "master_home_sub_region_soato", "name_uz": "master_home_sub_region_soato"}, {"type": "string", "child": false, "field": "master_activity_type", "name_cr": "master_activity_type", "name_en": "master_activity_type", "name_ru": "master_activity_type", "name_uz": "master_activity_type"}]}</t>
  </si>
  <si>
    <t>Mehnat daftarini olish</t>
  </si>
  <si>
    <t>https://10.190.10.74/api/accounting-chamber/citizen/get-experiences/by-pinfl</t>
  </si>
  <si>
    <t>{"params": [{"type": "string", "child": false, "field": "company_profile_name", "name_cr": "company_profile_name", "name_en": "company_profile_name", "name_ru": "company_profile_name", "name_uz": "company_profile_name"}, {"type": "string", "child": false, "field": "company_tin", "name_cr": "company_tin", "name_en": "company_tin", "name_ru": "company_tin", "name_uz": "company_tin"}, {"type": "string", "child": false, "field": "passport", "name_cr": "passport", "name_en": "passport", "name_ru": "passport", "name_uz": "passport"}, {"type": "string", "child": false, "field": "pin", "name_cr": "pin", "name_en": "pin", "name_ru": "pin", "name_uz": "pin"}, {"type": "string", "child": false, "field": "person_tin", "name_cr": "person_tin", "name_en": "person_tin", "name_ru": "person_tin", "name_uz": "person_tin"}, {"type": "string", "child": false, "field": "full_name", "name_cr": "full_name", "name_en": "full_name", "name_ru": "full_name", "name_uz": "full_name"}, {"type": "string", "child": false, "field": "date_start", "name_cr": "date_start", "name_en": "date_start", "name_ru": "date_start", "name_uz": "date_start"}, {"type": "string", "child": false, "field": "date_stop", "name_cr": "date_stop", "name_en": "date_stop", "name_ru": "date_stop", "name_uz": "date_stop"}, {"type": "string", "child": false, "field": "order_date", "name_cr": "order_date", "name_en": "order_date", "name_ru": "order_date", "name_uz": "order_date"}, {"type": "string", "child": false, "field": "birth_date", "name_cr": "birth_date", "name_en": "birth_date", "name_ru": "birth_date", "name_uz": "birth_date"}, {"type": "string", "child": false, "field": "order_number", "name_cr": "order_number", "name_en": "order_number", "name_ru": "order_number", "name_uz": "order_number"}, {"type": "string", "child": false, "field": "position_name", "name_cr": "position_name", "name_en": "position_name", "name_ru": "position_name", "name_uz": "position_name"}, {"type": "string", "child": false, "field": "structure_name", "name_cr": "structure_name", "name_en": "structure_name", "name_ru": "structure_name", "name_uz": "structure_name"}, {"type": "string", "child": false, "field": "region_soato", "name_cr": "region_soato", "name_en": "region_soato", "name_ru": "region_soato", "name_uz": "region_soato"}, {"type": "string", "child": false, "field": "city_soato", "name_cr": "city_soato", "name_en": "city_soato", "name_ru": "city_soato", "name_uz": "city_soato"}, {"type": "string", "child": false, "field": "rate", "name_cr": "rate", "name_en": "rate", "name_ru": "rate", "name_uz": "rate"}, {"type": "string", "child": false, "field": "city_name", "name_cr": "city_name", "name_en": "city_name", "name_ru": "city_name", "name_uz": "city_name"}, {"type": "string", "child": false, "field": "region_name", "name_cr": "region_name", "name_en": "region_name", "name_ru": "region_name", "name_uz": "region_name"}]}</t>
  </si>
  <si>
    <t>Hunarmand turistlar</t>
  </si>
  <si>
    <t>https://hunar.uz/api/accounts-chamber/get-tourist</t>
  </si>
  <si>
    <t>{"params": [{"type": "string", "child": false, "field": "turist_id", "name_cr": "turist_id", "name_en": "turist_id", "name_ru": "turist_id", "name_uz": "turist_id"}, {"type": "string", "child": false, "field": "turist_created_at", "name_cr": "turist_created_at", "name_en": "turist_created_at", "name_ru": "turist_created_at", "name_uz": "turist_created_at"}, {"type": "string", "child": false, "field": "id", "name_cr": "id", "name_en": "id", "name_ru": "id", "name_uz": "id"}, {"type": "string", "child": false, "field": "registration_date", "name_cr": "registration_date", "name_en": "registration_date", "name_ru": "registration_date", "name_uz": "registration_date"}, {"type": "string", "child": false, "field": "tin", "name_cr": "tin", "name_en": "tin", "name_ru": "tin", "name_uz": "tin"}, {"type": "string", "child": false, "field": "pinfl", "name_cr": "pinfl", "name_en": "pinfl", "name_ru": "pinfl", "name_uz": "pinfl"}, {"type": "string", "child": false, "field": "fio", "name_cr": "fio", "name_en": "fio", "name_ru": "fio", "name_uz": "fio"}, {"type": "string", "child": false, "field": "a_region_soato", "name_cr": "a_region_soato", "name_en": "a_region_soato", "name_ru": "a_region_soato", "name_uz": "a_region_soato"}, {"type": "string", "child": false, "field": "a_sub_region_soato", "name_cr": "a_sub_region_soato", "name_en": "a_sub_region_soato", "name_ru": "a_sub_region_soato", "name_uz": "a_sub_region_soato"}, {"type": "string", "child": false, "field": "a_village_soato", "name_cr": "a_village_soato", "name_en": "a_village_soato", "name_ru": "a_village_soato", "name_uz": "a_village_soato"}, {"type": "string", "child": false, "field": "home_region_soato", "name_cr": "home_region_soato", "name_en": "home_region_soato", "name_ru": "home_region_soato", "name_uz": "home_region_soato"}, {"type": "string", "child": false, "field": "home_sub_region_soato", "name_cr": "home_sub_region_soato", "name_en": "home_sub_region_soato", "name_ru": "home_sub_region_soato", "name_uz": "home_sub_region_soato"}, {"type": "string", "child": false, "field": "mahalla", "name_cr": "mahalla", "name_en": "mahalla", "name_ru": "mahalla", "name_uz": "mahalla"}, {"type": "string", "child": false, "field": "home_street", "name_cr": "home_street", "name_en": "home_street", "name_ru": "home_street", "name_uz": "home_street"}, {"type": "string", "child": false, "field": "activity_type", "name_cr": "activity_type", "name_en": "activity_type", "name_ru": "activity_type", "name_uz": "activity_type"}, {"type": "string", "child": false, "field": "expiry_date", "name_cr": "expiry_date", "name_en": "expiry_date", "name_ru": "expiry_date", "name_uz": "expiry_date"}, {"type": "string", "child": false, "field": "birthday", "name_cr": "birthday", "name_en": "birthday", "name_ru": "birthday", "name_uz": "birthday"}, {"type": "string", "child": false, "field": "phones", "name_cr": "phones", "name_en": "phones", "name_ru": "phones", "name_uz": "phones"}]}</t>
  </si>
  <si>
    <t>12. Ҳудуд газ</t>
  </si>
  <si>
    <t>hgt-org-customers</t>
  </si>
  <si>
    <t>gaz_elektr.gaz_main_data</t>
  </si>
  <si>
    <t>http://10.190.7.43:8192/hgt-org-customers</t>
  </si>
  <si>
    <t>"Ҳудудгазтаъминот" АЖ</t>
  </si>
  <si>
    <t>Улгуржи истеъмолчилар ҳисоблагичлари ва уларнинг фойдаланган газ ҳажмлари тўғрисидаги маълумотларни олиш</t>
  </si>
  <si>
    <t>{"params": [{"type": "string", "child": false, "field": "id", "name_cr": "ID", "name_en": "ID", "name_ru": "ID", "name_uz": "ID"}, {"type": "string", "child": false, "field": "customer_code", "name_cr": "Ҳисоб рақами", "name_en": "Ҳисоб рақами", "name_ru": "Ҳисоб рақами", "name_uz": "Ҳисоб рақами"}, {"type": "string", "child": false, "field": "contract_number", "name_cr": "Шартнома рақами", "name_en": "Шартнома рақами", "name_ru": "Шартнома рақами", "name_uz": "Шартнома рақами"}, {"type": "string", "child": false, "field": "contract_date", "name_cr": "Шартнома санаси", "name_en": "Шартнома санаси", "name_ru": "Шартнома санаси", "name_uz": "Шартнома санаси"}, {"type": "string", "child": false, "field": "name", "name_cr": "Ташкилот номи", "name_en": "Ташкилот номи", "name_ru": "Ташкилот номи", "name_uz": "Ташкилот номи"}, {"type": "string", "child": false, "field": "director", "name_cr": "Раҳбар ФИШ", "name_en": "Раҳбар ФИШ", "name_ru": "Раҳбар ФИШ", "name_uz": "Раҳбар ФИШ"}, {"type": "string", "child": false, "field": "regions_id", "name_cr": "Ҳудуд IDси", "name_en": "Ҳудуд IDси", "name_ru": "Ҳудуд IDси", "name_uz": "Ҳудуд IDси"}, {"type": "string", "child": false, "field": "regions_name", "name_cr": "Ҳудуд номи", "name_en": "Ҳудуд номи", "name_ru": "Ҳудуд номи", "name_uz": "Ҳудуд номи"}, {"type": "string", "child": false, "field": "areas_id", "name_cr": "Туман IDси", "name_en": "Туман IDси", "name_ru": "Туман IDси", "name_uz": "Туман IDси"}, {"type": "string", "child": false, "field": "areas_name", "name_cr": "Туман номи", "name_en": "Туман номи", "name_ru": "Туман номи", "name_uz": "Туман номи"}, {"type": "string", "child": false, "field": "address", "name_cr": "Манзил", "name_en": "Манзил", "name_ru": "Манзил", "name_uz": "Манзил"}, {"type": "string", "child": false, "field": "inn", "name_cr": "СТИР", "name_en": "СТИР", "name_ru": "СТИР", "name_uz": "СТИР"}, {"type": "string", "child": false, "field": "phone", "name_cr": "Телефон", "name_en": "Телефон", "name_ru": "Телефон", "name_uz": "Телефон"}, {"type": "string", "child": false, "field": "period", "name_cr": "Ҳисоб-китоб даври", "name_en": "Ҳисоб-китоб даври", "name_ru": "Ҳисоб-китоб даври", "name_uz": "Ҳисоб-китоб даври"}, {"type": "string", "child": false, "field": "saldo_in", "name_cr": "Ой бошига қарздорлик", "name_en": "Ой бошига қарздорлик", "name_ru": "Ой бошига қарздорлик", "name_uz": "Ой бошига қарздорлик"}, {"type": "string", "child": false, "field": "current_balance", "name_cr": "Жорий қолдиқ", "name_en": "Жорий қолдиқ", "name_ru": "Жорий қолдиқ", "name_uz": "Жорий қолдиқ"}, {"type": "string", "child": false, "field": "gas_limit", "name_cr": "Газ бўйича лимит", "name_en": "Газ бўйича лимит", "name_ru": "Газ бўйича лимит", "name_uz": "Газ бўйича лимит"}, {"type": "string", "child": false, "field": "gas_consume", "name_cr": "Газ истеъмоли", "name_en": "Газ истеъмоли", "name_ru": "Газ истеъмоли", "name_uz": "Газ истеъмоли"}, {"type": "string", "child": false, "field": "gas_overlimit", "name_cr": "Лимитдан ортиқча газ истеъмоли", "name_en": "Лимитдан ортиқча газ истеъмоли", "name_ru": "Лимитдан ортиқча газ истеъмоли", "name_uz": "Лимитдан ортиқча газ истеъмоли"}, {"type": "string", "child": false, "field": "accrual_total", "name_cr": "Жами ҳисобланган сумма", "name_en": "Жами ҳисобланган сумма", "name_ru": "Жами ҳисобланган сумма", "name_uz": "Жами ҳисобланган сумма"}, {"type": "string", "child": false, "field": "accrual_overlimit", "name_cr": "Лимитдан ортиқча газ учун  ҳисобланган сумма", "name_en": "Лимитдан ортиқча газ учун  ҳисобланган сумма", "name_ru": "Лимитдан ортиқча газ учун  ҳисобланган сумма", "name_uz": "Лимитдан ортиқча газ учун  ҳисобланган сумма"}, {"type": "string", "child": false, "field": "payment_total", "name_cr": "Жами тўланган сумма", "name_en": "Жами тўланган сумма", "name_ru": "Жами тўланган сумма", "name_uz": "Жами тўланган сумма"}, {"type": "string", "child": false, "field": "payment_munis", "name_cr": "Мунис тўлов сумма", "name_en": "Мунис тўлов сумма", "name_ru": "Мунис тўлов сумма", "name_uz": "Мунис тўлов сумма"}, {"type": "string", "child": false, "field": "payment_transfer", "name_cr": "Пул ўтқазма тўлов сумма", "name_en": "Пул ўтқазма тўлов сумма", "name_ru": "Пул ўтқазма тўлов сумма", "name_uz": "Пул ўтқазма тўлов сумма"}, {"type": "string", "child": false, "field": "act", "name_cr": "Далолатнома суммаси", "name_en": "Далолатнома суммаси", "name_ru": "Далолатнома суммаси", "name_uz": "Далолатнома суммаси"}, {"type": "string", "child": false, "field": "saldo_out", "name_cr": "Давр охирига қарздорлик", "name_en": "Давр охирига қарздорлик", "name_ru": "Давр охирига қарздорлик", "name_uz": "Давр охирига қарздорлик"}, {"type": "list", "child": true, "field": "consumers", "name_cr": "Истеъмолчилар", "name_en": "Истеъмолчилар", "name_ru": "Истеъмолчилар", "name_uz": "Истеъмолчилар", "children": [{"type": "string", "child": false, "field": "id", "name_cr": "ID", "name_en": "ID", "name_ru": "ID", "name_uz": "ID"}, {"type": "string", "child": false, "field": "name", "name_cr": "Ташкилот номи", "name_en": "Ташкилот номи", "name_ru": "Ташкилот номи", "name_uz": "Ташкилот номи"}, {"type": "string", "child": false, "field": "regions_id", "name_cr": "Ҳудуд IDси", "name_en": "Ҳудуд IDси", "name_ru": "Ҳудуд IDси", "name_uz": "Ҳудуд IDси"}, {"type": "string", "child": false, "field": "regions_name", "name_cr": "Ҳудуд номи", "name_en": "Ҳудуд номи", "name_ru": "Ҳудуд номи", "name_uz": "Ҳудуд номи"}, {"type": "string", "child": false, "field": "areas_id", "name_cr": "Туман IDси", "name_en": "Туман IDси", "name_ru": "Туман IDси", "name_uz": "Туман IDси"}, {"type": "string", "child": false, "field": "areas_name", "name_cr": "Туман номи", "name_en": "Туман номи", "name_ru": "Туман номи", "name_uz": "Туман номи"}, {"type": "string", "child": false, "field": "address", "name_cr": "Манзил", "name_en": "Манзил", "name_ru": "Манзил", "name_uz": "Манзил"}, {"type": "string", "child": false, "field": "tariff", "name_cr": "Тариф суммаси", "name_en": "Тариф суммаси", "name_ru": "Тариф суммаси", "name_uz": "Тариф суммаси"}, {"type": "string", "child": false, "field": "gas_consume", "name_cr": "Газ истеъмоли", "name_en": "Газ истеъмоли", "name_ru": "Газ истеъмоли", "name_uz": "Газ истеъмоли"}]}]}</t>
  </si>
  <si>
    <t>uztransgaz.device_data</t>
  </si>
  <si>
    <t>https://emcapi.utg.uz/api/v3/archive/daily</t>
  </si>
  <si>
    <t>"Узтрансгаз" АЖ</t>
  </si>
  <si>
    <t>ЭР ва ТЖХАБ тизими томонидан газ етказиб берилган хўжалик юритувчи субъектлар тўғрисида маълумот (кунлик)</t>
  </si>
  <si>
    <t>{"params": [{"type": "string", "child": false, "field": "requestedDate", "name_cr": "Ҳисоблагич кўрсаткичи санаси", "name_en": "Ҳисоблагич кўрсаткичи санаси", "name_ru": "Ҳисоблагич кўрсаткичи санаси", "name_uz": "Ҳисоблагич кўрсаткичи санаси"}, {"type": "int", "child": false, "field": "valuesCount", "name_cr": "Юборилган қийматлар сони", "name_en": "Юборилган қийматлар сони", "name_ru": "Юборилган қийматлар сони", "name_uz": "Юборилган қийматлар сони"}, {"type": "string", "child": false, "field": "pointCode", "name_cr": "Объектнинг уникал рақами", "name_en": "Объектнинг уникал рақами", "name_ru": "Объектнинг уникал рақами", "name_uz": "Объектнинг уникал рақами"}, {"type": "int", "child": false, "field": "pointId", "name_cr": "Ҳисоблагич ID си", "name_en": "Ҳисоблагич ID си", "name_ru": "Ҳисоблагич ID си", "name_uz": "Ҳисоблагич ID си"}, {"type": "string", "child": false, "field": "deviceSerialNumber", "name_cr": "Ҳисоблагичнинг завод рақами", "name_en": "Ҳисоблагичнинг завод рақами", "name_ru": "Ҳисоблагичнинг завод рақами", "name_uz": "Ҳисоблагичнинг завод рақами"}, {"type": "string", "child": false, "field": "deviceType", "name_cr": "Ҳисоблагич тури", "name_en": "Ҳисоблагич тури", "name_ru": "Ҳисоблагич тури", "name_uz": "Ҳисоблагич тури"}, {"type": "list", "child": true, "field": "values", "name_cr": "Қийматлар", "name_en": "Қийматлар", "name_ru": "Қийматлар", "name_uz": "Қийматлар", "children": [{"type": "string", "child": false, "field": "timestamp", "name_cr": "Ҳисоблагич кўрсатгич санаси", "name_en": "Ҳисоблагич кўрсатгич санаси", "name_ru": "Ҳисоблагич кўрсатгич санаси", "name_uz": "Ҳисоблагич кўрсатгич санаси"}, {"type": "string", "child": false, "field": "differentialPressure", "name_cr": "Ҳисоблагичдаги босим-нинг дефференциал кўрсаткичи (1440 дақиқа dP (Па))", "name_en": "Ҳисоблагичдаги босим-нинг дефференциал кўрсаткичи (1440 дақиқа dP (Па))", "name_ru": "Ҳисоблагичдаги босим-нинг дефференциал кўрсаткичи (1440 дақиқа dP (Па))", "name_uz": "Ҳисоблагичдаги босим-нинг дефференциал кўрсаткичи (1440 дақиқа dP (Па))"}, {"type": "string", "child": false, "field": "pressure", "name_cr": "Ҳисоблагичдаги босим-нинг кўрсаткичи (1440 дақиқа dP (Па))", "name_en": "Ҳисоблагичдаги босим-нинг кўрсаткичи (1440 дақиқа dP (Па))", "name_ru": "Ҳисоблагичдаги босим-нинг кўрсаткичи (1440 дақиқа dP (Па))", "name_uz": "Ҳисоблагичдаги босим-нинг кўрсаткичи (1440 дақиқа dP (Па))"}, {"type": "string", "child": false, "field": "temperature", "name_cr": "Ҳисоблагичдаги ҳарорат (1440 дақиқа Т (С))", "name_en": "Ҳисоблагичдаги ҳарорат (1440 дақиқа Т (С))", "name_ru": "Ҳисоблагичдаги ҳарорат (1440 дақиқа Т (С))", "name_uz": "Ҳисоблагичдаги ҳарорат (1440 дақиқа Т (С))"}, {"type": "string", "child": false, "field": "volume", "name_cr": "Ҳисоблагичдан ўтган газ ҳажми (1440 дақиқа Q (м3))", "name_en": "Ҳисоблагичдан ўтган газ ҳажми (1440 дақиқа Q (м3))", "name_ru": "Ҳисоблагичдан ўтган газ ҳажми (1440 дақиқа Q (м3))", "name_uz": "Ҳисоблагичдан ўтган газ ҳажми (1440 дақиқа Q (м3))"}, {"type": "string", "child": false, "field": "accountingTime", "name_cr": "Газ ҳисоблагичнинг ишлаш вақти (соат)", "name_en": "Газ ҳисоблагичнинг ишлаш вақти (соат)", "name_ru": "Газ ҳисоблагичнинг ишлаш вақти (соат)", "name_uz": "Газ ҳисоблагичнинг ишлаш вақти (соат)"}]}]}</t>
  </si>
  <si>
    <t>#ЭР ва ТЖХАБТ мавжуд хисобга олиш пунктлари тўғрисидаги маълумот (pointId) олиш</t>
  </si>
  <si>
    <t>uztransgaz.point_ids</t>
  </si>
  <si>
    <t>https://emcapi.utg.uz/api/v3/points/ids</t>
  </si>
  <si>
    <t>#ЭР ва ТЖХАБТ томонидан газ оқими ҳисобини юритувчи ўлчов ҳисоблагичлари тўғрисида маълумот</t>
  </si>
  <si>
    <t>uztransgaz.points_info</t>
  </si>
  <si>
    <t>https://emcapi.utg.uz/api/v3/point</t>
  </si>
  <si>
    <t>13. Экология</t>
  </si>
  <si>
    <t>#“Кон ишларини ривожлантириш йиллик # режалари”да қазиб олиниши кутилаётган фойдали қазилмаларнинг ч</t>
  </si>
  <si>
    <t>http://geoservice.uz/api/v1/hp/fourth-table</t>
  </si>
  <si>
    <t>Тоғ-кон саноати ва геология вазирлиги</t>
  </si>
  <si>
    <t>“Кон ишларини ривожлантириш йиллик режалари”да қазиб олиниши кутилаётган фойдали қазилмаларнинг чораклар кесимидаги ҳажмлари</t>
  </si>
  <si>
    <t>{"params": [{"type": "string", "child": false, "field": "id", "name_cr": "id", "name_en": "id", "name_ru": "id", "name_uz": "id"}, {"type": "string", "child": false, "field": "region_id", "name_cr": "region_id", "name_en": "region_id", "name_ru": "region_id", "name_uz": "region_id"}, {"type": "string", "child": false, "field": "district_id", "name_cr": "district_id", "name_en": "district_id", "name_ru": "district_id", "name_uz": "district_id"}, {"type": "string", "child": false, "field": "region_name", "name_cr": "region_name", "name_en": "region_name", "name_ru": "region_name", "name_uz": "region_name"}, {"type": "string", "child": false, "field": "district_name", "name_cr": "district_name", "name_en": "district_name", "name_ru": "district_name", "name_uz": "district_name"}, {"type": "string", "child": false, "field": "name", "name_cr": "name", "name_en": "name", "name_ru": "name", "name_uz": "name"}, {"type": "string", "child": false, "field": "tin", "name_cr": "tin", "name_en": "tin", "name_ru": "tin", "name_uz": "tin"}, {"type": "string", "child": false, "field": "bground_name", "name_cr": "bground_name", "name_en": "bground_name", "name_ru": "bground_name", "name_uz": "bground_name"}, {"type": "string", "child": false, "field": "bground_address", "name_cr": "bground_address", "name_en": "bground_address", "name_ru": "bground_address", "name_uz": "bground_address"}, {"type": "string", "child": false, "field": "product_name", "name_cr": "product_name", "name_en": "product_name", "name_ru": "product_name", "name_uz": "product_name"}, {"type": "string", "child": false, "field": "unit", "name_cr": "unit", "name_en": "unit", "name_ru": "unit", "name_uz": "unit"}, {"type": "string", "child": false, "field": "volume", "name_cr": "volume", "name_en": "volume", "name_ru": "volume", "name_uz": "volume"}, {"type": "string", "child": false, "field": "remainder", "name_cr": "remainder", "name_en": "remainder", "name_ru": "remainder", "name_uz": "remainder"}, {"type": "string", "child": false, "field": "remainder_end", "name_cr": "remainder_end", "name_en": "remainder_end", "name_ru": "remainder_end", "name_uz": "remainder_end"}]}</t>
  </si>
  <si>
    <t>Ер қаъри участкаларидан фойдаланувчилар томонидан йиллик қазиб олинган # фойдали қазилмалар ҳажмлари</t>
  </si>
  <si>
    <t>http://geoservice.uz/api/v1/hp/second-table</t>
  </si>
  <si>
    <t>Ер қаъри участкаларидан фойдаланувчилар томонидан йиллик қазиб олинган  фойдали қазилмалар ҳажмлари</t>
  </si>
  <si>
    <t>Ер қаъри участкаларидан фойдаланувчилар томонидан йиллик қазиб олинган  фойдали қазилмалар ҳажмлари тўғрисидаги маълумотлар</t>
  </si>
  <si>
    <t>{"params": [{"type": "string", "child": false, "field": "id", "name_cr": "id", "name_en": "id", "name_ru": "id", "name_uz": "id"}, {"type": "string", "child": false, "field": "region", "name_cr": "region", "name_en": "region", "name_ru": "region", "name_uz": "region"}, {"type": "string", "child": false, "field": "region_name", "name_cr": "region_name", "name_en": "region_name", "name_ru": "region_name", "name_uz": "region_name"}, {"type": "string", "child": false, "field": "district", "name_cr": "district", "name_en": "district", "name_ru": "district", "name_uz": "district"}, {"type": "string", "child": false, "field": "district_name", "name_cr": "district_name", "name_en": "district_name", "name_ru": "district_name", "name_uz": "district_name"}, {"type": "string", "child": false, "field": "name", "name_cr": "name", "name_en": "name", "name_ru": "name", "name_uz": "name"}, {"type": "string", "child": false, "field": "tin", "name_cr": "tin", "name_en": "tin", "name_ru": "tin", "name_uz": "tin"}, {"type": "string", "child": false, "field": "bground_name", "name_cr": "bground_name", "name_en": "bground_name", "name_ru": "bground_name", "name_uz": "bground_name"}, {"type": "string", "child": false, "field": "bground_address", "name_cr": "bground_address", "name_en": "bground_address", "name_ru": "bground_address", "name_uz": "bground_address"}, {"type": "string", "child": false, "field": "product_name", "name_cr": "product_name", "name_en": "product_name", "name_ru": "product_name", "name_uz": "product_name"}, {"type": "string", "child": false, "field": "unit", "name_cr": "unit", "name_en": "unit", "name_ru": "unit", "name_uz": "unit"}, {"type": "string", "child": false, "field": "volume", "name_cr": "volume", "name_en": "volume", "name_ru": "volume", "name_uz": "volume"}, {"type": "string", "child": false, "field": "remainder", "name_cr": "remainder", "name_en": "remainder", "name_ru": "remainder", "name_uz": "remainder"}, {"type": "string", "child": false, "field": "remainder_end", "name_cr": "remainder_end", "name_en": "remainder_end", "name_ru": "remainder_end", "name_uz": "remainder_end"}]}</t>
  </si>
  <si>
    <t>Qum shag'al excel eksport</t>
  </si>
  <si>
    <t>geo_eco.tax_qum_shagal</t>
  </si>
  <si>
    <t>Ер ости сувларидан фойдаланувчи тадбиркорлик субъектлари ва олинган сув ҳажми тўғрисидаги маълумотла</t>
  </si>
  <si>
    <t>http://geoservice.uz/api/v1/hp/third-table</t>
  </si>
  <si>
    <t>Ер ости сувларидан фойдаланувчи тадбиркорлик субъектлари ва олинган сув ҳажми</t>
  </si>
  <si>
    <t>Ер ости сувларидан фойдаланувчи тадбиркорлик субъектлари ва олинган сув ҳажми тўғрисидаги маълумотлар</t>
  </si>
  <si>
    <t>{"params": [{"type": "string", "child": false, "field": "id", "name_cr": "id", "name_en": "id", "name_ru": "id", "name_uz": "id"}, {"type": "string", "child": false, "field": "region_id", "name_cr": "region_id", "name_en": "region_id", "name_ru": "region_id", "name_uz": "region_id"}, {"type": "string", "child": false, "field": "district_id", "name_cr": "district_id", "name_en": "district_id", "name_ru": "district_id", "name_uz": "district_id"}, {"type": "string", "child": false, "field": "region_name", "name_cr": "region_name", "name_en": "region_name", "name_ru": "region_name", "name_uz": "region_name"}, {"type": "string", "child": false, "field": "district_name", "name_cr": "district_name", "name_en": "district_name", "name_ru": "district_name", "name_uz": "district_name"}, {"type": "string", "child": false, "field": "name", "name_cr": "name", "name_en": "name", "name_ru": "name", "name_uz": "name"}, {"type": "string", "child": false, "field": "tin", "name_cr": "tin", "name_en": "tin", "name_ru": "tin", "name_uz": "tin"}, {"type": "string", "child": false, "field": "lic_date", "name_cr": "lic_date", "name_en": "lic_date", "name_ru": "lic_date", "name_uz": "lic_date"}, {"type": "string", "child": false, "field": "lic_num", "name_cr": "lic_num", "name_en": "lic_num", "name_ru": "lic_num", "name_uz": "lic_num"}, {"type": "string", "child": false, "field": "lic_period", "name_cr": "lic_period", "name_en": "lic_period", "name_ru": "lic_period", "name_uz": "lic_period"}, {"type": "string", "child": false, "field": "wather_pur", "name_cr": "wather_pur", "name_en": "wather_pur", "name_ru": "wather_pur", "name_uz": "wather_pur"}, {"type": "string", "child": false, "field": "wather_dlim", "name_cr": "wather_dlim", "name_en": "wather_dlim", "name_ru": "wather_dlim", "name_uz": "wather_dlim"}, {"type": "string", "child": false, "field": "wather_ylim", "name_cr": "wather_ylim", "name_en": "wather_ylim", "name_ru": "wather_ylim", "name_uz": "wather_ylim"}, {"type": "string", "child": false, "field": "wather_all", "name_cr": "wather_all", "name_en": "wather_all", "name_ru": "wather_all", "name_uz": "wather_all"}, {"type": "string", "child": false, "field": "diff", "name_cr": "diff", "name_en": "diff", "name_ru": "diff", "name_uz": "diff"}]}</t>
  </si>
  <si>
    <t>Ер қаъри участкаларидан фойдаланиш ҳуқуқи учун лицензия берилганлиги, # уларнинг амал қилиши вақтинч</t>
  </si>
  <si>
    <t>http://geoservice.uz/api/v1/hp/first-table</t>
  </si>
  <si>
    <t>Тоғ-кон саноати ва геология вазирлиги томонидан тақдим этилган</t>
  </si>
  <si>
    <t>{"params": [{"type": "string", "child": false, "field": "id", "name_cr": "id", "name_en": "id", "name_ru": "id", "name_uz": "id"}, {"type": "string", "child": false, "field": "org_name", "name_cr": "org_name", "name_en": "org_name", "name_ru": "org_name", "name_uz": "org_name"}, {"type": "string", "child": false, "field": "stir", "name_cr": "stir", "name_en": "stir", "name_ru": "stir", "name_uz": "stir"}, {"type": "string", "child": false, "field": "bground_name", "name_cr": "bground_name", "name_en": "bground_name", "name_ru": "bground_name", "name_uz": "bground_name"}, {"type": "string", "child": false, "field": "bground_address", "name_cr": "bground_address", "name_en": "bground_address", "name_ru": "bground_address", "name_uz": "bground_address"}, {"type": "string", "child": false, "field": "license_date", "name_cr": "license_date", "name_en": "license_date", "name_ru": "license_date", "name_uz": "license_date"}, {"type": "string", "child": false, "field": "license_drop", "name_cr": "license_drop", "name_en": "license_drop", "name_ru": "license_drop", "name_uz": "license_drop"}, {"type": "string", "child": false, "field": "license_end", "name_cr": "license_end", "name_en": "license_end", "name_ru": "license_end", "name_uz": "license_end"}, {"type": "string", "child": false, "field": "license_name", "name_cr": "license_name", "name_en": "license_name", "name_ru": "license_name", "name_uz": "license_name"}, {"type": "string", "child": false, "field": "license_num", "name_cr": "license_num", "name_en": "license_num", "name_ru": "license_num", "name_uz": "license_num"}, {"type": "string", "child": false, "field": "license_period", "name_cr": "license_period", "name_en": "license_period", "name_ru": "license_period", "name_uz": "license_period"}, {"type": "string", "child": false, "field": "license_sery", "name_cr": "license_sery", "name_en": "license_sery", "name_ru": "license_sery", "name_uz": "license_sery"}, {"type": "string", "child": false, "field": "license_stop", "name_cr": "license_stop", "name_en": "license_stop", "name_ru": "license_stop", "name_uz": "license_stop"}, {"type": "string", "child": false, "field": "license_type", "name_cr": "license_type", "name_en": "license_type", "name_ru": "license_type", "name_uz": "license_type"}, {"type": "string", "child": false, "field": "region", "name_cr": "region", "name_en": "region", "name_ru": "region", "name_uz": "region"}, {"type": "string", "child": false, "field": "district", "name_cr": "district", "name_en": "district", "name_ru": "district", "name_uz": "district"}, {"type": "string", "child": false, "field": "olicense_sery", "name_cr": "olicense_sery", "name_en": "olicense_sery", "name_ru": "olicense_sery", "name_uz": "olicense_sery"}, {"type": "string", "child": false, "field": "olicense_num", "name_cr": "olicense_num", "name_en": "olicense_num", "name_ru": "olicense_num", "name_uz": "olicense_num"}, {"type": "string", "child": false, "field": "olicense_type", "name_cr": "olicense_type", "name_en": "olicense_type", "name_ru": "olicense_type", "name_uz": "olicense_type"}, {"type": "string", "child": false, "field": "olicense_date", "name_cr": "olicense_date", "name_en": "olicense_date", "name_ru": "olicense_date", "name_uz": "olicense_date"}, {"type": "string", "child": false, "field": "unit", "name_cr": "unit", "name_en": "unit", "name_ru": "unit", "name_uz": "unit"}, {"type": "string", "child": false, "field": "volume", "name_cr": "volume", "name_en": "volume", "name_ru": "volume", "name_uz": "volume"}, {"type": "string", "child": false, "field": "created_at", "name_cr": "created_at", "name_en": "created_at", "name_ru": "created_at", "name_uz": "created_at"}, {"type": "string", "child": false, "field": "region_name", "name_cr": "region_name", "name_en": "region_name", "name_ru": "region_name", "name_uz": "region_name"}, {"type": "string", "child": false, "field": "district_name", "name_cr": "district_name", "name_en": "district_name", "name_ru": "district_name", "name_uz": "district_name"}]}</t>
  </si>
  <si>
    <t>14. Капитал қуйилмалар</t>
  </si>
  <si>
    <t>Қурилиш объектлари кодлари тўғрисида маълумот олиш</t>
  </si>
  <si>
    <t>kapital_quyilma.object_codes</t>
  </si>
  <si>
    <t>https://kapital-admin.imv.uz/api/rest-api/api/audit/object-codes</t>
  </si>
  <si>
    <t>Қурилиш объекти тўғрисида тўлиқ маълумот олиш</t>
  </si>
  <si>
    <t>kapital_quyilma.project_data</t>
  </si>
  <si>
    <t>https://kapital-admin.imv.uz/api/rest-api/api/audit/object-detail</t>
  </si>
  <si>
    <t>Қурилиш қўйилмалари: Қурилиш объекти тўғрисида тўлиқ маълумот олиш</t>
  </si>
  <si>
    <t>{"params": [{"type": "string", "child": false, "field": "id", "name_cr": "Лойиҳа ID cи", "name_en": "Лойиҳа ID cи", "name_ru": "Лойиҳа ID cи", "name_uz": "Лойиҳа ID cи"}, {"type": "string", "child": false, "field": "objectCode", "name_cr": "Қурилиш объекти ID cи", "name_en": "Қурилиш объекти ID cи", "name_ru": "Қурилиш объекти ID cи", "name_uz": "Қурилиш объекти ID cи"}, {"type": "string", "child": false, "field": "objectName", "name_cr": "Қурилиш объектининг номи ", "name_en": "Қурилиш объектининг номи ", "name_ru": "Қурилиш объектининг номи ", "name_uz": "Қурилиш объектининг номи "}, {"type": "string", "child": false, "field": "sphereName", "name_cr": "Қурилиш объектининг соҳаси", "name_en": "Қурилиш объектининг соҳаси", "name_ru": "Қурилиш объектининг соҳаси", "name_uz": "Қурилиш объектининг соҳаси"}, {"type": "string", "child": false, "field": "networkName", "name_cr": "Қурилиш объектининг йўналиши", "name_en": "Қурилиш объектининг йўналиши", "name_ru": "Қурилиш объектининг йўналиши", "name_uz": "Қурилиш объектининг йўналиши"}, {"type": "string", "child": false, "field": "regionName", "name_cr": "Объект жойлашган ҳудуд номи", "name_en": "Объект жойлашган ҳудуд номи", "name_ru": "Объект жойлашган ҳудуд номи", "name_uz": "Объект жойлашган ҳудуд номи"}, {"type": "string", "child": false, "field": "districtName", "name_cr": "Объект жойлашган туман (шаҳар) номи", "name_en": "Объект жойлашган туман (шаҳар) номи", "name_ru": "Объект жойлашган туман (шаҳар) номи", "name_uz": "Объект жойлашган туман (шаҳар) номи"}, {"type": "string", "child": false, "field": "constructionTypeName", "name_cr": "Қурилиш тури номи", "name_en": "Қурилиш тури номи", "name_ru": "Қурилиш тури номи", "name_uz": "Қурилиш тури номи"}, {"type": "string", "child": false, "field": "periodicityName", "name_cr": "Лойиҳа статуси (янгидан бошланувчи, йилдан йилга ўтувчи)", "name_en": "Лойиҳа статуси (янгидан бошланувчи, йилдан йилга ўтувчи)", "name_ru": "Лойиҳа статуси (янгидан бошланувчи, йилдан йилга ўтувчи)", "name_uz": "Лойиҳа статуси (янгидан бошланувчи, йилдан йилга ўтувчи)"}, {"type": "string", "child": false, "field": "fundingSourceName", "name_cr": "Молиялаштириш манбаси", "name_en": "Молиялаштириш манбаси", "name_ru": "Молиялаштириш манбаси", "name_uz": "Молиялаштириш манбаси"}, {"type": "string", "child": false, "field": "statusName", "name_cr": "Объект амалга ошириш ҳолати", "name_en": "Объект амалга ошириш ҳолати", "name_ru": "Объект амалга ошириш ҳолати", "name_uz": "Объект амалга ошириш ҳолати"}, {"type": "string", "child": false, "field": "totalCost", "name_cr": "Лойиҳа қиймати", "name_en": "Лойиҳа қиймати", "name_ru": "Лойиҳа қиймати", "name_uz": "Лойиҳа қиймати"}, {"type": "string", "child": false, "field": "accounts", "name_cr": "Объектнинг шахсий ғазна ҳисобварағи", "name_en": "Объектнинг шахсий ғазна ҳисобварағи", "name_ru": "Объектнинг шахсий ғазна ҳисобварағи", "name_uz": "Объектнинг шахсий ғазна ҳисобварағи"}, {"type": "string", "child": false, "field": "implementationPeriod", "name_cr": "Амалга ошириш даври", "name_en": "Амалга ошириш даври", "name_ru": "Амалга ошириш даври", "name_uz": "Амалга ошириш даври"}, {"type": "string", "child": false, "field": "link", "name_cr": "Ҳаволалар", "name_en": "Ҳаволалар", "name_ru": "Ҳаволалар", "name_uz": "Ҳаволалар"}, {"type": "string", "child": false, "field": "funding", "name_cr": "Молиялаштириш", "name_en": "Молиялаштириш", "name_ru": "Молиялаштириш", "name_uz": "Молиялаштириш"}, {"type": "string", "child": false, "field": "customerDetail", "name_cr": "Буюртмачи маълумотлари", "name_en": "Буюртмачи маълумотлари", "name_ru": "Буюртмачи маълумотлари", "name_uz": "Буюртмачи маълумотлари"}, {"type": "string", "child": false, "field": "designerDetails", "name_cr": "Лойиҳачи маълумотлари", "name_en": "Лойиҳачи маълумотлари", "name_ru": "Лойиҳачи маълумотлари", "name_uz": "Лойиҳачи маълумотлари"}, {"type": "string", "child": false, "field": "builderDetails", "name_cr": "Пудратчи маълумотлари", "name_en": "Пудратчи маълумотлари", "name_ru": "Пудратчи маълумотлари", "name_uz": "Пудратчи маълумотлари"}, {"type": "string", "child": false, "field": "designerContracts", "name_cr": "Лойиҳа шартномаси", "name_en": "Лойиҳа шартномаси", "name_ru": "Лойиҳа шартномаси", "name_uz": "Лойиҳа шартномаси"}, {"type": "string", "child": false, "field": "builderContracts", "name_cr": "Пудратчи шартномаси", "name_en": "Пудратчи шартномаси", "name_ru": "Пудратчи шартномаси", "name_uz": "Пудратчи шартномаси"}, {"type": "string", "child": false, "field": "designerPayments", "name_cr": "Лойиҳачи ташкилотнинг тўлов кўрсатгичлари", "name_en": "Лойиҳачи ташкилотнинг тўлов кўрсатгичлари", "name_ru": "Лойиҳачи ташкилотнинг тўлов кўрсатгичлари", "name_uz": "Лойиҳачи ташкилотнинг тўлов кўрсатгичлари"}, {"type": "string", "child": false, "field": "builderPayments", "name_cr": "Пудратчи ташкилотнинг тўлов кўрсатгичлари", "name_en": "Пудратчи ташкилотнинг тўлов кўрсатгичлари", "name_ru": "Пудратчи ташкилотнинг тўлов кўрсатгичлари", "name_uz": "Пудратчи ташкилотнинг тўлов кўрсатгичлари"}, {"type": "string", "child": false, "field": "designerInvoices", "name_cr": "Лойиҳачи ташкилотнинг ҳисоб-фактура кўрсатгичлари", "name_en": "Лойиҳачи ташкилотнинг ҳисоб-фактура кўрсатгичлари", "name_ru": "Лойиҳачи ташкилотнинг ҳисоб-фактура кўрсатгичлари", "name_uz": "Лойиҳачи ташкилотнинг ҳисоб-фактура кўрсатгичлари"}, {"type": "string", "child": false, "field": "builderInvoices", "name_cr": "Пудратчи ташкилотнинг ҳисоб-фактура кўрсатгичлари", "name_en": "Пудратчи ташкилотнинг ҳисоб-фактура кўрсатгичлари", "name_ru": "Пудратчи ташкилотнинг ҳисоб-фактура кўрсатгичлари", "name_uz": "Пудратчи ташкилотнинг ҳисоб-фактура кўрсатгичлари"}]}</t>
  </si>
  <si>
    <t>14. Пенсия жамғармаси</t>
  </si>
  <si>
    <t>Pensiya Malumotlari</t>
  </si>
  <si>
    <t>pensiya.sched</t>
  </si>
  <si>
    <t>15. Қимматли қоғозлар</t>
  </si>
  <si>
    <t>Қимматли қоғозлар тўғрисидаги маълумотларни олиш</t>
  </si>
  <si>
    <t>qimmatli_qogoz.qimmatli_qogoz</t>
  </si>
  <si>
    <t>http://10.190.36.226:5000/api/schetnayaPalata/sendRequest</t>
  </si>
  <si>
    <t>16. Қишлоқ хўжалиги вазирлиги</t>
  </si>
  <si>
    <t>Лотларни туман кесимида маълум периодга схифалаб олиш Qishloq xo'jaligi</t>
  </si>
  <si>
    <t>qishloq_xojaligi.auction_data</t>
  </si>
  <si>
    <t>http://10.190.25.12/api/integration/winners/info-list</t>
  </si>
  <si>
    <t>Qishloq Xo'jaligi E-ijara</t>
  </si>
  <si>
    <t>{"params": [{"type": "string", "child": false, "field": "area", "name_cr": "area", "name_en": "area", "name_ru": "area", "name_uz": "area"}, {"type": "string", "child": false, "field": "contract", "name_cr": "contract", "name_en": "contract", "name_ru": "contract", "name_uz": "contract"}, {"type": "string", "child": false, "field": "contract_url", "name_cr": "contract_url", "name_en": "contract_url", "name_ru": "contract_url", "name_uz": "contract_url"}, {"type": "string", "child": false, "field": "district", "name_cr": "district", "name_en": "district", "name_ru": "district", "name_uz": "district"}, {"type": "string", "child": false, "field": "district_id", "name_cr": "district_id", "name_en": "district_id", "name_ru": "district_id", "name_uz": "district_id"}, {"type": "string", "child": false, "field": "inn", "name_cr": "inn", "name_en": "inn", "name_ru": "inn", "name_uz": "inn"}, {"type": "string", "child": false, "field": "name", "name_cr": "name", "name_en": "name", "name_ru": "name", "name_uz": "name"}, {"type": "string", "child": false, "field": "pin", "name_cr": "pin", "name_en": "pin", "name_ru": "pin", "name_uz": "pin"}, {"type": "string", "child": false, "field": "region", "name_cr": "region", "name_en": "region", "name_ru": "region", "name_uz": "region"}, {"type": "string", "child": false, "field": "region_id", "name_cr": "region_id", "name_en": "region_id", "name_ru": "region_id", "name_uz": "region_id"}, {"type": "string", "child": false, "field": "regnum", "name_cr": "regnum", "name_en": "regnum", "name_ru": "regnum", "name_uz": "regnum"}, {"type": "string", "child": false, "field": "subject_type", "name_cr": "subject_type", "name_en": "subject_type", "name_ru": "subject_type", "name_uz": "subject_type"}, {"type": "string", "child": false, "field": "summa", "name_cr": "summa", "name_en": "summa", "name_ru": "summa", "name_uz": "summa"}]}</t>
  </si>
  <si>
    <t>Qishloq xo'jaligi Subsidiya</t>
  </si>
  <si>
    <t>qishloq_xojaligi.subsidiya</t>
  </si>
  <si>
    <t>17. Қурилиш вазирлиги</t>
  </si>
  <si>
    <t>https://api-monitoring.mc.uz/api/object-gasn-data</t>
  </si>
  <si>
    <t>Лойиҳа ташкилотларини танлаш шаффоф қурилиш платформасига жойланган LOYIHA</t>
  </si>
  <si>
    <t>https://api-monitoring.mc.uz/api/object-loyiha</t>
  </si>
  <si>
    <t>Лойиҳа ташкилотларини танлаш бўйича эълонлар</t>
  </si>
  <si>
    <t>Лойиҳа ташкилотларини танлаш шаффоф қурилиш платформасига жойланган эълон</t>
  </si>
  <si>
    <t>{"params": [{"type": "string", "child": false, "field": "id", "name_cr": "id", "name_en": "id", "name_ru": "id", "name_uz": "id"}, {"type": "string", "child": false, "field": "object_region", "name_cr": "object_region", "name_en": "object_region", "name_ru": "object_region", "name_uz": "object_region"}, {"type": "string", "child": false, "field": "object_region_id", "name_cr": "object_region_id", "name_en": "object_region_id", "name_ru": "object_region_id", "name_uz": "object_region_id"}, {"type": "string", "child": false, "field": "object_district", "name_cr": "object_district", "name_en": "object_district", "name_ru": "object_district", "name_uz": "object_district"}, {"type": "string", "child": false, "field": "object_district_id", "name_cr": "object_district_id", "name_en": "object_district_id", "name_ru": "object_district_id", "name_uz": "object_district_id"}, {"type": "string", "child": false, "field": "object_name", "name_cr": "object_name", "name_en": "object_name", "name_ru": "object_name", "name_uz": "object_name"}, {"type": "string", "child": false, "field": "lot_id", "name_cr": "lot_id", "name_en": "lot_id", "name_ru": "lot_id", "name_uz": "lot_id"}, {"type": "string", "child": false, "field": "lot_begin_date", "name_cr": "lot_begin_date", "name_en": "lot_begin_date", "name_ru": "lot_begin_date", "name_uz": "lot_begin_date"}, {"type": "string", "child": false, "field": "transaction_date", "name_cr": "transaction_date", "name_en": "transaction_date", "name_ru": "transaction_date", "name_uz": "transaction_date"}, {"type": "string", "child": false, "field": "project_type_id", "name_cr": "project_type_id", "name_en": "project_type_id", "name_ru": "project_type_id", "name_uz": "project_type_id"}, {"type": "string", "child": false, "field": "project_type_name", "name_cr": "project_type_name", "name_en": "project_type_name", "name_ru": "project_type_name", "name_uz": "project_type_name"}, {"type": "string", "child": false, "field": "begin_cost", "name_cr": "begin_cost", "name_en": "begin_cost", "name_ru": "begin_cost", "name_uz": "begin_cost"}, {"type": "string", "child": false, "field": "end_term_work", "name_cr": "end_term_work", "name_en": "end_term_work", "name_ru": "end_term_work", "name_uz": "end_term_work"}, {"type": "string", "child": false, "field": "lot_type", "name_cr": "lot_type", "name_en": "lot_type", "name_ru": "lot_type", "name_uz": "lot_type"}, {"type": "string", "child": false, "field": "process_type", "name_cr": "process_type", "name_en": "process_type", "name_ru": "process_type", "name_uz": "process_type"}, {"type": "string", "child": false, "field": "object_type_id", "name_cr": "object_type_id", "name_en": "object_type_id", "name_ru": "object_type_id", "name_uz": "object_type_id"}, {"type": "string", "child": false, "field": "object_type_name", "name_cr": "object_type_name", "name_en": "object_type_name", "name_ru": "object_type_name", "name_uz": "object_type_name"}, {"type": "string", "child": false, "field": "financial_source", "name_cr": "financial_source", "name_en": "financial_source", "name_ru": "financial_source", "name_uz": "financial_source"}, {"type": "string", "child": false, "field": "limit", "name_cr": "limit", "name_en": "limit", "name_ru": "limit", "name_uz": "limit"}, {"type": "string", "child": false, "field": "customer_name", "name_cr": "customer_name", "name_en": "customer_name", "name_ru": "customer_name", "name_uz": "customer_name"}, {"type": "string", "child": false, "field": "customer_inn", "name_cr": "customer_inn", "name_en": "customer_inn", "name_ru": "customer_inn", "name_uz": "customer_inn"}, {"type": "string", "child": false, "field": "winner_name", "name_cr": "winner_name", "name_en": "winner_name", "name_ru": "winner_name", "name_uz": "winner_name"}, {"type": "string", "child": false, "field": "winner_inn", "name_cr": "winner_inn", "name_en": "winner_inn", "name_ru": "winner_inn", "name_uz": "winner_inn"}]}</t>
  </si>
  <si>
    <t>https://api-monitoring.mc.uz/api/object-loyiha-ekspertiza</t>
  </si>
  <si>
    <t>Пудрат ташкилотларини танлаш шаффоф қурилиш платформасига жойланган елон</t>
  </si>
  <si>
    <t>https://api-monitoring.mc.uz/api/object-pudrat</t>
  </si>
  <si>
    <t>Пудрат ташкилотларини танлаш бўйича эълонлар</t>
  </si>
  <si>
    <t>Пудрат ташкилотларини танлаш шаффоф қурилиш платформасига жойланган эълон</t>
  </si>
  <si>
    <t>Пудрат шартномаси тузилиши, ишларни бажариш жараёни ва қурилиши тугалланган объектни фойдаланишга то</t>
  </si>
  <si>
    <t>https://api-monitoring.mc.uz/api/object-pudrat-data</t>
  </si>
  <si>
    <t>Шаффоф қурилиш платформаси орқали пудрат ишлари учун амалга оширилган тендер савдолари LOYIHA</t>
  </si>
  <si>
    <t>https://api-monitoring.mc.uz/api/object-winner-loyiha</t>
  </si>
  <si>
    <t>Шаффоф қурилиш платформаси орқали пудрат ишлари учун амалга оширилган тендер савдолари PUDRAT</t>
  </si>
  <si>
    <t>https://api-monitoring.mc.uz/api/object-winner-pudrat</t>
  </si>
  <si>
    <t>Тендер савдолари натижалари</t>
  </si>
  <si>
    <t>Шаффоф қурилиш платформаси орқали пудрат ишлари учун амалга оширилган тендер савдолари натижалари тўғрисида маълумот</t>
  </si>
  <si>
    <t>{"params": [{"type": "string", "child": false, "field": "response_id", "name_cr": "response_id", "name_en": "response_id", "name_ru": "response_id", "name_uz": "response_id"}, {"type": "string", "child": false, "field": "code", "name_cr": "code", "name_en": "code", "name_ru": "code", "name_uz": "code"}, {"type": "string", "child": false, "field": "message", "name_cr": "message", "name_en": "message", "name_ru": "message", "name_uz": "message"}, {"type": "string", "child": false, "field": "pinfl", "name_cr": "pinfl", "name_en": "pinfl", "name_ru": "pinfl", "name_uz": "pinfl"}, {"type": "string", "child": false, "field": "inn", "name_cr": "inn", "name_en": "inn", "name_ru": "inn", "name_uz": "inn"}, {"type": "string", "child": false, "field": "cadastr_count", "name_cr": "cadastr_count", "name_en": "cadastr_count", "name_ru": "cadastr_count", "name_uz": "cadastr_count"}, {"type": "string", "child": false, "field": "cadastr_list", "name_cr": "cadastr_list", "name_en": "cadastr_list", "name_ru": "cadastr_list", "name_uz": "cadastr_list"}]}</t>
  </si>
  <si>
    <t>Пудрат шартномаси тузилиши, ишларни бажариш жараёни ва қурилиши тугалланган объектни фойдаланишга т</t>
  </si>
  <si>
    <t>qurilish.pudrat_done_work</t>
  </si>
  <si>
    <t>https://api-monitoring.mc.uz/api/object-pudrat-done-work</t>
  </si>
  <si>
    <t>18. Шаффоф қурилиш дастури</t>
  </si>
  <si>
    <t>Shaffof Parse</t>
  </si>
  <si>
    <t>Схема?</t>
  </si>
  <si>
    <t>19. Солиқ қўмитаси</t>
  </si>
  <si>
    <t>Soliq Account Fiz</t>
  </si>
  <si>
    <t>soliq.account_fiz</t>
  </si>
  <si>
    <t>Soliq Account Yur</t>
  </si>
  <si>
    <t>soliq.account_yur</t>
  </si>
  <si>
    <t>Soliq Report</t>
  </si>
  <si>
    <t>soliq.distinct_report</t>
  </si>
  <si>
    <t>Extra Salary</t>
  </si>
  <si>
    <t>soliq.extra_salary</t>
  </si>
  <si>
    <t>Soliq Faktura</t>
  </si>
  <si>
    <t>soliq.factura_new</t>
  </si>
  <si>
    <t>soliq.faktura_new</t>
  </si>
  <si>
    <t>Insofsiz soliq to'lovchilar</t>
  </si>
  <si>
    <t>soliq.insofizlar</t>
  </si>
  <si>
    <t>https://soliq.uz/activities/analysis/download/excel</t>
  </si>
  <si>
    <t>Ish haqqini risk uchun tayorlash</t>
  </si>
  <si>
    <t>soliq.send_tax_worker_last</t>
  </si>
  <si>
    <t>Soliq Oylik ish xaqqi</t>
  </si>
  <si>
    <t>soliq.tax_worker</t>
  </si>
  <si>
    <t>Org Founderlarni pinflini update qilish</t>
  </si>
  <si>
    <t>tax.org_founder_item</t>
  </si>
  <si>
    <t>Oraganizatsiya bosslarni pinflini update qilish</t>
  </si>
  <si>
    <t>Чораклик</t>
  </si>
  <si>
    <t>"Cooperation.Uz" порталидаги товар (иш, хизмат) лар кесимида маълумот олиш</t>
  </si>
  <si>
    <t>"Cooperation.Uz" порталида харид қилиш жараёнида қатнашган иштирокчилар тўғрисида маълумот олиш</t>
  </si>
  <si>
    <t>"Cooperation.Uz" порталидаги лотлар бўйича умумий маълумотларни олиш</t>
  </si>
  <si>
    <t>"Cooperation.Uz" порталида харид қилиш жараёни ҳолати (статуси) ва унинг ўзгариши тарихи тўғрисида маълумот олиш</t>
  </si>
  <si>
    <t>"Навоий кон-металлургия комбинати" АЖ даги айланма маблағлар тўғрисида маълумот олиш</t>
  </si>
  <si>
    <t>Холат</t>
  </si>
  <si>
    <t>Актив</t>
  </si>
  <si>
    <t>тўхтатилган</t>
  </si>
  <si>
    <t>Ишлаб чиқилмаган</t>
  </si>
  <si>
    <t>Ногирон ишчилар ишловчи ташкилотларни рўйхати чиқариб ташланиши керак</t>
  </si>
  <si>
    <t>Интеграция</t>
  </si>
  <si>
    <t>Тахлил гурухи</t>
  </si>
  <si>
    <t>Дастурчилар гурухи</t>
  </si>
  <si>
    <t>Малака тоифалари билан интеграция қилиш якунлангандан сўнг автоматлаштирилади</t>
  </si>
  <si>
    <t>Субсидия маълумотлари билан интеграция якунлангандан сўнг давом эттирилади</t>
  </si>
  <si>
    <t>Таҳлил механизми бўйича справочниклар яратилгандан сўнг йўналиш автоматлаштирилади</t>
  </si>
  <si>
    <t>Интеграция ишлари якунлангандан сўнг йўналиш автоматлаштирилади</t>
  </si>
  <si>
    <t>Таҳлил механизми бўйича таклиф киритилгандан сўнг йўналиш автоматлаштирилади</t>
  </si>
  <si>
    <t>Тоифа малакалари бўйича маълумотлар билан интеграция ишлари якунлангандан сўнг йўналиш автоматлаштирилади</t>
  </si>
  <si>
    <t>Бартараф этувчи</t>
  </si>
  <si>
    <t>Риск гурухи</t>
  </si>
  <si>
    <t>Қишлоқ хўжалиги товар ишлаб чиқарувчиларининг қишлоқ хўжалиги экин майдонларига ҳисобланган норматив қийматлар тўғрисида маълумот (ЎзДавлатЕрЛойиҳа)</t>
  </si>
  <si>
    <t>Ижарага берилган давлат ерлари тўғрисидаги маълумотлар (E-ijara)</t>
  </si>
  <si>
    <t>Қишлоқ хўжалиги екин ер майдонларига екилган қишлоқ хўжалиги маҳсулотларини жойлаштириш тўғрисидаги маълумотлар (CropAgro)</t>
  </si>
  <si>
    <t>Қишлоқ хўжалигига мўлжалланган ер майдонлари экинлар мониторинги маълумотлари (Геоахборот)</t>
  </si>
  <si>
    <t>Юридик ёки жисмоний шахсларнинг ҳисобварақлари айланма маблағлари тўғрисида маълумот олиш</t>
  </si>
  <si>
    <t>Юридик ёки жисмоний шахсларнинг барча ҳисобварақлари қолдиқлари тўғрисида маълумот олиш</t>
  </si>
  <si>
    <t>Истеъмолчиларнинг коммунал хизматлар биллинг тизими орқали амалга оширилган тўловлар тарихи тўғрисида маълумот олиш</t>
  </si>
  <si>
    <t>Экофонд компенсация тўлови тўғрисида маълумот олиш</t>
  </si>
  <si>
    <t>“Онлайн экспертиза” экспертиза хулосалари олган ташкилотлар тўғрисида маълумот олиш</t>
  </si>
  <si>
    <t>“Экорухсат” – экология ва атроф муҳитни муҳофаза қилиш соҳасида давлат хизматлари кўрсатилган ташкилотлар тўғрисида маълумот олиш</t>
  </si>
  <si>
    <t>Атроф табиий муҳит давлат мониторинги тизимининг ягона геоахборот маълумотлар базасига киритилган ташкилотлар тўғрисида маълумот олиш</t>
  </si>
  <si>
    <t>Ташкилотларнинг фаолият турларини олиш</t>
  </si>
  <si>
    <t>Юридик корхоналар ва уларнинг автотранспортларига лицензия олиш учун буюртмалар тўғрисида маълумот олиш</t>
  </si>
  <si>
    <t>Юридик корхоналар ва уларнинг автотранспортларига олинган лицензиялар тўғрисида маълумот олиш</t>
  </si>
  <si>
    <t>Перечень лицевых счетов субъекта</t>
  </si>
  <si>
    <t>Перечень платежных документов по субъекту за указанный период</t>
  </si>
  <si>
    <t>Перечень записей о залоге по субъекту</t>
  </si>
  <si>
    <t>Миллий антидопинг агентлиги базасидаги мавжуд дори воситалари тўғрисида маълумот олиш</t>
  </si>
  <si>
    <t>Спортчилар, мураббийлар ҳамда тиббиёт ходимлари учун "Антидопинг таълимоти" бўйича ўқув курсида сертификат олганлар тўғрисида маълумот</t>
  </si>
  <si>
    <t>Жамият фаолиятидаги шартномалар тўғрисидаги маълумотларни олиш</t>
  </si>
  <si>
    <t>"Ўзагролизинг" АЖ орқали лизинг асосида етказиб берилган техникалар ва уларнинг шартномалари тўғрисида маълумот олиш</t>
  </si>
  <si>
    <t>"Ўзагролизинг" АЖ базасида аниқ санага амалдаги лизинг шартномалари қарздорлик ҳолати тўғрисида маълумот олиш</t>
  </si>
  <si>
    <t>Кўрсатилган суғурта хизматлари тўғрисида маълумот олиш</t>
  </si>
  <si>
    <t>Суғурта ҳодисаси сабабли зарарни қоплаш учун тўлаб берилган тўловлар тўғрисида маълумот олиш</t>
  </si>
  <si>
    <t>"Ягона дарча" тизими орқали кўрсатилган хизматлар учун мижозлардан ундирилган маблағлар тўғрисида маълумот олиш</t>
  </si>
  <si>
    <t>Оҳангарон сув омборида жойлашган назорат-ўлчаш қурилмаларининг автоматлаштирилган-ташхис назорат тизими орқали келувчи маълумотларни олиш</t>
  </si>
  <si>
    <t>Ҳисорак сув омборида жойлашган назорат-ўлчаш қурилмаларининг автоматлаштирилган-ташхис назорат тизими орқали келувчи маълумотларни олиш</t>
  </si>
  <si>
    <t>Андижон сув омборида жойлашган назорат-ўлчаш қурилмаларининг автоматлаштирилган-ташхис назорат тизими орқали келувчи маълумотларни олиш</t>
  </si>
  <si>
    <t>Гидро электр станцияларидаги электр ҳажми маълумотларини олиш</t>
  </si>
  <si>
    <t>Интеллектуал мулк объектлари тўғрисида маълумот олиш</t>
  </si>
  <si>
    <t>Жисмоний истеъмолчилар томонидан сарфланган сув ҳажмлари тўғрисида маълумот олиш</t>
  </si>
  <si>
    <t>Юридик шахсли истеъмолчилар томонидан сарфланган сув ҳажмлари тўғрисида маълумот олиш</t>
  </si>
  <si>
    <t>Маълумотлар жадвали шакллантирилмоқда</t>
  </si>
  <si>
    <t>Ўзбекистон Республикасининг электрон визасига эга бўлган фуқаролар тўғрисида маълумот олиш</t>
  </si>
  <si>
    <t>Ўзбекистон Республикасининг рўйҳатга олинган ҳорижда яшовчи фуқаролари тўғрисида маълумот олиш</t>
  </si>
  <si>
    <t>Ўзбекистон Республикасига қайтиш учун расмийлаштирилган гувоҳнома(сертификат) лар тўғрисида маълумот олиш</t>
  </si>
  <si>
    <t>Дебитор қарздорлик тўғрисида маълумот олиш</t>
  </si>
  <si>
    <t>Кредитор  қарздорлик тўғрисида маълумот олиш</t>
  </si>
  <si>
    <t>Маданий мерос объектлари тўғрисида маълумот олиш</t>
  </si>
  <si>
    <t>“Ўзбекнефтгаз” АЖ томонидан хўжалик юритувчи субъектларга етказиб берилган кунлик газ ҳажмлари тўғрисида маълумот олиш</t>
  </si>
  <si>
    <t>Компания фаолиятида расмийлаштирилган шартномалар тўғрисида маълумот олиш</t>
  </si>
  <si>
    <t>"Ўзбекинвест" АЖ томонидан кўрсатилган суғурта хизматлари тўғрисида маълумот олиш</t>
  </si>
  <si>
    <t>"Ўзбекинвест" АЖ томонидан бахтсиз ҳодиса сабабли зарарни қоплаш учун тўлаб берилган тўловлар тўғрисида маълумот олиш</t>
  </si>
  <si>
    <t xml:space="preserve"> - Интеграция орқали олинадиган маълумотлар тўғрисида маълумот</t>
  </si>
  <si>
    <t xml:space="preserve"> - Микросервислар схемаси</t>
  </si>
  <si>
    <t xml:space="preserve"> - Риск таҳлилларни амалга ошириш модули</t>
  </si>
  <si>
    <t>Интеграция қилиниши лозим</t>
  </si>
  <si>
    <t>5. Спорт вазирлиги</t>
  </si>
  <si>
    <t>7. Рақамли трансформация маркази МЧЖ (Бизнесни ривожлантириш банки ҳузурида)</t>
  </si>
  <si>
    <t>14. Солиқ қўмитаси</t>
  </si>
  <si>
    <t>15. "Товар-хом ашё биржаси" АЖ</t>
  </si>
  <si>
    <t>16. Ҳунарманд уюшмаси</t>
  </si>
  <si>
    <t>"Туризм фаолияти реестри" тўғрисида маълумотлар</t>
  </si>
  <si>
    <t>"Ҳунарманд реестри" тўғрисида маълумотлар</t>
  </si>
  <si>
    <t>18. Халқ банки</t>
  </si>
  <si>
    <t>19. "Ҳудудгазтаъминот" АЖ</t>
  </si>
  <si>
    <t>20. "Ҳудудий электр тармоқлари" АЖ</t>
  </si>
  <si>
    <t>21. Электрон ҳукумат</t>
  </si>
  <si>
    <t>Кадастр (юридик шахс СТИРи ва кадастр рақами бўйича)</t>
  </si>
  <si>
    <t>22. Вазирлар Маҳкамаси ҳузуридаги Ўзбекистон техник жиҳатдан тартибга солиш агентлиги</t>
  </si>
  <si>
    <t>23. Ижтимоий ҳимоя миллий агентлиги</t>
  </si>
  <si>
    <t>24. Тоғ-кон саноати ва геология вазирлиги</t>
  </si>
  <si>
    <t>25. Экология, атроф-муҳитни муҳофаза қилиш ва иқлим ўзгариши вазирлиги</t>
  </si>
  <si>
    <t>Корхоналар томонидан атмосфера ҳавосига ташламаларни мониторинг натижаларини олиш</t>
  </si>
  <si>
    <t>Корхоналар томонидан оқова сув зарарланиши мониторинг натижаларини олиш</t>
  </si>
  <si>
    <t>Корхоналар томонидан тупроқ таркибининг зарарланиши мониторинг натижаларини олиш</t>
  </si>
  <si>
    <t>26. Мактабгача ва мактаб таълими вазирлиги</t>
  </si>
  <si>
    <t>27. Ветеринария ва чорвачиликни ривожлантириш қўмитаси</t>
  </si>
  <si>
    <t>28. Соғлиқни сақлаш вазирлиги</t>
  </si>
  <si>
    <t>29. Транспорт вазирлиги</t>
  </si>
  <si>
    <t>30.  Сув хўжалиги вазирлиги</t>
  </si>
  <si>
    <t xml:space="preserve">31.   Савдо-саноат палатасига қарашли “Савдони ривожлантириш компанияси” АЖ </t>
  </si>
  <si>
    <t xml:space="preserve">32. Маҳаллабай ишлаш ва тадбиркорликни ривожлантириш агентлиги </t>
  </si>
  <si>
    <t>33. “Қимматли қоғозлар марказий депозитарийси” АЖ</t>
  </si>
  <si>
    <t>34. Мажбурий ижро бюроси</t>
  </si>
  <si>
    <t>35. Марказий банк</t>
  </si>
  <si>
    <t>36. "Ўзтрансгаз" АЖ</t>
  </si>
  <si>
    <t>37. "UzGasTrade" АЖ</t>
  </si>
  <si>
    <t>38. ЎзР Миллий антидопинг агентлиги</t>
  </si>
  <si>
    <t>39. "УзМетКомбинат" АЖ</t>
  </si>
  <si>
    <t>40. "УзАгроЛизинг" АЖ</t>
  </si>
  <si>
    <t>41. "УзАгроСуғурта" АЖ</t>
  </si>
  <si>
    <t>42. “Hayot Birja” АЖ (XT-Xarid)</t>
  </si>
  <si>
    <t>43. "Навоий кон-металлургия комбинати" АЖ</t>
  </si>
  <si>
    <t>44. “Ўзбекистон темир йўллари” АЖ</t>
  </si>
  <si>
    <t>Аэропортдан учиб кетувчи парвозлар жадвали тўғрисида маълумот олиш</t>
  </si>
  <si>
    <t>Аэропортга учиб келувчи парвозлар жадвали тўғрисида маълумот олиш</t>
  </si>
  <si>
    <t>Аэропортдан учиб кетиш амалга оширилган парвозлар тўғрисида маълумот олиш</t>
  </si>
  <si>
    <t>Аэропортга учиб келиш амалга оширилган парвозлар тўғрисида маълумот олиш</t>
  </si>
  <si>
    <t>“Ўзбекнефтгаз” АЖ томонидан газ етказиб берилган хўжалик юритувчи субъектлардаги ҳисоблагичлар тўғрисида маълумот олиш</t>
  </si>
  <si>
    <t>“Ўзбекнефтгаз” АЖ томонидан биржа савдолари орқали сотилган маҳсулотлар тўғрисида маълумот олиш</t>
  </si>
  <si>
    <t>Юридик шахслар томонидан эгалик ҳуқуқига эга бўлган қишлоқ хўжалиги техникалари тўғрисида маълумот олиш</t>
  </si>
  <si>
    <t>Жисмоний шахслар томонидан эгалик ҳуқуқига эга бўлган қишлоқ хўжалиги техникалари тўғрисида маълумот олиш</t>
  </si>
  <si>
    <t xml:space="preserve"> - қонун бузилиш ҳолатларини бартараф этилишида республика, вилоят, туман ва корхоналарга юбориш, фойдаланувчиларни республика, вилоят ва туман даражаси бўйича ролларни белгилаш.</t>
  </si>
  <si>
    <t>Сервер созламалари</t>
  </si>
  <si>
    <t>Виртуал сервер созламалари</t>
  </si>
  <si>
    <t>Видео дарсликларини яратиш</t>
  </si>
  <si>
    <t>Тизимдан фойдаланиш юзасидан видео дарсликларини яратиш</t>
  </si>
  <si>
    <t>Нигора</t>
  </si>
  <si>
    <t>Яратилган янги модулларни тестдан ўтказиш</t>
  </si>
  <si>
    <t>Яратилган янги тизимларнни ишга туширишдан олдин тест синовларидан ўтказиш</t>
  </si>
  <si>
    <t>Д.Бахриддинов
А.Каримов</t>
  </si>
  <si>
    <t>А.Атоев
Д.Бахриддинов
Ҳ.Абдупаттоев</t>
  </si>
  <si>
    <t>Д.Бахриддинов
М.Эшқулов
Ж.Доуров
Ҳ.Абдупаттоев</t>
  </si>
  <si>
    <t>А.Атоев
Ш.Файзиев
Д.Бахриддинов
Рақамлаштириш вазирлиги</t>
  </si>
  <si>
    <t>Нигорахон</t>
  </si>
  <si>
    <t>Умид</t>
  </si>
  <si>
    <t>Бахром</t>
  </si>
  <si>
    <t>Шароф</t>
  </si>
  <si>
    <t>А.Атоев
Д.Бахриддинов
Ҳ.Абдупаттоев
Х.Файзуллаев</t>
  </si>
  <si>
    <t>Ж.Дўстқулов
Ш.Худоибердиев</t>
  </si>
  <si>
    <t>Ш.Тошпўлатов
С.Йўлдошев
С.Адизов</t>
  </si>
  <si>
    <t>М.Эшқулов
Ҳ.Абдупаттоев
А.Атоев</t>
  </si>
  <si>
    <t>Д.Бахриддинов
А.Атоев
Ж.Дўстқулов
А.Гулмуродов</t>
  </si>
  <si>
    <t>Ф.Курбанов
Нигора</t>
  </si>
  <si>
    <t>Хидр</t>
  </si>
  <si>
    <t>О.Рўзимуродов
Ҳ.Абдупаттоев
А.Гулмуродов
Ж.Доуров
О.Рўзимуродов
Умид,
Бахром</t>
  </si>
  <si>
    <t>Тўловларни тўхтатиш модули</t>
  </si>
  <si>
    <t>Ишлаб чиқилаётган тизимга янгилик ва ўзгартириш киритилиши юзасидан тизим фойдаланувчилари томонидан таклифлар киритиш</t>
  </si>
  <si>
    <t>Таклифларни бошқариш модули</t>
  </si>
  <si>
    <t>Қидирув модули</t>
  </si>
  <si>
    <t>Айнан бир юридик ёки жисмоний шахс тўғрисида жамланган маълумотларни олиш</t>
  </si>
  <si>
    <t>Ўзгаришлар тарихи</t>
  </si>
  <si>
    <t>Тизим фойдаланувчилари томонидан тизимдан олинган ва тизимга киритилган маълумотлар тарихини сақлаш</t>
  </si>
  <si>
    <t>Ш.Файзиев
М.Эшқулов</t>
  </si>
  <si>
    <t>Тизим созламалари</t>
  </si>
  <si>
    <t>Тизимдан фойдаланувчи ташкилотлар шажарасини яратиш, янги фойдаланувчиларни қўшиш ва унга тизимдан фойдаланиш юзасидан рухсатларни бериш. Иш жойи ўзгарган фойдаланувчиларни автоматик тарзда барча рухсатларини бекор қилиш ҳамда тизимдан фойдаланишни чеклаш.</t>
  </si>
  <si>
    <t>А.Атоев
М.Эшқулов</t>
  </si>
  <si>
    <t xml:space="preserve">Султанов Хуршид Баходирович 
97-752-41-82 Бошқарма бошлиғи
Абдуллаев Алишер 
(71) 203-13-24; 
91-163-09-42 маркази директори </t>
  </si>
  <si>
    <t>Али ДИЗАЙНЕР</t>
  </si>
  <si>
    <t>Яна кимдир</t>
  </si>
  <si>
    <t>Ўтган йилларнинг аудит тадбирларидан келиб чиқиб, кейинги йил аудит тадбирларига номзодларни шакллантириш. Шакллантирилган номзодларнинг ажратиб олиш сабаблари кўрсатилиши лозим. Номзодларни ажратиб олиш учун фойдаланувчи томонидан қўшимча талаблар киритилиши мумкин</t>
  </si>
  <si>
    <t xml:space="preserve"> - Хавфларни аниқлаш йўналишлари</t>
  </si>
  <si>
    <t>Сунъий интеллект механизми ёрдамида аниқланадиган риск таҳлил йўналиши</t>
  </si>
  <si>
    <r>
      <t xml:space="preserve">Маълумот жамлаш </t>
    </r>
    <r>
      <rPr>
        <i/>
        <sz val="11"/>
        <color theme="1"/>
        <rFont val="Arial"/>
        <family val="2"/>
        <charset val="204"/>
      </rPr>
      <t>(кунлик, ойлик, чораклик)</t>
    </r>
  </si>
  <si>
    <t>Субсидияларни ажратилиши</t>
  </si>
  <si>
    <t>Иш жойига эга бўлган фуқароларга "Жамоат ишлари жамғармаси"дан маблағлар  тўланиши</t>
  </si>
  <si>
    <t>Иш ҳақи ҳисобланиши ва тўланиши таҳлили</t>
  </si>
  <si>
    <t>Икки ва ундан ортиқ жойдан даромад оладиган фуқаролар таҳлили</t>
  </si>
  <si>
    <t>Вафот этган фуқароларга УзАСБОдан ойлик иш ҳақи ҳисобланганлиги</t>
  </si>
  <si>
    <t>Иш ҳақининг энг кам миқдоридан кам ҳисобланган ойлик иш ҳақлари таҳлили</t>
  </si>
  <si>
    <t>Солиқ органларида кўрсатилмаган иш ҳақи ҳисоботлари</t>
  </si>
  <si>
    <t>Солиқ ҳисоботларида энг кўп ҳисобланган иш ҳақи тўғрисида</t>
  </si>
  <si>
    <t>Бюджет ташкилотда энг кўп ҳисобланган иш ҳақи тўғрисида</t>
  </si>
  <si>
    <t>Хорижда бўлган фуқароларга иш ҳақи тўланиши</t>
  </si>
  <si>
    <t>"Ягона миллий меҳнат тизими"да меҳнат шартномаларсиз УзАСБОда ойлик иш ҳақи ҳисобланганлиги</t>
  </si>
  <si>
    <t>Халқ банкидаги жамғариб бориладиган пенсия суммасини солиқ органлари маълумотлари билан солиштириш</t>
  </si>
  <si>
    <t>Малака тоифаларини тўғри ҳисобланиши таҳлили (таълим).</t>
  </si>
  <si>
    <t>Соғлиқни сақлаш вазирлиги малака тоифалари таҳлили.</t>
  </si>
  <si>
    <t>Ҳисобланган пенсия маблағларини тўланиши таҳлили</t>
  </si>
  <si>
    <t>Тиббий суғурта жамғармаси маблағлари таҳлили</t>
  </si>
  <si>
    <t>Ногиронлик ҳужжатларига асосан бюджетдан тўланган таҳлили</t>
  </si>
  <si>
    <t>Давлат харидлари</t>
  </si>
  <si>
    <t>Тўғридан-тўғри шартномаларнинг мониторинги</t>
  </si>
  <si>
    <t>Давлат харидларида нарх таҳлили</t>
  </si>
  <si>
    <t>Нақдлаштириш аломатлари мавжуд шубҳали корхоналар билан тузилган шартномалар</t>
  </si>
  <si>
    <t>Иштирокчиларни ўзаро аффилланганлиги</t>
  </si>
  <si>
    <t>Давлат харидлари бўйича дебитор-кредиторлик қарзлар таҳлили</t>
  </si>
  <si>
    <t>Корпоратив буюртмачилар (устав фондида давлат улуши 50 фоиздан ортиқ бўлган юридик шахслар) томонидан амалга оширилган давлат харидларининг қонунийлигини ўрганиш ва таҳлил қилиш.</t>
  </si>
  <si>
    <t>Лицензияси мавжуд бўлмаган корхоналар томонидан дори воситаларини етказиб бериш ҳолатлари таҳлили</t>
  </si>
  <si>
    <t>Шартномаларга асосан амалга оширилган тўловлар бўйича товар ва хизматларни ташкилотлар ҳисобхонасига кирим қилинганлиги таҳлили</t>
  </si>
  <si>
    <t>Шаффоф қурилиш</t>
  </si>
  <si>
    <t>Рейтинг бали шаклланишида ўртача иш ҳақи таҳлили</t>
  </si>
  <si>
    <t>Рейтинг баҳолашда бир транспорт воситасини 2 ва ундан ортиқ ҳисобга олиш</t>
  </si>
  <si>
    <t>Рейтинг бали шаклланишида ишчи ходим сони таҳлили</t>
  </si>
  <si>
    <t>Рейтинг баҳолашда ЯММТ орқали олинган ишчи ходимлар сони солиқ ҳисоботлари билан солиштирмаси</t>
  </si>
  <si>
    <t>Бюджет маблағларини ажратилиши</t>
  </si>
  <si>
    <t>Арзон ва тез эскирувчи буюмлар ва инвентарларни хариди учун ажратилган маблағлар таҳлили (42-52-110-модда)</t>
  </si>
  <si>
    <t>такомиллаштириш керак</t>
  </si>
  <si>
    <t>Банк маълумотлари таҳлили</t>
  </si>
  <si>
    <t>Банк ходимларига алоқадор таъминотчиларни аниқлаш ҳамда манфаатлар тўқнашувини автоматик тарзда аниқлаш.</t>
  </si>
  <si>
    <t xml:space="preserve">Ундириш имкони мавжуд бўлган жисмоний шахсларнинг муаммоли кредитлари </t>
  </si>
  <si>
    <t>Ундириш имкони мавжуд бўлган жисмоний шахсларнинг баланс ҳисобидан чиқарилган кредитлари</t>
  </si>
  <si>
    <t xml:space="preserve">Банкка алоқадор юридик ва жисмоний шахсларнинг муаммоли кредитлари </t>
  </si>
  <si>
    <t>Банкка алоқадор жисмоний шахсларнинг баланс ҳисобидан чиқарилган кредитлари</t>
  </si>
  <si>
    <t>Комплаенс-назорат</t>
  </si>
  <si>
    <t>Давлат улуши мавжуд ташкилотлар томонидан дивидендларнинг бюджетга тўғри тўланиши.</t>
  </si>
  <si>
    <t>Давлат улуши мавжуд ташкилотлар мол-мулкини сотишдан тушган маблағларидан солиқларни тўғри ҳисобланиши.</t>
  </si>
  <si>
    <t>Қазиб олинган фойдали қазилмаларни солиқ ҳисоботларида акс эттирилиши таҳлили.</t>
  </si>
  <si>
    <t>Қурилиш объекти пулларини тўланиши таҳлили</t>
  </si>
  <si>
    <t>Импорт маҳсулотлари таҳлили</t>
  </si>
  <si>
    <t>Юридик шахслар томонидан сотилган мол-мулкларни солиқ ҳисоботларида акс эттирилиши</t>
  </si>
  <si>
    <t>Газ тўлдириш шохобчалари томонидан сотилган газ миқдорларини солиқ ҳисоботларида тўғри акс эттирилиши</t>
  </si>
  <si>
    <t>Энергия ресурсларидан фойдаланиб келаётган юридик шахслар таҳлили</t>
  </si>
  <si>
    <t>Йил давомида бажарилган иш ёки сотилган товарлар учун фактура расмийлаштирган субъектлар таҳлили</t>
  </si>
  <si>
    <t>Товар айланмасини амалга ошириб, фойдага эга бўлмаган корхоналар таҳлили</t>
  </si>
  <si>
    <t>Рейтинг балига тўғри келмайдиган қурилишлар (Қурилиш назорат инспекцияси дастурий таъминоти маълумотлар базасини улаш ва жорий назоратни ташкил этиш)</t>
  </si>
  <si>
    <t>Давлат харидларида шартномаларга қўйилган имзоларнинг ва QR кодларнинг асллигини текшириш</t>
  </si>
  <si>
    <t>Кооперация порталида импорт қилинган маҳсулотларнинг реализациясини текшириш</t>
  </si>
  <si>
    <t>Экспертизадан ўтказилган лойиҳалар ва импорт контрактлар тўғрисида маълумот олиш</t>
  </si>
  <si>
    <t>Бюджет ташкилотларида тўрт ва ундан ортиқ жойдан даромад оладиган фуқаролар таҳлили</t>
  </si>
  <si>
    <t>Давлат улуши мавжуд ташкилотларида тўрт ва ундан ортиқ жойдан даромад оладиган фуқаролар таҳлили</t>
  </si>
  <si>
    <t>Бюджет ташкилотларида непотизм ҳолатлари таҳлили</t>
  </si>
  <si>
    <t>Харид предмети унинг техник параметрига мос бўлмаган ҳолатлар таҳлили (AI)</t>
  </si>
  <si>
    <t>Шартномада кўрсатилган товар номларини фактура орқали етказиб берилган товар номлари билан солиштиришш орқали номунтаносиб товарларни аниқлаш (AI)</t>
  </si>
  <si>
    <t>Бир маротаба ишлатиб тўхтатганмиз, доимий ишлаиамизми?</t>
  </si>
  <si>
    <t>мавжуд камчилик хар ой қайтарилишини инобатга олиб, тахлил механизмини ўзгартириш лозим</t>
  </si>
  <si>
    <t>Мансабдор шахсларга боғлиқ етказиб берувчилар билан тузилган шартномалар (UZEX, XT-xarid, cooperation)</t>
  </si>
  <si>
    <t>Харид комиссиясида манфаатлар тўқнашуви (UZEX, XT-xarid, Сooperation)</t>
  </si>
  <si>
    <t>Манфаатлар тўқнашуви (тўғридан-тўғри) (UZEX, XT-xarid, Сooperation)</t>
  </si>
  <si>
    <t>Таҳлил механизмини тушунтиришлари керак</t>
  </si>
  <si>
    <t>Солиқ ҳисоботлари тўғрисида маълумот тўлиқ келмаган</t>
  </si>
  <si>
    <t>Таҳлил механизми бўйича аниқ таклиф киритилгандан сўнг йўналиш автоматлаштирилади</t>
  </si>
  <si>
    <t>Таъминотчилар тўғрисида маълумотлар тақдим этилганидан сўнг йўналиш автоматлаштирилади</t>
  </si>
  <si>
    <t>Ишга туширилмаганлиги юзасидан мавжуд муаммо</t>
  </si>
  <si>
    <t>Сунъий интеллект орқали амалга оширилган таҳлиллар</t>
  </si>
  <si>
    <t>Тўғриан тўғри харидларни Uzex тизимидан олиб, уларда ҳам манфаатлар тўқнашувини назорат қилиш лозим</t>
  </si>
  <si>
    <t>Янги тизими билан интеграция қилиш лозим</t>
  </si>
  <si>
    <t>Қайтарилган йўналиш</t>
  </si>
  <si>
    <r>
      <t xml:space="preserve">Ҳолат
</t>
    </r>
    <r>
      <rPr>
        <i/>
        <sz val="10"/>
        <color theme="1"/>
        <rFont val="Arial"/>
        <family val="2"/>
        <charset val="204"/>
      </rPr>
      <t>(0-жараёнда,
1-ишлаб чиқилган, 
2-ишламайди,
3-тўхтатилган)</t>
    </r>
  </si>
  <si>
    <t>Харид комиссия аъзоларининг ҳамда маҳсулот етказиб берувчилар ўртасида манфаатлар тўқнашуви таҳлили</t>
  </si>
  <si>
    <t>Харид иштирокчилари ўртасида манфаатлар тўқнашуви таҳлили</t>
  </si>
  <si>
    <t>Сунъий интеллект механизми ёрдамида аниқланадиган риск-таҳлил йўналишлари</t>
  </si>
  <si>
    <t>Ўтказилган харидларнинг шартномаларида келтирилган товар номлари билан солиқ органларининг ҳисобварақ-фактуралари солиштириш орқали товарларнинг номутаносиб ҳолатларини аниқлаш</t>
  </si>
  <si>
    <t>Солиқ тўловчилар томонидан расмийлаштирилган ҳисобварақ-фактураларида сотиладиган товарларни кирим қилинганлигини текшириш</t>
  </si>
  <si>
    <t>Харид жараёнларида, сотиладиган маҳсулотларни уларнинг тавсифи билан солиштириб, тавсифига тўғри келмайдиган маҳсулотларни ажратиб олиш</t>
  </si>
  <si>
    <t>Аудит тадбири бошлашдан олдин, аудит объектининг олдинги текширишда аниқланган камчиликлардан келиб чиқиб жорий аудит тадбирида қайси йўналишларга эътибор қаратиш лозимлиги тўғрисида маълумот шакллантириш</t>
  </si>
  <si>
    <t>Харид иштирокчилари ўртасида аффилланганлик ҳолатларини аниқлаш</t>
  </si>
  <si>
    <t>Таклиф киритган ходим</t>
  </si>
  <si>
    <t>Ижарага берилган давлат мулклари тўғрисида маълумот олиш</t>
  </si>
  <si>
    <t>Суд бошқарувчилари тўғрисидаги маълумот олиш</t>
  </si>
  <si>
    <t>Устав фондида давлат улуши мавжуд хўжалик жамиятлари ва давлат корхоналари тўғрисидаги маълумот олиш</t>
  </si>
  <si>
    <t>Сотилган давлат мулклари тўғрисида маълумот олиш</t>
  </si>
  <si>
    <t>Устав фондида давлат улуши 50 фоиздан ортиқ бўлган ташкилотларнинг бизнес-режалари тўғрисида маълумот олиш</t>
  </si>
  <si>
    <t>Электрон магазин, аукцион ва тендер (танлов) лотлари бўйича маълумотни олиш</t>
  </si>
  <si>
    <t>Тўғридан-тўғри шартномалар бўйича лот маълумотларини олиш</t>
  </si>
  <si>
    <t>Харид қилиш жараёнида қатнашган иштирокчилар тўғрисида маълумот олиш</t>
  </si>
  <si>
    <t>Харид қилиш жараёни ҳолати (статуси) ва унинг ўзгариши тарихи тўғрисида маълумот олиш</t>
  </si>
  <si>
    <t>Шартномалар юзасидан қўлланилган жарималар (электрон магазин ва аукцион учун) тўғрисида маълумот олиш</t>
  </si>
  <si>
    <t>Ер қаъри участкаларидан фойдаланиш ҳуқуқи учун лицензия берилганлиги, уларнинг амал қилиши вақтинча тўхтатилганлиги ва тугатилганлиги, ҳамда мазкур ҳужжатлар бекор қилинганлиги тўғрисида маълумот олиш</t>
  </si>
  <si>
    <t>Ер қаъри участкаларидан фойдаланувчилар томонидан йиллик қазиб олинган фойдали қазилмалар ҳажмлари тўғрисида маълумот олиш</t>
  </si>
  <si>
    <t>Ер ости сувларидан фойдаланувчи тадбиркорлик субъектлари ва олинган сув ҳажми тўғрисида маълумот олиш</t>
  </si>
  <si>
    <t>“Кон ишларини ривожлантириш йиллик режалари”да қазиб олиниши кутилаётган фойдали қазилмаларнинг чораклар кесимидаги ҳажмлари тўғрисида маълумот олиш</t>
  </si>
  <si>
    <t>Ирригация тизими ёки асосий суволиш нуқтасидаги сув ўлчаш ускунаси кўрсатгичлари тўғрисида маълумот олиш</t>
  </si>
  <si>
    <t>Сув хўжалиги вазирилигидаги Ирригация тизимлари ва асосий суволиш нуқталари рўйхатини олиш</t>
  </si>
  <si>
    <t>Ижро ҳужжати умумий маълумот ва ҳолати тўғрисида маълумот олиш</t>
  </si>
  <si>
    <t>Ижро ҳужжатида амалга оширилган ҳаракат тўғрисида маълумот олиш</t>
  </si>
  <si>
    <t>Ижро ҳужжатлари бўйича қарздорларнинг мол-мулкларига қўйилган тақиқ тўғрисида маълумот олиш</t>
  </si>
  <si>
    <t>Ижро ҳужжатлари бўйича қарздорларнинг банкдаги ҳисобрақамларига инкассо топшириқномалари қўйилиши тўғрисида маълумот олиш</t>
  </si>
  <si>
    <t>Ундирилган ёки мол-мулкни сотиш натижасида тушган маблағларни ундирувчига ўтказиб берилган маблағлар тўғрисида маълумот олиш</t>
  </si>
  <si>
    <t>Юридик ва жисмоний шахсларга оилавий тадбиркорликни ривожлантириш дастурлари доирасида ажратилган кредитлар тўғрисида маълумот олиш</t>
  </si>
  <si>
    <t>Давлат харидлари бўйича тузилган шартномалар тўғрисида маълумот олиш</t>
  </si>
  <si>
    <t>Брокерлар томонидан ставка қилинган буюртмалар тўғрисида маълумот олиш</t>
  </si>
  <si>
    <t>Қурилиш соҳасида элeктрон давлат харидларини ўтказиш платформаси орқали қурилиш-пудрат ва лойиҳа ташкилотларини аниқлаш бўйича ўтказилган тендер савдолари тўғрисидаги маълумот олиш</t>
  </si>
  <si>
    <t>Тендерда иштирок этган ташкилотлар тўғрисида маълумот олиш</t>
  </si>
  <si>
    <t>Қурилиш сохасида тендер савдоларидан четлаштирилган иштирокчилар рўйхатини олиш</t>
  </si>
  <si>
    <t>Қурилиш соҳасида давлат назорати инспекциясига оид маълумотларни олиш</t>
  </si>
  <si>
    <t>Объектни фойдаланишга топшириш бўйича келиб тушган аризалар тўғрисида маълумот олиш</t>
  </si>
  <si>
    <t>Бино ва иншоотларни реконструкция қилиш ҳамда ўз ҳудудида қўшимча бино ва иншоотларни қуриш учун рухсатнома (300 куб юқори)</t>
  </si>
  <si>
    <t>Соҳавий қурилиш-пудрат ва лойиҳа-қидирув ташкилотлари рейтинги тўғрисида маълумот олиш</t>
  </si>
  <si>
    <t>Фойдаланувчилар тўғрисида маълумот олиш</t>
  </si>
  <si>
    <t>Лойиҳа-смета хужжатларини экспертизадан ўтказиш бўйича юборилган мурожаатлар тўғрисида маълумот олиш</t>
  </si>
  <si>
    <t>Йиғма хулосалар тўғрисида маълумот олиш</t>
  </si>
  <si>
    <t>Хориждаги бўш иш ўринлари тўғрисида маълумот олиш</t>
  </si>
  <si>
    <t>Хориждаги бўш иш ўринларига қизиқиш билдирган фуқаролар тўғрисида маълумот олиш</t>
  </si>
  <si>
    <t>Электрон кооперация порталида рўйҳатдан ўтган ташкилотларнинг маҳсулотлари ҳақида маълумотлар</t>
  </si>
  <si>
    <t>Электрон кооперация порталида рўйхатдан ўтган ташкилотлар тўғрисида маълумотлар</t>
  </si>
  <si>
    <t>Электрон кооперация портали орқали тузилган шартномалар ҳақида маълумот</t>
  </si>
  <si>
    <t>Лот бўйича умумий маълумотларни олиш (Тўғридан тўғри шартномалар)</t>
  </si>
  <si>
    <t>Лот бўйича умумий маълумотларни олиш</t>
  </si>
  <si>
    <t>УзАсбо ташкилотлар</t>
  </si>
  <si>
    <t>Uzasbo - Dembat shartnoma</t>
  </si>
  <si>
    <t>Uzasbo Contract</t>
  </si>
  <si>
    <t>Uzasbo Oylik</t>
  </si>
  <si>
    <t>Uzasbo Kadr</t>
  </si>
  <si>
    <t>Яқин қариндошлар тўғрисида маълумот олиш</t>
  </si>
  <si>
    <t>Сотилган давлат мулклари тўғрисида маълумотлар</t>
  </si>
  <si>
    <t>Ягона реестр тизимидан "Тасдиқланган" фуқаролар буйича маълумот олиш</t>
  </si>
  <si>
    <t>Ягона реестр тизимида маълум ойга тузилган ведомость буйича маълумот олиш</t>
  </si>
  <si>
    <t>Объектнинг кадастр рақами бўйича</t>
  </si>
  <si>
    <t>Кадастр рақамларини олиш (ЖШШИР)</t>
  </si>
  <si>
    <t>Ягона иштирокчиси ногиронлиги бўлган шахсларнинг жамоат бирлашмалари ҳисобланган юридик шахслар ҳамда улар томонидан ишлаб чиқариладиган маҳсулотларнинг ягона реестридан ўтган ташкилотлар</t>
  </si>
  <si>
    <t>Фуқарони ишсиз деб топиш тўғрисида маълумотлар</t>
  </si>
  <si>
    <t>Меҳнат миграциясидан қайтган фуқароларни ишга қабул қилганлиги учун иш берувчиларга субсидия</t>
  </si>
  <si>
    <t>Фуқароларни ишга жойлаштиришда кўмаклашиш</t>
  </si>
  <si>
    <t>Қишлоқ хўжалиги ерларини “E-IJARA”  тизимида ижaрага берилганлиги тўғрисида маълумот олиш</t>
  </si>
  <si>
    <t>Қишлоқ хўжалиги субъектларига ажратилган субсидиялар тўғрисида маълумот (Агросубсидия)</t>
  </si>
  <si>
    <t>Докторантлар рўйхати</t>
  </si>
  <si>
    <t>Инсофсиз солиқ тўловчилар</t>
  </si>
  <si>
    <t>Юридик шахслар маълумотларини олиш (Компания)</t>
  </si>
  <si>
    <t>Юридик шахслар маълумотларини олиш (Директор)</t>
  </si>
  <si>
    <t>Юридик шахслар маълумотларини олиш (Таъсисчилар)</t>
  </si>
  <si>
    <t>Спортчилар</t>
  </si>
  <si>
    <t>Тренерларга берилган малака сертификати бўйича маълумотлар</t>
  </si>
  <si>
    <t>Юридик ва жисмоний шахсларнинг автотранспортларига олинган лицензиялар тўғрисида маълумот олиш</t>
  </si>
  <si>
    <t>Юридик ва жисмоний шахсларнинг автотранспортларига лицензия олиш учун аризалар тўғрисида маълумот олиш</t>
  </si>
  <si>
    <t>Маълум даврда тайинланган ногиронлар руйхатини олиш</t>
  </si>
  <si>
    <t xml:space="preserve"> - йиллик</t>
  </si>
  <si>
    <t>Чорвачилик, паррандачилик ва балиқчилик хўжаликлари томонидан етиштирилган ва сотилган маҳсулотлар учун субсидия ажратишга юборилган аризалар тўғрисида маълумот олиш</t>
  </si>
  <si>
    <t>Назорат-касса машинаси орқали муҳрланган тўловлар тўғрисида маълумот олиш</t>
  </si>
  <si>
    <t>Етиштирилган ва сотилган маҳсулотлар учун субсидия ажратишга юборилган аризага асосан амалга оширилган субсидия тўловлари тўғрисида маълумот олиш</t>
  </si>
  <si>
    <t>Харидлар бўйича далолатномалар тўғрисида маълумот олиш</t>
  </si>
  <si>
    <t>Ишлаб чиқарилган маҳсулотларнинг сотилганлиги тўғрисида маълумот олиш</t>
  </si>
  <si>
    <t>Ишлаб чиқарилган маҳсулотлар тўғрисида маълумот олиш</t>
  </si>
  <si>
    <t>Омборхоналардаги маҳсулотлар тўғрисида маълумот олиш</t>
  </si>
  <si>
    <t>Шартномалар тўғрисида маълумот олиш</t>
  </si>
  <si>
    <t>Электр энергиясининг сотилиши тўғрисида маълумот олиш</t>
  </si>
  <si>
    <t>Иссиқлик энергиясининг сотилиши тўғрисида маълумот олиш</t>
  </si>
  <si>
    <t>Сотилган маҳсулотлар (ишлар, хизматлар) тўғрисида маълумот олиш</t>
  </si>
  <si>
    <t>Компания харажатлари тўғрисида маълумот олиш</t>
  </si>
  <si>
    <t>Экспорт қилинган маҳсулотлар (ишлар, хизматлар) тўғрисида маълумот олиш</t>
  </si>
  <si>
    <t>Дебитор ва кредитор қарздорликлар тўғрисида маълумот олиш</t>
  </si>
  <si>
    <t>Сарфланган электр энергияси тўғрисида маълумот олиш</t>
  </si>
  <si>
    <t>Транспортировка қилинган товарлар тўғрисида маълумот олиш</t>
  </si>
  <si>
    <t>Дотацияланган йўналишларда ташилган йўловчилар тўғрисида маълумот олиш</t>
  </si>
  <si>
    <t>Инвестицион лойиҳалар тўғрисида умумий маълумот олиш</t>
  </si>
  <si>
    <t>Инвестицион лойиҳаларнинг молиявий маълумотларини олиш</t>
  </si>
  <si>
    <t>Инвестицион лойиҳаларнинг ўзлаштирилиш ҳолати тўғрисида маълумот олиш</t>
  </si>
  <si>
    <t>Инвестицион лойиҳаларни амалга ошириш қадамлари тўғрисида маълумот олиш</t>
  </si>
  <si>
    <t>Инвестицион лойиҳаларнинг тармоқ жадвали тўғрисида маълумот олиш</t>
  </si>
  <si>
    <t>Инвестицион лойиҳаларнинг ўзлаштирилиши бўйича Божхона қўмитаси базасидаги маълумотларини олиш</t>
  </si>
  <si>
    <t>Инвестицион лойиҳаларнинг ўзлаштирилиши бўйича Солиқ қўмитаси базасидаги маълумотларини олиш</t>
  </si>
  <si>
    <t>Инвестицион лойиҳаларнинг ўзлаштирилиши бўйича Марказий банк базасидаги маълумотларини олиш</t>
  </si>
  <si>
    <t>Ташкилот фаолиятидаги молиявий айланма маблағлар тўғрисида маълумот олиш</t>
  </si>
  <si>
    <t>Ташкилотдаги мавжуд шартномалар тўғрисида маълумот олиш</t>
  </si>
  <si>
    <t>Ташкилот томонидан харид қилинган маҳсулот (товар, хизмат)лар тўғрисида маълумот олиш</t>
  </si>
  <si>
    <t>Ташкилот томонидан сотилган маҳсулот (товар, хизмат)лар тўғрисида маълумот олиш</t>
  </si>
  <si>
    <t>Давлат улуши мавжуд ташкилотларида непотизм ҳолатлари таҳлили</t>
  </si>
  <si>
    <t>Божхона юк декларациялари (БЮД) тўғрисида маълумот олиш</t>
  </si>
  <si>
    <t>Божхона омборидаги божхона юк декларациялари тўғрисида маълумот олиш</t>
  </si>
  <si>
    <t>Қўшимча имкониятлар</t>
  </si>
  <si>
    <t>Фойдаланувчи томонидан ушбу модул орқали ташқи манбанинг очиқ манбаларидан фойдаланиш, риск ҳолатларини аниқлаш бўйича қўшимча имкониятлар яратилган</t>
  </si>
  <si>
    <t>Халқаро имтиҳонларда юқори балл тўплаган ёшларга имтиҳон топшириш харажатларини компенсация қилиш учун берилган аризалар тўғрисида маълумот олиш</t>
  </si>
  <si>
    <t>Ёшларга тақдим этилган ер майдонларида етиштириладиган экин турлари ва уларнинг миқдори тўғрисида маълумот олиш</t>
  </si>
  <si>
    <t>Бир миллион дастурчи лойиҳаси доирасида сертификат олганлар учун компьютер харид қилиш учун истеъмол кредити фоизлари учун компенсация олиш учун берилган аризалар тўғрисида маълумот олиш</t>
  </si>
  <si>
    <t>Жамият фаолиятидаги шартномалар тўғрисида маълумот олиш</t>
  </si>
  <si>
    <t>Жамият фаолиятидаги ҳисоб-фактуралар тўғрисида маълумот олиш</t>
  </si>
  <si>
    <t>Жамият фаолиятидаги ишлаб чиқариш кўрсатгичлари тўғрисида маълумот олиш</t>
  </si>
  <si>
    <t>Сотилган маҳсулотлар тўғрисида маълумот олиш</t>
  </si>
  <si>
    <t>Риск йўналиш номи</t>
  </si>
  <si>
    <t>Ишлаш сони</t>
  </si>
  <si>
    <t>Аниқланган рисклар сони</t>
  </si>
  <si>
    <t>Бугунги кунда холати</t>
  </si>
  <si>
    <t>1. Иш ҳақи ҳисобланиши ва тўланиши</t>
  </si>
  <si>
    <t>Таҳлил механизми ўзгаргани сабабли янги риск механизмига ўтказилган</t>
  </si>
  <si>
    <t>Тўхтатилган</t>
  </si>
  <si>
    <t>Интеграция гурухи</t>
  </si>
  <si>
    <t>Давлат улуши мавжуд ташкилотларида ишловчиларнинг 4 ва ундан ортиқ даромад манбаига эга фуқаролар</t>
  </si>
  <si>
    <t>Ишга туширишга тайёр</t>
  </si>
  <si>
    <t>Бюджет ташкилотларида ишловчиларнинг 4 ва ундан ортиқ даромад манбаига эга фуқаролар</t>
  </si>
  <si>
    <t>[NULL]</t>
  </si>
  <si>
    <t>Бошланмаган</t>
  </si>
  <si>
    <t>Ўқиш бўйича шартномаларда стипендия тўлаш назарда тутилмаган талабаларга ноқонуний стипендия тўланиши</t>
  </si>
  <si>
    <t>ЯММТда меҳнат шартномаларсиз УзАСБОда ойлик иш ҳақи ҳисобланганлиги</t>
  </si>
  <si>
    <t>Бюджет ташкилотлари ходимлари иш ҳақисини УзАСБО ва Солиқ органлари маълумотлари базасини ўзаро солиштириш</t>
  </si>
  <si>
    <t>Бюджет ташкилотларида моддий ёрдам пулларини ортиқча тўланиши</t>
  </si>
  <si>
    <t>Автомобилларга ёқилғи қуйиш шахобчалари томонидан сотилган газ (метан) миқдори таҳлили</t>
  </si>
  <si>
    <t>1. Солиқ бўйича</t>
  </si>
  <si>
    <t>Ер қаридан фойдаланувчи субъектларнинг таҳлили</t>
  </si>
  <si>
    <t>Қишлоқ хўжалигида фойдаланилган сув ҳажми таҳлили</t>
  </si>
  <si>
    <t>Бир марталик</t>
  </si>
  <si>
    <t>Товар, иш ёки хизматларни реализация қилишдан олинган даромадларни фойда солиғи ҳисоботида тўғри шакллантирилганлиги таҳлили</t>
  </si>
  <si>
    <t>Ер қаъридан фойдаланувчи субъектларнинг таҳлили (2024 й)</t>
  </si>
  <si>
    <t>Тузатиш киритилган ЭҲФлар бўйича ҚҚСга қайта ҳисобот олинмаган ҳолатлар таҳлили</t>
  </si>
  <si>
    <t>Қишлоқ ва ўрмон хўжаликлари ишлаб чиқариши нобудгарчилигини қоплаш ҳолати таҳлили</t>
  </si>
  <si>
    <t>2. Бошқа тушумлар</t>
  </si>
  <si>
    <t>Харид предмети унинг техник параметрига мос бўлмаган ҳолатлар таҳлили</t>
  </si>
  <si>
    <t>2. Давлат харидлари</t>
  </si>
  <si>
    <t>Харид комиссиясида манфаатлар тўқнашуви (XT xarid)</t>
  </si>
  <si>
    <t>Мансабдор шахсларга боғлиқ етказиб берувчилар билан тузилган шартномалар (UZEX)</t>
  </si>
  <si>
    <t>Давлат харидларида манфаатлар тўқнашуви (COOPERATION)</t>
  </si>
  <si>
    <t>Етарли тажрибага эга бўлмаган етказиб берувчилар билан тузилган тўғридан-тўғри шартномалар таҳлили</t>
  </si>
  <si>
    <t>Тўғридан-тўғри шартномалар мониторинги</t>
  </si>
  <si>
    <t>Аффилланганлик таҳлили</t>
  </si>
  <si>
    <t>Мансабдор шахсларга боғлиқ етказиб берувчилар билан тузилган шартномалар</t>
  </si>
  <si>
    <t>Харид комиссиясида манфаатлар тўқнашуви (UZEX)</t>
  </si>
  <si>
    <t>Давлат харидларида манфаатлар тўқнашуви</t>
  </si>
  <si>
    <t>Шубҳали корхоналар билан тузилган харид шартномалари</t>
  </si>
  <si>
    <t>Давлат харидларида нарх таҳлили V2</t>
  </si>
  <si>
    <t>Давлат харидларида манфаатлар тўқнашуви (UZEX)</t>
  </si>
  <si>
    <t>Мансабдор шахсларга боғлиқ етказиб берувчилар билан тузилган шартномалар (COOPERATION)</t>
  </si>
  <si>
    <t>“Шаффоф қурилиш” миллий ахборот тизими орқали ўтказилаётган тендер савдоларидаги қонун бузилиш ҳолатларини аниқлаш</t>
  </si>
  <si>
    <t>Давлат харидларида манфаатлар тўқнашуви (XT XARID)</t>
  </si>
  <si>
    <t>Мансабдор шахсларга боғлиқ етказиб берувчилар билан тузилган шартномалар (XT XARID)</t>
  </si>
  <si>
    <t>Лицензияга эга бўлмаган етказиб берувчилардан дори воситаларининг хариди</t>
  </si>
  <si>
    <t>Ғазначилик ҳисобварақалари мониторинги</t>
  </si>
  <si>
    <t>3. Бюджет маблағларини ажратилиши</t>
  </si>
  <si>
    <t>Смета маълумотлари мониторинги</t>
  </si>
  <si>
    <t>Иш жойига эга бўлган фуқароларга "Жамоат ишлари жамғармаси"дан маблағлар тўланиши</t>
  </si>
  <si>
    <t>4. Субсидияларни ажратилиши</t>
  </si>
  <si>
    <t>5. "Шаффоф қурилиш" миллий ахборот тизими</t>
  </si>
  <si>
    <t>"Шаффоф қурилиш" миллий ахборот тизимида ушбу камчиликлар бартараф этилган</t>
  </si>
  <si>
    <t>Рейтинг бахолашда бир транспорт воситасини 2 ва ундан ортиқ ҳисобга олиш</t>
  </si>
  <si>
    <t>Пудрат ва лойиҳа ташкилотларининг рейтинг тизимидаги соҳаларини ўзгариши таҳлили</t>
  </si>
  <si>
    <t>Рейтинг бахолашда ЯММТ орқали олинган ишчи ходимлар сони солиқ ҳисоботлари билан солиштирмаси</t>
  </si>
  <si>
    <t>Рейтинг балига тўғри келмайдиган қурилишлар</t>
  </si>
  <si>
    <t>Давлат улуши мавжуд корхоналарда непотизм таҳлили</t>
  </si>
  <si>
    <t>6. Комплаенс-назорат</t>
  </si>
  <si>
    <t>Ундириш имкони мавжуд бўлган жисмоний шахсларнинг баланс ҳисобидан чиқарилган кредитлари таҳлили</t>
  </si>
  <si>
    <t>7. Банк маълумотлари таҳлили</t>
  </si>
  <si>
    <t>Банкка алоқадор жисмоний шахсларнинг муаммоли кредитлари таҳлили</t>
  </si>
  <si>
    <t>Банкка алоқадор жисмоний шахсларнинг баланс ҳисобидан чиқарилган кредитлари таҳлили</t>
  </si>
  <si>
    <t>Ундириш имкони мавжуд бўлган муаммолик кредитлар таҳлили (Юридик шахс)</t>
  </si>
  <si>
    <t>Ундириш имкони мавжуд бўлган жисмоний шахсларнинг муаммоли кредитлари таҳлили</t>
  </si>
  <si>
    <t>Мансабдор шахсларга тегишли бўлган нотурар объектлар</t>
  </si>
  <si>
    <t>Аффилланганлик таҳлили (Uzex AI)</t>
  </si>
  <si>
    <t>8. Сунъий интеллект орқали амалга оширилган таҳлиллар</t>
  </si>
  <si>
    <t>Аффилланганлик таҳлили (Xt Xarid AI)</t>
  </si>
  <si>
    <t>Ғазначиликда рўйхатдан ўтган шартномадаги товар билан фактурадаги товарнинг ўзаро мувофиқлиги бўйича таҳлил (COOPERATION)</t>
  </si>
  <si>
    <t>Ғазначилик тизимида маълумотлар тўғри кўрсатмаганлиги сабабли риск тасдиғини топмади</t>
  </si>
  <si>
    <t>Ғазначиликда рўйхатдан ўтган шартномадаги товар билан фактурадаги товарнинг ўзаро мувофиқлиги бўйича таҳлил (UZEX)</t>
  </si>
  <si>
    <t>Ғазначиликда рўйхатдан ўтган шартномадаги товар билан фактурадаги товарнинг ўзаро мувофиқлиги бўйича таҳлил (XT XARID)</t>
  </si>
  <si>
    <t>Давлат харидларида манфаалар тўқнашуви (Ғазначилик маълумотига асосан)</t>
  </si>
  <si>
    <t>Манфаатлар тўқнашуви (Qurilish)</t>
  </si>
  <si>
    <t>Манфаатлар тўқнашуви (UZEX)</t>
  </si>
  <si>
    <t>Манфаатлар тўқнашуви (Xt Xarid)</t>
  </si>
  <si>
    <t>Харид комиссия аъзоларида манфаалар тўқнашуви (Uzex AI)</t>
  </si>
  <si>
    <t>Ишлаб чиқилмоқда</t>
  </si>
  <si>
    <t>Харид комиссия аъзоларида манфаалар тўқнашуви (Xt Xarid AI)</t>
  </si>
  <si>
    <t xml:space="preserve"> - Ишлаб турган риск йўналишлари</t>
  </si>
  <si>
    <t>Муддати ўтган дебитор ва кредитор қарздорликлар ҳисобини юритиш</t>
  </si>
  <si>
    <t>Ўзбекистон Республикаси Президентининг 2024 йил 10 июлдаги ПФ–100-сон Фармонида Ғазначилик хизмати қўмитасига рўйхатдан ўтказилган шартномалар бўйича муддати ўтган дебитор ва кредитор қарздорликлар ҳисобини юритиш ва Ҳисоб палатасига тақдим этиб бориш вазифаси юклатилган.
Бироқ, Ғазначилик хизмати қўмитаси томонидан аввалги йиллардан шаклланиб келаётган муддати ўтган дебитор ва кредитор қарздорликлар инобатга олинмаётганлиги сабабли ушбу қарздорликларнинг ҳисоби нотўғри юритилмоқда.
Мисол учун, Термиз сув йўллари техник участкаси давлат муассасасининг бульдозер хариди бўйича амалга оширилган 1,7 млрд сўмлик муддати ўтган дебитор қарздорлиги ҳамда Андижон давлат тиббиёт институтининг тиббий хизмат бўйича 598,7 млн сўмлик муддати ўтган кредитор қарздорлиги ҳисоботда акс эттирилмаган.</t>
  </si>
  <si>
    <t>Солиқ органлари томонидан “шубҳали” фаолият кўрсатган деб бахоланган ташкилотлар билан тузилган шартномалар</t>
  </si>
  <si>
    <t>Ҳисобварақ-фактуралар таҳлили давомида Солиқ органлари томонидан “шубҳали” фаолият кўрсатган, жумладан нақдлаштириш, кирим қилинмаган товарларни сотган ва қўпол камчиликларга йўл қўйган 60 та корхонадан 16,6 млрд сўм давлат харидлари амалга оширилган. 
Жумладан "RADIOALOQA RADIOESHITTIRISH VA TELEVIDENIE MARKAZI" 8 млрд сўм, UZINFOCOM 7 млрд сўм.</t>
  </si>
  <si>
    <t>Давлат хизматчилари томонидан тадбиркорлик билан шуғурланиши ҳолатлари</t>
  </si>
  <si>
    <t>Вазирлик тизимида ишлаётган 616 та ходим  (“O‘zbekiston pochtasi” AJ 147 та, “UZINFOCOM” 64 та) 706 та тадбиркорлик корхонада таъсисчи ҳисобланади. Шундан 77 таси давлат хизматчиси бўлиб, 84 та корхонада таъсисчилиги вазирликнинг имиджига салбий таъсир кўрсатади.
Шундан "RADIOALOQA, RADIOESHITTIRISH VA TELEVIDENIE MARKAZI"да 25 та, “Raqamli ta’limni rivojlantirish markazi”да 12 тани ташкил этади.</t>
  </si>
  <si>
    <t>Солиқ органлари томонидан ҳисобварақ-фактуралар тақдим этиш жараёнида хатоликлар мавжуд</t>
  </si>
  <si>
    <t>Вазирлик тизимида ишлаётган 441 та ходим (“O‘zbekiston pochtasi” AJ 101 та, AT “Aloqabank” 47 та, “UZINFOCOM” 46 та) 475 та тадбиркорлик корхонасининг раҳбари бўлиб ишламоқда. Шундан 59 таси ("RADIOALOQA, RADIOESHITTIRISH VA TELEVIDENIE MARKAZI" 20 та, “Raqamli ta’limni rivojlantirish markazi” 14 та) давлат хизматчиси бўлиб, “Давлат фуқаролик хизмати тўғрисида”ги Қонун талабларини бузмоқда.</t>
  </si>
  <si>
    <t>Изох</t>
  </si>
  <si>
    <t>Гурух</t>
  </si>
  <si>
    <t>Чегара постларидаги қизил йўлак орқали ўтган юк автотранспорт воситалари тўғрисида маълумот олиш</t>
  </si>
  <si>
    <t>Чегара постларидаги яшил йўлак орқали ўтган юк автотранспорт воситалари тўғрисида маълумот олиш</t>
  </si>
  <si>
    <t>Йиғма статик ҳисоботлар тўғрисида маълумот олиш</t>
  </si>
  <si>
    <t>Чорвачилик, паррандачилик ва балиқчилик хўжаликлари томонидан сотилган маҳсулотлар учун ҳисобланган субсидия миқдори тўғрисида маълумот олиш</t>
  </si>
  <si>
    <t>Назорат-касса машинаси орқали муҳрланган тўловлар асосида ҳисобланган субсидия миқдори тўғрисида маълумот олиш</t>
  </si>
  <si>
    <t>Савдо айланмалари бўйича электрон ҳисоб-фактуралар тўғрисида маълумот олиш</t>
  </si>
  <si>
    <t>Ўзбекистон Республикаси ҳудудидаги мавжуд меҳмонхоналар тўғрисида маълумот олиш</t>
  </si>
  <si>
    <t>Ўзбекистон Республикаси ҳудудидаги мавжуд меҳмонхоналарда рўйхатдан ўтган мижозлар тўғрисида маълумот олиш</t>
  </si>
  <si>
    <t>Биржа савдоларига қўйилган лотлар натижалари ҳақидаги маълумот олиш</t>
  </si>
  <si>
    <t>Товар, молия ва рақамли бозорлар тўғрисидаги ҳисоботларни олиш</t>
  </si>
  <si>
    <t>Ҳуқуқбузар субъектлар («қора рўйхат»), истеъмол учун хавфли бўлган товарлар (иш, хизматлар) тўғрисида маълумот олиш</t>
  </si>
  <si>
    <t>Табиий монополия субъектлари тўғрисида маълумот олиш</t>
  </si>
  <si>
    <t>Товар ёки молия бозорида устун мавқени эгаллаб турган хўжалик юритувчи субъектлари тўғрисида маълумот олиш</t>
  </si>
  <si>
    <t>Ер участкаларини аукцион орқали ижарага берилиши тўғрисида маълумот олиш</t>
  </si>
  <si>
    <t>Лот рақами бўйича мулк маълумотларини олиш</t>
  </si>
  <si>
    <t>"Масофавий аудит" ААТ доирасида ишлаб чиқиладиган риск-таҳлил механизмлари тўғрисида маълумот</t>
  </si>
  <si>
    <t>Қамраб олиш фоизи</t>
  </si>
  <si>
    <t>Жараёнда
фоизи</t>
  </si>
  <si>
    <t>Режада
фоизи</t>
  </si>
  <si>
    <t>UzASBO тизими маълумотларига асосан 4 ва ундан ортиқ жойдан даромад олувчи фуқаролар тўғрисида маълумот</t>
  </si>
  <si>
    <t>Ғазначилик, Коррупцияга қарши курашиш агентлиги, Ҳуқуқни мухофаза қилиш органлари (прокуратура) ва солиқ органларига борча турдаги рискларни юбориш имконияти</t>
  </si>
  <si>
    <t xml:space="preserve"> - тўловларни тўхтатиш модули (Ғазначилик)</t>
  </si>
  <si>
    <t xml:space="preserve"> - Коррупцияга қарши кураиш агентлиги</t>
  </si>
  <si>
    <t xml:space="preserve"> - ҳуқуқни мухофаза қилиш органлари (прокуратура)</t>
  </si>
  <si>
    <t xml:space="preserve"> - Солиқ назорати</t>
  </si>
  <si>
    <t>Давлат харидларининг электрон тизимига жойлаштирилган эълонлар тўғрисида маълумот олиш</t>
  </si>
  <si>
    <t>Давлат фуқаролик хизматчилари тўғрисида жами маълумотларни олиш</t>
  </si>
  <si>
    <t>Давлат фуқаролик хизматчилари тўғрисидаги охирги янгиланган ёки ўзгартирилган маълумотларни олиш</t>
  </si>
  <si>
    <t>Масъул гуруҳ</t>
  </si>
  <si>
    <t>Изоҳ</t>
  </si>
  <si>
    <t>Модул сони</t>
  </si>
  <si>
    <t>Йўналиш сони</t>
  </si>
  <si>
    <t>Ишга туширилган</t>
  </si>
  <si>
    <t>комплаенс</t>
  </si>
  <si>
    <t>т.р</t>
  </si>
  <si>
    <t>9. Солиқ бўйича</t>
  </si>
  <si>
    <t>10. Бошқа тушумлар</t>
  </si>
  <si>
    <t>Оила таркиби тўғрисида маълумот олиш</t>
  </si>
  <si>
    <t>Адлия вазирлигида рўйхатга олинган юридик шахслар тўғрисида маълумот олиш</t>
  </si>
  <si>
    <t>Тадбиркорлик субъектлари томонидан олинган лицензиялар тўғрисида маълумот олиш</t>
  </si>
  <si>
    <t>Адлия вазирлигида рўйхатга олинган якка тартибдаги тадбиркорлар тўғрисида маълумот олиш</t>
  </si>
  <si>
    <t>Ихтиролар тўғрисида маълумот олиш</t>
  </si>
  <si>
    <t>Товар белгилари тўғрисида маълумот олиш (интелетуал мулк)</t>
  </si>
  <si>
    <t>Нодавлат мактабгача таълим ташкилоти учун олинган субсидия маблағлари бўйича маълумот олиш</t>
  </si>
  <si>
    <t>Ҳудудга қарашли умумий ўрта таълим мактаблари тўғрисида маълумот олиш</t>
  </si>
  <si>
    <t>Ҳудудга қарашли умумий ўрта таълим мактабларида фаолият юритаётган ўқитувчилар тўғрисида маълумот олиш</t>
  </si>
  <si>
    <t>Ҳудудга қарашли умумий ўрта таълим мактабларида ўқиётган ўқувчилар тўғрисида маълумот олиш</t>
  </si>
  <si>
    <t>Жараён тўғрисида умумий маълумот олиш</t>
  </si>
  <si>
    <t>Харид қилиш тартиб-таомилида қатнашган иштирокчилар тўғрисида маълумот олиш</t>
  </si>
  <si>
    <t>Жараён статуси ва шартнома тўғрисида маълумот олиш</t>
  </si>
  <si>
    <t>Шартнома бўйича жараёнлар тўғрисида маълумот олиш</t>
  </si>
  <si>
    <t>Биржа савдолари орқали амалга оширилган харидлар (СПОТ) тўғрисида маълумот олиш</t>
  </si>
  <si>
    <t>Пенсия жамғармаси маълумотлар базасида мавжуд барча турдаги пенсионерлар тўғрисида маълумот олиш</t>
  </si>
  <si>
    <t>Пенсия жамғармаси томонидан пенсионерларга ҳисобланган пенсия миқдори тўғрисида маълумот олиш (ведомость)</t>
  </si>
  <si>
    <t>Пенсия жамғармаси томонидан пенсионерларга тўланган пенсия миқдори тўғрисида маълумот олиш</t>
  </si>
  <si>
    <r>
      <t xml:space="preserve">Интеграция ҳолати
</t>
    </r>
    <r>
      <rPr>
        <i/>
        <sz val="11"/>
        <color theme="1"/>
        <rFont val="Calibri"/>
        <family val="2"/>
      </rPr>
      <t>(1-якунланган, 
2-электрон ҳукумат,
3-давом этмоқда,
4-ТЙ и/ч моқда)</t>
    </r>
  </si>
  <si>
    <r>
      <t xml:space="preserve">режада </t>
    </r>
    <r>
      <rPr>
        <i/>
        <sz val="11"/>
        <color theme="1"/>
        <rFont val="Calibri"/>
        <family val="2"/>
      </rPr>
      <t xml:space="preserve">(кейинги босқич) </t>
    </r>
  </si>
  <si>
    <r>
      <t xml:space="preserve">Микросервис </t>
    </r>
    <r>
      <rPr>
        <sz val="11"/>
        <color theme="1"/>
        <rFont val="Calibri"/>
        <family val="2"/>
      </rPr>
      <t>(автоматик маълумотларни жамлаш тизими)</t>
    </r>
  </si>
  <si>
    <r>
      <rPr>
        <b/>
        <sz val="11"/>
        <color theme="1"/>
        <rFont val="Calibri"/>
        <family val="2"/>
      </rPr>
      <t>Электрон ҳукумат маркази</t>
    </r>
    <r>
      <rPr>
        <sz val="11"/>
        <color theme="1"/>
        <rFont val="Calibri"/>
        <family val="2"/>
      </rPr>
      <t>дан вазирлик ва идоралар томонидан тақдим этиладиган маълумотларни онлайн олиш</t>
    </r>
  </si>
  <si>
    <r>
      <rPr>
        <b/>
        <sz val="11"/>
        <color theme="1"/>
        <rFont val="Calibri"/>
        <family val="2"/>
      </rPr>
      <t>Вазирлик ва идоралар</t>
    </r>
    <r>
      <rPr>
        <sz val="11"/>
        <color theme="1"/>
        <rFont val="Calibri"/>
        <family val="2"/>
      </rPr>
      <t xml:space="preserve"> томонидан тақдим этиладиган маълумотларни тўғридан-тўғри онлайн олиш</t>
    </r>
  </si>
  <si>
    <r>
      <t xml:space="preserve">"Масофавий назорат" маркази томонидан қонун бузилиш риски сифатида баҳоланган ҳолатларни Ҳисоб палатаси томонидан ёки вазирлик ва идоралар </t>
    </r>
    <r>
      <rPr>
        <i/>
        <sz val="11"/>
        <color theme="1"/>
        <rFont val="Calibri"/>
        <family val="2"/>
      </rPr>
      <t>(камчиликларни энг қуйи ижрочисигача тушириш ва натижасини олиш)</t>
    </r>
    <r>
      <rPr>
        <sz val="11"/>
        <color theme="1"/>
        <rFont val="Calibri"/>
        <family val="2"/>
      </rPr>
      <t xml:space="preserve"> томонидан бартараф этилишини назорат қилиш</t>
    </r>
  </si>
  <si>
    <r>
      <t xml:space="preserve"> - қонун бузилиш ҳолатларини бартараф этилишини назорат қилиш </t>
    </r>
    <r>
      <rPr>
        <i/>
        <sz val="11"/>
        <color theme="1"/>
        <rFont val="Calibri"/>
        <family val="2"/>
      </rPr>
      <t>(назоратдан ечиш, қайта назоратга юбориш)</t>
    </r>
  </si>
  <si>
    <r>
      <t xml:space="preserve">Ҳисоб палатасининг назорат тадбирлари учун ўтган давр </t>
    </r>
    <r>
      <rPr>
        <i/>
        <sz val="11"/>
        <color theme="1"/>
        <rFont val="Calibri"/>
        <family val="2"/>
      </rPr>
      <t>(ўтган йиллар)</t>
    </r>
    <r>
      <rPr>
        <sz val="11"/>
        <color theme="1"/>
        <rFont val="Calibri"/>
        <family val="2"/>
      </rPr>
      <t xml:space="preserve"> мобайнида вазирлик ва идоралар ҳамда уларнинг ҳудудий ташкилотлари кесимида рискларни шакллантириш</t>
    </r>
  </si>
  <si>
    <r>
      <t xml:space="preserve"> - Хавфлар мониторинги </t>
    </r>
    <r>
      <rPr>
        <i/>
        <sz val="11"/>
        <color theme="1"/>
        <rFont val="Calibri"/>
        <family val="2"/>
      </rPr>
      <t>(тайёрланган риск механизмларини маълумот давр оралиғи учун шакллантириб олиш)</t>
    </r>
  </si>
  <si>
    <r>
      <t xml:space="preserve">Ўргатилиш жараёни
</t>
    </r>
    <r>
      <rPr>
        <i/>
        <sz val="12"/>
        <color theme="1"/>
        <rFont val="Calibri"/>
        <family val="2"/>
      </rPr>
      <t>(1-якунланган, 
0-жараёнда)</t>
    </r>
  </si>
  <si>
    <r>
      <t xml:space="preserve">Холат
</t>
    </r>
    <r>
      <rPr>
        <i/>
        <sz val="12"/>
        <color theme="1"/>
        <rFont val="Calibri"/>
        <family val="2"/>
      </rPr>
      <t>(0-лойиха;
1-ишлаб чиқилмоқда;
2-ишлаб чиқилган;
3-тўхтатилган;
4-якунланган)</t>
    </r>
  </si>
  <si>
    <t>Аудиторга ҳуқуқий маслахатчи асистентини яратиш</t>
  </si>
  <si>
    <t>Харид комиссия аъзоларида манфаалар тўқнашуви</t>
  </si>
  <si>
    <t>"E-qaror.gov.uz" тизимида рўйхатга олинган вазирлик ва идораларнинг қарор ва буйруқлари тўғрисида маълумот олиш</t>
  </si>
  <si>
    <t>Устав фондида давлат улуши мавжуд давлат муассасалари ва хўжалик жамиятлари тўғрисида умумий маълумот олиш ("Давлат мулки" тизимидан)</t>
  </si>
  <si>
    <t>Корхонанинг мансабдор шахслари ва муассислари тўғрисида маълумот олиш ("Давлат мулки" тизимидан)</t>
  </si>
  <si>
    <t>Корхонанинг активлари (АЖ) тўғрисида маълумот олиш ("Давлат мулки" тизимидан)</t>
  </si>
  <si>
    <t>Корхонанинг активлари (МЧЖ, ДУК) тўғрисида маълумот олиш ("Давлат мулки" тизимидан)</t>
  </si>
  <si>
    <t>Корхонанинг кўчмас мулклари тўғрисида маълумот олиш ("Давлат мулки" тизимидан)</t>
  </si>
  <si>
    <t>Корхонанинг автотранспорт воситалари тўғрисида маълумот олиш ("Давлат мулки" тизимидан)</t>
  </si>
  <si>
    <t>Корхонанинг махсус техникалари тўғрисида маълумот олиш ("Давлат мулки" тизимидан)</t>
  </si>
  <si>
    <t>Корхонанинг интелектуал мулк объектлари тўғрисида маълумот олиш ("Давлат мулки" тизимидан)</t>
  </si>
  <si>
    <t>Корхонанинг молиявий-иқтисодий кўрсаткичлари тўғрисида умумий маълумот олиш ("Давлат мулки" тизимидан)</t>
  </si>
  <si>
    <t>Корхонанинг молиявий-иқтисодий кўрсаткичлари ҳисоботи тўғрисида маълумот олиш ("Давлат мулки" тизимидан)</t>
  </si>
  <si>
    <t>Корхонанинг қарздорлиги тўғрисида маълумот олиш ("Давлат мулки" тизимидан)</t>
  </si>
  <si>
    <t>Ишлаб чиқарувчилар ва дилерлар реестри маълумотларини олиш</t>
  </si>
  <si>
    <t>Ҳайдовчилик гувоҳномасига эга бўлган фуқаролар тўғрисида маълумот олиш</t>
  </si>
  <si>
    <t>Жарима майдонига жойлаштирилган ва чиқарилган автотранспорт воситалари тўғрисида маълумот олиш</t>
  </si>
  <si>
    <t>Педагог кадрларнинг малака тоифасини олиш бўйича аттестациядан ўтганлиги тўғрисида маълумот олиш</t>
  </si>
  <si>
    <t>Академик лицей ўқувчилари тўғрисида маълумот олиш</t>
  </si>
  <si>
    <t>Академик лицей битирувчилари тўғрисида маълумот олиш</t>
  </si>
  <si>
    <t>Касбий (профессионал) таълим муассасалари ўқувчилари тўғрисида маълумот олиш</t>
  </si>
  <si>
    <t>Касбий (профессионал) таълим муассасалари ўқитувчилари тўғрисида маълумот олиш</t>
  </si>
  <si>
    <t>Талабалар ва давлат олий таълим муассасалари ўртасида тузилган тўлов-шартномалар тўғрисида маълумот олиш</t>
  </si>
  <si>
    <t>Олий таълим муассасаси талабалари тўғрисида маълумот олиш (СТИР)</t>
  </si>
  <si>
    <t>Олий таълим муассасалари ўқитувчилари тўғрисида маълумот олиш (СТИР)</t>
  </si>
  <si>
    <t>Республикадаги барча академик лицейлар тўғрисида маълумот олиш</t>
  </si>
  <si>
    <t>Республикадаги барча касбий (профессионал) таълим муассасалари тўғрисида маълумот олиш</t>
  </si>
  <si>
    <t>Республикадаги барча олий таълим муассасалари тўғрисида маълумот олиш</t>
  </si>
  <si>
    <t xml:space="preserve">17. Миллий статистика қўмитаси </t>
  </si>
  <si>
    <t>Қорақолпоғистон Республикаси, вилоятлар ҳамда Тошкент шаҳар истеъмол нархлари индекси тўғрисида маълумот олиш</t>
  </si>
  <si>
    <t>Қорақолпоғистон Республикаси, вилоятлар ҳамда Тошкент шаҳридаги деҳқон бозорларида алоҳида турдаги маҳсулотларнинг ўртача истеъмол нархлари тўғрисида маълумот олиш</t>
  </si>
  <si>
    <t>Йиғма статик ҳисоботларнинг йиллик кўрсатгичлари рўйхатини олиш</t>
  </si>
  <si>
    <t>Йиғма статик ҳисоботларнинг чораклик кўрсатгичлари рўйхатини олиш</t>
  </si>
  <si>
    <t>Йиғма статик ҳисоботларнинг ойлик кўрсатгичлари рўйхатини олиш</t>
  </si>
  <si>
    <t>Корхона ва ташкилотларнинг ягона давлат регистри тўғрисидаги маълумотларини олиш</t>
  </si>
  <si>
    <t>Ҳудудгазтаъминот абонентларининг маълумотлари (ЯТТ ларнинг ЖШШИРи орқали)</t>
  </si>
  <si>
    <t>Вақтинчалик меҳнатга лаёқатсизлик варақалари ва бошқа тиббий маълумотномалар (083, 086 ва бошқа турдаги) тўғрисида маълумот олиш</t>
  </si>
  <si>
    <t>Касаллик варақаси тўғрисида маълумот олиш</t>
  </si>
  <si>
    <t>Жисмоний шахсларнинг меҳнат фаолияти тўғрисидаги маълумот олиш (ЖШШИР орқали)</t>
  </si>
  <si>
    <t>Ҳисоб палатаси ходимларига номатив ҳужжатларни излашда ва қунун ҳужжатлари юзасидан саволларга жавоб бериш имконига эга бўлган сунъий интеллект ассистентини яратиш</t>
  </si>
  <si>
    <t>Қурилиш соҳасида элeктрон давлат харидларини ўтказиш платформаси орқали ўтказиладиган тендер савдолари эълонлари тўғрисида маълумот олиш</t>
  </si>
  <si>
    <t>"Е-Маъмурий" тизимидан фуқаронинг ЖШШИРи бўйича маълумот олиш</t>
  </si>
  <si>
    <t>Темир йўл транспорти ҳаракатида юк ташиш ҳақи ва кўрсатилган хизматлар учун қўлланилган камайтирувчи ва кўпайтирувчи коэфицентлар тўғрисида маълумот олиш</t>
  </si>
  <si>
    <t>Темир йўл транспортида йўловчиларни ташишда қўлланиладиган имтиёзлар тўғрисида маълумот олиш</t>
  </si>
  <si>
    <t>1.  Электрон ҳукумат</t>
  </si>
  <si>
    <t>2.  "Ҳудудгазтаъминот" АЖ</t>
  </si>
  <si>
    <t>3.  Тоғ-кон саноати ва геология вазирлиги</t>
  </si>
  <si>
    <t>4.  Қурилиш ва уй-жой коммунал хўжалиги вазирлиги</t>
  </si>
  <si>
    <t>5.  Камбағалликни қисқартириш ва бандлик вазирлиги</t>
  </si>
  <si>
    <t>Жисмоний шахсларнинг меҳнат фаолияти тўғрисидаги маълумотлар (ташкилот СТИР ини юбориш орқали)</t>
  </si>
  <si>
    <t>6.  Инвестициялар, саноат ва савдо вазирлиги</t>
  </si>
  <si>
    <t>7.  Қишлоқ хўжалиги вазирлиги</t>
  </si>
  <si>
    <t>8.  Давлат активларини бошқариш агентлиги</t>
  </si>
  <si>
    <t>Корхонанинг мансабдор шахслари ва муассислари тўғрисида маълумот олиш (Давлат мулки)</t>
  </si>
  <si>
    <t>Давлат корхоналари таъсис этган корхоналар (МЧЖ, ДУК) тўғрисида маълумот олиш (Давлат мулки)</t>
  </si>
  <si>
    <t>Корхонанинг кўчмас мулклари тўғрисида маълумот олиш (Давлат мулки)</t>
  </si>
  <si>
    <t>Корхонанинг молиявий-иқтисодий кўрсаткичлари тўғрисида умумий маълумот олиш (Давлат мулки)</t>
  </si>
  <si>
    <t>Корхонанинг автотранспорт воситалари тўғрисида маълумот олиш (Давлат мулки)</t>
  </si>
  <si>
    <t>Корхонанинг махсус техникалари тўғрисида маълумот олиш (Давлат мулки)</t>
  </si>
  <si>
    <t>Корхонанинг Мажбурий ижро бюросидаги қарздорлиги тўғрисида маълумот олиш (Давлат мулки)</t>
  </si>
  <si>
    <t>Корхонанинг активлари (АЖ) тўғрисида маълумот олиш (Давлат мулки)</t>
  </si>
  <si>
    <t>Устав фондида давлат улуши мавжуд давлат муассасалари ва хўжалик жамиятлари тўғрисида умумий маълумот олиш (Давлат мулки)</t>
  </si>
  <si>
    <t>9.  Спорт вазирлиги</t>
  </si>
  <si>
    <t>10.  Адлия вазирлиги</t>
  </si>
  <si>
    <t>11.  Солиқ қўмитаси</t>
  </si>
  <si>
    <t>12.  Ички ишлар вазирлиги</t>
  </si>
  <si>
    <t>5. Транспорт воситалари тўғрисида маълумотлар (юридик шахснинг СТИРи орқали)</t>
  </si>
  <si>
    <t>6. Транспорт воситалари тўғрисида маълумотлар (ЖШШИР рақами кўрсатилган ҳолда)</t>
  </si>
  <si>
    <t>1. Транспорт воситалари тўғрисида маълумотлар (Автотранспорт эгаликка ўтказилган давр оралиғи санаси кўрсатилган ҳолда)</t>
  </si>
  <si>
    <t>Ҳайдовчилик гувоҳномалари тўғрисидаги маълумотларни берилган санасига нисбатан давр оралиғига олиш</t>
  </si>
  <si>
    <t>2. Транспорт воситалари тўғрисида маълумотлар (Автотранспорт ишлаб чиқарилган давр оралиғи санаси кўрсатилган ҳолда)</t>
  </si>
  <si>
    <t>13.  Иқтисодиёт ва молия вазирлиги</t>
  </si>
  <si>
    <t>Лойиҳалар ва импорт контрактларини комплекс экспертиза қилинганлиги тўғрисида маълумот олиш</t>
  </si>
  <si>
    <t>Debitorlik risklar</t>
  </si>
  <si>
    <t>14.  Кадастр агентлиги</t>
  </si>
  <si>
    <t>Юридик шахсларнинг мол мулки ҳақида маълумот</t>
  </si>
  <si>
    <t>15.  Ўзбекистон Республикаси “Ҳунарманд” уюшмаси</t>
  </si>
  <si>
    <t>16.  Ёшлар ишлари агентлиги</t>
  </si>
  <si>
    <t>17.  Олий таълим, фан ва инновациялар вазирлиги</t>
  </si>
  <si>
    <t>18.  Транспорт вазирлиги</t>
  </si>
  <si>
    <t>19.  "Ўзбекистон республика товар-хомашё биржаси" АЖ</t>
  </si>
  <si>
    <t>20.  "Ҳаёт Биржа" АЖ</t>
  </si>
  <si>
    <t>Шартнома бўйича жараён тўғрисида маълумот олиш</t>
  </si>
  <si>
    <t>21.  Сув хўжалиги вазирлиги</t>
  </si>
  <si>
    <t>22.  Ижтимоий ҳимоя миллий агентлиги</t>
  </si>
  <si>
    <t>23.  "Рақамли трансформация маркази" МЧЖ (cooperation.uz)</t>
  </si>
  <si>
    <t>24.  "Ўзбекистон металлургия комбинати" АЖ</t>
  </si>
  <si>
    <t>25.  “Ўзагросуғурта” АЖ</t>
  </si>
  <si>
    <t>26.  Маданий мерос агентлиги</t>
  </si>
  <si>
    <t>27.  Ўзбекистон Республикаси Марказий банки</t>
  </si>
  <si>
    <t>28.  "Тошкент" республика фонд биржаси" АЖ</t>
  </si>
  <si>
    <t>29.  Агроинспекция</t>
  </si>
  <si>
    <t>30.  "UzAsbo" ДМ</t>
  </si>
  <si>
    <t>Uzasbo - Hisobot Ijro</t>
  </si>
  <si>
    <t>Uzasbo - Hisobot Harajat</t>
  </si>
  <si>
    <t>Uzasbo - Hisobot Daromad</t>
  </si>
  <si>
    <t>Uzasbo - Hisobot Plan</t>
  </si>
  <si>
    <t>31.  Ҳисоб палатаси риск механизмлари</t>
  </si>
  <si>
    <t>Афилланганлик тахлили (Cooperation)</t>
  </si>
  <si>
    <t>Манфаатлар тўқнашуви (UzEx)</t>
  </si>
  <si>
    <t>Афилланганлик тахлили (XT XARID)</t>
  </si>
  <si>
    <t>Манфаатлар тўқнашуви (Cooperation)</t>
  </si>
  <si>
    <t>Афилланганлик тахлили</t>
  </si>
  <si>
    <t>32.  Mehanizm risk uchun</t>
  </si>
  <si>
    <t>mexanizm (do nothing)</t>
  </si>
  <si>
    <t>33.  Миллий статистика қўмитаси</t>
  </si>
  <si>
    <t>Йиғма статик ҳисоботларнинг кўрсатгичлари рўйхати</t>
  </si>
  <si>
    <t>34.  Харидлар бўйича жойлаштирилган эълонлар</t>
  </si>
  <si>
    <t>Жойлаштирилган эълонлар (Cooperation)</t>
  </si>
  <si>
    <t>Жойлаштирилган эълонлар (UzEx)</t>
  </si>
  <si>
    <t>Жойлаштирилган эълонлар (XT XARID)</t>
  </si>
  <si>
    <t>35.  Бошқарув самарадорлиги агентлиги</t>
  </si>
  <si>
    <t>Давлат фуқаролик хизматчилари тўғрисида маълумотларни маълумот давр оралиғига олиш</t>
  </si>
  <si>
    <r>
      <t xml:space="preserve">Маълумот жамлаш
</t>
    </r>
    <r>
      <rPr>
        <i/>
        <sz val="11"/>
        <rFont val="Arial"/>
        <family val="2"/>
      </rPr>
      <t>(кунлик, ҳафталик, ойлик, йиллик, чораклик)</t>
    </r>
  </si>
  <si>
    <t>Тайинланган пенсия тўғрисида маълумот олиш</t>
  </si>
  <si>
    <t>Геологик жиҳатдан ўрганиш учун берилган рухсатномалар тўғрисида маълумот олиш</t>
  </si>
  <si>
    <t>Мажуд хом-ашёлар, уларнинг тури, кон тури ва категориялари тўғрисида маълумот олиш</t>
  </si>
  <si>
    <r>
      <t xml:space="preserve">Тизим фойдаланувчилари ўртасида онлайн ёзишмалар ҳамда ҳужжат алмашиниш платформаси </t>
    </r>
    <r>
      <rPr>
        <i/>
        <sz val="10"/>
        <color theme="1"/>
        <rFont val="Calibri"/>
        <family val="2"/>
      </rPr>
      <t>(ёзишма, файл алмашиш ва шифрлаш)</t>
    </r>
  </si>
  <si>
    <t>Х.Сатторов</t>
  </si>
  <si>
    <t>Вафот этган фуқаролар тўғрисида маълумот олиш</t>
  </si>
  <si>
    <t>Автотранспорт воситаси тарихи тўғрисида маълумот олиш</t>
  </si>
  <si>
    <t>Сўровномани ЖШШИР орқали олиш</t>
  </si>
  <si>
    <t>Тиббий-меҳнат эксперт комиссиясининг хулосаси тўғрисида маълумотлар (туғилганлик тўғрисидаги гувоҳнома орқали)</t>
  </si>
  <si>
    <t>Фуқаронинг фотосуратини олиш</t>
  </si>
  <si>
    <t>Илмий даража ва илмий унвоннинг тасдиқланганлиги тўғрисида маълумот олиш</t>
  </si>
  <si>
    <t>Ёқилғи қуйиш тарихи тўғрисида маълумот олиш (“Автохўжалик” тизими)</t>
  </si>
  <si>
    <t>Резервуарга қабул қилинган ёқилғи миқдори тўғрисида маълумот олиш (“Автохўжалик” тизими)</t>
  </si>
  <si>
    <t>Омборхонадаги мавжуд ёқилғи тўғрисида маълумот олиш (“Автохўжалик” тизими)</t>
  </si>
  <si>
    <t>Омборхонадаги мавжуд маҳсулотлар (эҳтиёт қисмлар) тўғрисида маълумот олиш (“Автохўжалик” тизими)</t>
  </si>
  <si>
    <t>Омборхонадан чиқим қилинган маҳсулотлар (эҳтиёт қисмлар) тўғрисида маълумот олиш (“Автохўжалик” тизими)</t>
  </si>
  <si>
    <t>Тиббиёт муассасасида ўрнатилган ускуналар тўғрисида маълумот олиш ("ЖиҳозМед" тизими)</t>
  </si>
  <si>
    <t>Серия рақами берилган дори воситалари тўғрисида маълумот олиш (“МедДата” тизими)</t>
  </si>
  <si>
    <t>Кирим қилинган дори воситалари тўғрисида маълумот олиш (“МедДата” тизими)</t>
  </si>
  <si>
    <t>Чиқим қилинган дори воситалари тўғрисида маълумот олиш (“МедДата” тизими)</t>
  </si>
  <si>
    <t>Омборхонадаги мавжуд дори воситалари қолдиғи тўғрисида маълумот олиш (“МедДата” тизими)</t>
  </si>
  <si>
    <t>Рўйхатга олинган беморлар тўғрисида маълумот олиш (“DMED” тизими)</t>
  </si>
  <si>
    <t>Бирламчи бўғин тиббиёт муассасалари тўғрисида маълумот олиш (“DMED” тизими)</t>
  </si>
  <si>
    <t>Иккиламчи бўғин тиббиёт муассасалари тўғрисида маълумот олиш (“DMED” тизими)</t>
  </si>
  <si>
    <t>Хавфли ишлаб чиқариш объектлари реестри бўйича маълумот олиш</t>
  </si>
  <si>
    <t>Реестрга киритилган техник қурилмалар тўғрисида маълумот олиш</t>
  </si>
  <si>
    <t>Ваколатли омборхоналардаги мавжуд кимёвий маҳсулотлар тўғрисида маълумот олиш</t>
  </si>
  <si>
    <t>Ишлаб чиқариш корхоналари томонидан кунлик ишлаб чиқарилаётган кимёвий маҳсулотлар тўғрисида маълумот олиш</t>
  </si>
  <si>
    <t>Ишлаб чиқариш корхоналарининг дебитор қарздорлиги тўғрисида маълумот олиш</t>
  </si>
  <si>
    <t>Ишлаб чиқариш корхоналарининг кредитор қарздорлиги тўғрисида маълумот олиш</t>
  </si>
  <si>
    <t>Ишлаб чиқариш корхоналарининг банк айланмалари тўғрисида маълумот олиш</t>
  </si>
  <si>
    <t>Таклиф сўрови, кичик қийматли хариднинг соддалаштирилган тартиб-таомили, электрон дўкон, аукцион, тендер (танлаш) ва икки босқичли давлат харидлари лотлари бўйича маълумотни олиш</t>
  </si>
  <si>
    <t>Шартномалар юзасидан қўлланилган жарималар тўғрисида маълумот олиш</t>
  </si>
  <si>
    <t>Тадбиркорлик субъектларининг кредитларига (лизингларига) берилган компенсациялар тўғрисида маълумот олиш</t>
  </si>
  <si>
    <t>Валюта бозорида бизнес шаклидаги маълумотларни олиш</t>
  </si>
  <si>
    <t>Қазиб олинган кўмир тўғрисида маълумот олиш</t>
  </si>
  <si>
    <t>Омборхоналардаги мавжуд кўмир тўғрисида маълумот олиш</t>
  </si>
  <si>
    <t>Транспортировка қилинган кўмир маҳсулотлари тўғрисида маълумот олиш</t>
  </si>
  <si>
    <t>Транспорт воситалари тўғрисида маълумот олиш</t>
  </si>
  <si>
    <t>Ташкилотларга етказилган кўмир маҳсулоти тўғрисида маълумот олиш</t>
  </si>
  <si>
    <t>Кўмир етказиш бўйича тасдиқланмаган аризалар тўғрисида маълумот олиш</t>
  </si>
  <si>
    <t>Тарқатилган кўмир маҳсулоти тўғрисида маълумот олиш</t>
  </si>
  <si>
    <t>Импорт қилинган кўмир маҳсулоти тўғрисида маълумот олиш</t>
  </si>
  <si>
    <t>Харид қилинган маҳсулот (товар, хизмат)лар тўғрисида маълумот олиш</t>
  </si>
  <si>
    <t>Сотилаётган маҳсулот (товар, хизмат) тўғрисида маълумот олиш</t>
  </si>
  <si>
    <t>Омборхонадаги мавжуд маҳсулотлар тўғрисида маълумот олиш</t>
  </si>
  <si>
    <t>Ишлаб чиқарилган электр энергияси тўғрисида маълумот олиш</t>
  </si>
  <si>
    <t>Қазиб чиқарилган энергия манбалари тўғрисида маълумот олиш</t>
  </si>
  <si>
    <t>Қайта ишланган энергия манбалари тўғрисида маълумот олиш</t>
  </si>
  <si>
    <t>Энергия манбаларидан ноқонуний фойдаланганлик бўйича тузилган далолатномалар тўғрисида маълумот олиш</t>
  </si>
  <si>
    <t>Давлат активлари</t>
  </si>
  <si>
    <t>Бюджет ва бюджет улуши мавжуд ташкилотлар ҳамда уларнинг ҳолатлари ва тасарруфидаги мулклар тўғрисида маълумотлар</t>
  </si>
  <si>
    <t>FINCONTROL</t>
  </si>
  <si>
    <t>Давлат улуши мавжуд ташкилотларнинг бизнес режалари ҳамда уларни бажарилиши юзасидан мониторинг юритиш</t>
  </si>
  <si>
    <t>Жараёнда</t>
  </si>
  <si>
    <t>Электрон вакил</t>
  </si>
  <si>
    <t>Вазирлик ва идораларга бириктирилган бош инспекторларнинг ишларини ташкил этиш ҳамда ҳисобот ва мониторингини юритиш</t>
  </si>
  <si>
    <t>Нотариал ҳаракатлар (ҳадя, ижара, олди-сотди) тўғрисида маълумот олиш</t>
  </si>
  <si>
    <t>Ҳакамлар (судялар) тўғрисида маълумот олиш</t>
  </si>
  <si>
    <t>Спортчи тренерлар тўғрисида маълумот олиш</t>
  </si>
  <si>
    <t>Давлат харидларининг электрон тизимидаги лотларга тегишли бўлган тўловлар тарихи тўғрисида маълумот олиш</t>
  </si>
  <si>
    <t>Ўзбекистон Республикаси ҳудудида меҳнат фаолиятини амалга ошириш ҳуқуқини берувчи тасдиқнома (чет эллик ходимлар тўғрисида маълумот)</t>
  </si>
  <si>
    <t>45. "Узбекгидроэнерго" АЖ</t>
  </si>
  <si>
    <t>46. "Uzbekistan Airports" АЖ</t>
  </si>
  <si>
    <t>47. "Узсувтаъминот" АЖ</t>
  </si>
  <si>
    <t>48. "Олмалиқ кон-металлургия комбинати" АЖ</t>
  </si>
  <si>
    <t>49. Туризм қўмитаси</t>
  </si>
  <si>
    <t>50. "Навоийуран" давлат корхонаси</t>
  </si>
  <si>
    <t>51. "Иссиқлик электр станциялари" АЖ</t>
  </si>
  <si>
    <t>52. Ташқи ишлар вазирлиги</t>
  </si>
  <si>
    <t>53. "УзАвтоСаноат" АЖ</t>
  </si>
  <si>
    <t>54. Маданий мерос агентлиги</t>
  </si>
  <si>
    <t>55. "Алоқа банк" АТ</t>
  </si>
  <si>
    <t>56. "Асака банк" акционерлик-тижорат банки</t>
  </si>
  <si>
    <t>57. "Бизнесни ривожлантириш банки" акционерлик-тижорат банки</t>
  </si>
  <si>
    <t>58. "Микрокредитбанк" акционерлик-тижорат банки</t>
  </si>
  <si>
    <t>59. "Саноат қурилиш банк" акционерлик-тижорат банки</t>
  </si>
  <si>
    <t>60. "Турон банк" акционерлик-тижорат банки</t>
  </si>
  <si>
    <t>61. "Ўзбекистон миллий банки" акциядорлик жамияти</t>
  </si>
  <si>
    <t>62. "Агро банк" акционерлик-тижорат банки</t>
  </si>
  <si>
    <t>63. "Ўзбекнефтгаз" акциядорлик жамияти</t>
  </si>
  <si>
    <t>64. "Ўзбектелеком" акционерлик компанияси</t>
  </si>
  <si>
    <t>65. "Ўзбекинвест" акционерлик жамияти</t>
  </si>
  <si>
    <t>66. "Тошкент" Республика фонд биржаси акциядорлик жамияти</t>
  </si>
  <si>
    <t>67. Вазирлар Маҳкамаси ҳузуридаги Агросаноат мажмуи устидан назорат қилиш инспекцияси</t>
  </si>
  <si>
    <t>68. Лойиҳалар ва импорт контрактларини комплекс экспертиза қилиш маркази</t>
  </si>
  <si>
    <t>69. "Тошшаҳартрансхизмат" АЖ</t>
  </si>
  <si>
    <t>70. Вазирлар Маҳкамаси ҳузуридаги Миграция агентлиги</t>
  </si>
  <si>
    <t>71. “Ўзбекистон миллий электр тармоқлари” АЖ</t>
  </si>
  <si>
    <t xml:space="preserve">72. “Uzbekistan Airways” АЖ </t>
  </si>
  <si>
    <t>73. Инвестициялар, саноат ва савдо вазирлиги</t>
  </si>
  <si>
    <t>74. "Навоийазот" АЖ</t>
  </si>
  <si>
    <t>75. “Бухоро нефтни қайта ишлаш заводи” МЧЖ</t>
  </si>
  <si>
    <t>76. Рақобатни ривожлантириш ва истеъмолчилар ҳуқуқларини ҳимоя қилиш қўмитаси</t>
  </si>
  <si>
    <t>77. “Электрон онлайн-аукционларни ташкил этиш” АЖ</t>
  </si>
  <si>
    <t>78. Ўзбекистон Республикаси Президенти ҳузуридаги Бошқарув самарадорлиги агентлиги</t>
  </si>
  <si>
    <t>79. "Ангрен иссиқлик электр станциялари" АЖ</t>
  </si>
  <si>
    <t>80. Иқтисодиёт ва молия вазирлиги ҳузуридаги Бюджетдан ташқари Пенсия жамғармаси</t>
  </si>
  <si>
    <t>81. "Янги Ангрен иссиқлик электр станциялари" АЖ</t>
  </si>
  <si>
    <t>82. Саноат, радиация ва ядро хавфсизлиги қўмитаси</t>
  </si>
  <si>
    <t>83. “Ўзкимёсаноат” АЖ</t>
  </si>
  <si>
    <t xml:space="preserve">84. “Тошкент товар хомашё биржаси” АЖ </t>
  </si>
  <si>
    <t>85. “Тадбиркорликни ривожлантириш компанияси” АЖ</t>
  </si>
  <si>
    <t>86. Ўзбекистон республика валюта биржаси</t>
  </si>
  <si>
    <t xml:space="preserve">87.“Ўзбеккўмир” АЖ </t>
  </si>
  <si>
    <t>88.“Навоий кон-металлургия комбинати жамғармаси” ДМ</t>
  </si>
  <si>
    <t>89.Электр энергияси, нефт маҳсулотлари ва газдан фойдаланишни назорат қилиш инспекцияси</t>
  </si>
  <si>
    <t xml:space="preserve">Қайта ишлаб чиқарилган нефт махсулотлари тўғрисида маълумот олиш </t>
  </si>
  <si>
    <t>HP-AI audit assistant</t>
  </si>
  <si>
    <t>Сунъий интеллект технологиялари ёрдамида аудиторларга кўмакчи</t>
  </si>
  <si>
    <t xml:space="preserve"> - Аудиторга ёрдамчи</t>
  </si>
  <si>
    <t xml:space="preserve"> - Юридик маслахатчи</t>
  </si>
  <si>
    <t xml:space="preserve"> - Аудит архиви</t>
  </si>
  <si>
    <t xml:space="preserve"> - Сунъий интеллект конструктори</t>
  </si>
  <si>
    <t>А.Атоев
Ш.Файзиев
Д.Бахриддинов</t>
  </si>
  <si>
    <t>01.09.2026</t>
  </si>
  <si>
    <t>10.07.2026</t>
  </si>
  <si>
    <t>20.07.2026</t>
  </si>
  <si>
    <t>15.07.2026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</si>
</sst>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56" x14ac:knownFonts="1">
    <font>
      <sz val="11"/>
      <color theme="1"/>
      <name val="Calibri"/>
      <family val="2"/>
      <charset val="204"/>
      <scheme val="minor"/>
    </font>
    <font>
      <sz val="12"/>
      <color theme="1"/>
      <name val="Calibri"/>
      <family val="2"/>
      <charset val="204"/>
      <scheme val="minor"/>
    </font>
    <font>
      <sz val="11"/>
      <color theme="1"/>
      <name val="Calibri"/>
      <family val="2"/>
      <charset val="204"/>
      <scheme val="minor"/>
    </font>
    <font>
      <sz val="11"/>
      <color theme="1"/>
      <name val="Calibri"/>
      <family val="2"/>
      <charset val="204"/>
    </font>
    <font>
      <b/>
      <sz val="14"/>
      <color theme="1"/>
      <name val="Arial"/>
      <family val="2"/>
      <charset val="204"/>
    </font>
    <font>
      <sz val="11"/>
      <color theme="1"/>
      <name val="Arial"/>
      <family val="2"/>
      <charset val="204"/>
    </font>
    <font>
      <b/>
      <sz val="11"/>
      <color theme="1"/>
      <name val="Arial"/>
      <family val="2"/>
      <charset val="204"/>
    </font>
    <font>
      <i/>
      <sz val="11"/>
      <color theme="1"/>
      <name val="Arial"/>
      <family val="2"/>
      <charset val="204"/>
    </font>
    <font>
      <b/>
      <sz val="12"/>
      <color theme="1"/>
      <name val="Arial"/>
      <family val="2"/>
      <charset val="204"/>
    </font>
    <font>
      <b/>
      <i/>
      <sz val="11"/>
      <color theme="1"/>
      <name val="Arial"/>
      <family val="2"/>
      <charset val="204"/>
    </font>
    <font>
      <i/>
      <sz val="11"/>
      <color theme="1"/>
      <name val="Arial"/>
      <family val="2"/>
    </font>
    <font>
      <b/>
      <sz val="11"/>
      <color theme="1"/>
      <name val="Arial"/>
      <family val="2"/>
    </font>
    <font>
      <sz val="11"/>
      <color theme="1"/>
      <name val="Times New Roman"/>
      <family val="1"/>
      <charset val="204"/>
    </font>
    <font>
      <i/>
      <sz val="11"/>
      <color theme="1"/>
      <name val="Times New Roman"/>
      <family val="1"/>
      <charset val="204"/>
    </font>
    <font>
      <sz val="12"/>
      <name val="Times New Roman"/>
      <family val="1"/>
      <charset val="204"/>
    </font>
    <font>
      <b/>
      <sz val="12"/>
      <name val="Times New Roman"/>
      <family val="1"/>
      <charset val="204"/>
    </font>
    <font>
      <sz val="12"/>
      <color theme="1"/>
      <name val="Times New Roman"/>
      <family val="1"/>
      <charset val="204"/>
    </font>
    <font>
      <b/>
      <sz val="12"/>
      <color theme="1"/>
      <name val="Times New Roman"/>
      <family val="1"/>
      <charset val="204"/>
    </font>
    <font>
      <i/>
      <sz val="12"/>
      <color theme="1"/>
      <name val="Times New Roman"/>
      <family val="1"/>
      <charset val="204"/>
    </font>
    <font>
      <sz val="13"/>
      <color theme="1"/>
      <name val="Times New Roman"/>
      <family val="1"/>
      <charset val="204"/>
    </font>
    <font>
      <b/>
      <sz val="11"/>
      <color theme="1"/>
      <name val="Times New Roman"/>
      <family val="1"/>
      <charset val="204"/>
    </font>
    <font>
      <b/>
      <sz val="11"/>
      <color theme="1"/>
      <name val="Times New Roman"/>
      <family val="1"/>
    </font>
    <font>
      <b/>
      <sz val="12"/>
      <name val="Times New Roman"/>
      <family val="1"/>
    </font>
    <font>
      <b/>
      <sz val="12"/>
      <color theme="1"/>
      <name val="Times New Roman"/>
      <family val="1"/>
    </font>
    <font>
      <b/>
      <sz val="16"/>
      <color theme="1"/>
      <name val="Times New Roman"/>
      <family val="1"/>
      <charset val="204"/>
    </font>
    <font>
      <b/>
      <sz val="18"/>
      <color theme="1"/>
      <name val="Times New Roman"/>
      <family val="1"/>
    </font>
    <font>
      <b/>
      <sz val="14"/>
      <color theme="1"/>
      <name val="Times New Roman"/>
      <family val="1"/>
    </font>
    <font>
      <sz val="14"/>
      <color theme="1"/>
      <name val="Calibri"/>
      <family val="2"/>
      <charset val="204"/>
      <scheme val="minor"/>
    </font>
    <font>
      <sz val="14"/>
      <color theme="1"/>
      <name val="Arial"/>
      <family val="2"/>
      <charset val="204"/>
    </font>
    <font>
      <sz val="11"/>
      <name val="Times New Roman"/>
      <family val="1"/>
      <charset val="204"/>
    </font>
    <font>
      <b/>
      <sz val="11"/>
      <color theme="1"/>
      <name val="Calibri"/>
      <family val="2"/>
      <scheme val="minor"/>
    </font>
    <font>
      <sz val="12"/>
      <color theme="1"/>
      <name val="Times New Roman"/>
      <family val="1"/>
    </font>
    <font>
      <u/>
      <sz val="11"/>
      <color theme="10"/>
      <name val="Calibri"/>
      <family val="2"/>
      <charset val="204"/>
      <scheme val="minor"/>
    </font>
    <font>
      <b/>
      <sz val="12"/>
      <color theme="1"/>
      <name val="Calibri"/>
      <family val="2"/>
      <charset val="204"/>
      <scheme val="minor"/>
    </font>
    <font>
      <sz val="14"/>
      <name val="Calibri"/>
      <family val="2"/>
    </font>
    <font>
      <sz val="12"/>
      <color rgb="FFFF0000"/>
      <name val="Times New Roman"/>
      <family val="1"/>
      <charset val="204"/>
    </font>
    <font>
      <sz val="14"/>
      <color rgb="FFFF0000"/>
      <name val="Arial"/>
      <family val="2"/>
      <charset val="204"/>
    </font>
    <font>
      <b/>
      <sz val="14"/>
      <name val="Arial"/>
      <family val="2"/>
      <charset val="204"/>
    </font>
    <font>
      <sz val="14"/>
      <name val="Arial"/>
      <family val="2"/>
      <charset val="204"/>
    </font>
    <font>
      <i/>
      <sz val="10"/>
      <color theme="1"/>
      <name val="Arial"/>
      <family val="2"/>
      <charset val="204"/>
    </font>
    <font>
      <b/>
      <sz val="12"/>
      <color theme="1"/>
      <name val="Calibri"/>
      <family val="2"/>
    </font>
    <font>
      <sz val="11"/>
      <color theme="1"/>
      <name val="Calibri"/>
      <family val="2"/>
    </font>
    <font>
      <b/>
      <sz val="11"/>
      <color theme="1"/>
      <name val="Calibri"/>
      <family val="2"/>
    </font>
    <font>
      <i/>
      <sz val="11"/>
      <color theme="1"/>
      <name val="Calibri"/>
      <family val="2"/>
    </font>
    <font>
      <sz val="11"/>
      <name val="Calibri"/>
      <family val="2"/>
    </font>
    <font>
      <b/>
      <sz val="14"/>
      <color theme="1"/>
      <name val="Calibri"/>
      <family val="2"/>
    </font>
    <font>
      <b/>
      <i/>
      <sz val="11"/>
      <color theme="1"/>
      <name val="Calibri"/>
      <family val="2"/>
    </font>
    <font>
      <sz val="12"/>
      <color theme="1"/>
      <name val="Calibri"/>
      <family val="2"/>
    </font>
    <font>
      <i/>
      <sz val="12"/>
      <color theme="1"/>
      <name val="Calibri"/>
      <family val="2"/>
    </font>
    <font>
      <b/>
      <sz val="12"/>
      <name val="Calibri"/>
      <family val="2"/>
    </font>
    <font>
      <sz val="14"/>
      <color theme="1"/>
      <name val="Calibri"/>
      <family val="2"/>
    </font>
    <font>
      <b/>
      <sz val="16"/>
      <color theme="1"/>
      <name val="Calibri"/>
      <family val="2"/>
    </font>
    <font>
      <b/>
      <sz val="11"/>
      <name val="Arial"/>
      <family val="2"/>
    </font>
    <font>
      <sz val="11"/>
      <color theme="1"/>
      <name val="Arial"/>
      <family val="2"/>
    </font>
    <font>
      <i/>
      <sz val="11"/>
      <name val="Arial"/>
      <family val="2"/>
    </font>
    <font>
      <i/>
      <sz val="10"/>
      <color theme="1"/>
      <name val="Calibri"/>
      <family val="2"/>
    </font>
  </fonts>
  <fills count="13">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5FFFA"/>
        <bgColor rgb="FFF5FFFA"/>
      </patternFill>
    </fill>
    <fill>
      <patternFill patternType="solid">
        <fgColor theme="4" tint="0.79998168889431442"/>
        <bgColor rgb="FFADD8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7">
    <xf numFmtId="0" fontId="0" fillId="0" borderId="0"/>
    <xf numFmtId="9" fontId="2" fillId="0" borderId="0" applyFont="0" applyFill="0" applyBorder="0" applyAlignment="0" applyProtection="0"/>
    <xf numFmtId="0" fontId="3" fillId="0" borderId="0"/>
    <xf numFmtId="9" fontId="3" fillId="0" borderId="0" applyBorder="0" applyProtection="0"/>
    <xf numFmtId="0" fontId="32" fillId="0" borderId="0" applyNumberFormat="0" applyFill="0" applyBorder="0" applyAlignment="0" applyProtection="0"/>
    <xf numFmtId="0" fontId="2" fillId="0" borderId="0"/>
    <xf numFmtId="0" fontId="1" fillId="0" borderId="0"/>
  </cellStyleXfs>
  <cellXfs count="257">
    <xf numFmtId="0" fontId="0" fillId="0" borderId="0" xfId="0"/>
    <xf numFmtId="0" fontId="5" fillId="0" borderId="0" xfId="0" applyFont="1"/>
    <xf numFmtId="0" fontId="5" fillId="0" borderId="0" xfId="0" applyFont="1" applyAlignment="1">
      <alignment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0" xfId="0" applyFont="1" applyAlignment="1">
      <alignment horizontal="center" vertical="center"/>
    </xf>
    <xf numFmtId="0" fontId="6" fillId="0" borderId="1" xfId="0" applyFont="1" applyBorder="1" applyAlignment="1">
      <alignment horizontal="center" vertical="center"/>
    </xf>
    <xf numFmtId="0" fontId="5" fillId="0" borderId="1" xfId="0" applyFont="1" applyBorder="1"/>
    <xf numFmtId="0" fontId="5" fillId="0" borderId="1" xfId="0" applyFont="1" applyBorder="1" applyAlignment="1">
      <alignment vertical="top" wrapText="1"/>
    </xf>
    <xf numFmtId="0" fontId="5" fillId="0" borderId="0" xfId="0" applyFont="1" applyAlignment="1">
      <alignment vertical="top" wrapText="1"/>
    </xf>
    <xf numFmtId="0" fontId="5" fillId="0" borderId="1" xfId="0" applyFont="1" applyBorder="1" applyAlignment="1">
      <alignment vertical="top"/>
    </xf>
    <xf numFmtId="0" fontId="8" fillId="0" borderId="1" xfId="0" applyFont="1" applyBorder="1" applyAlignment="1">
      <alignment horizontal="center" vertical="center" wrapText="1"/>
    </xf>
    <xf numFmtId="0" fontId="9" fillId="0" borderId="0" xfId="0" applyFont="1" applyAlignment="1">
      <alignment vertical="top" wrapText="1"/>
    </xf>
    <xf numFmtId="0" fontId="6" fillId="0" borderId="0" xfId="0" applyFont="1" applyAlignment="1">
      <alignment horizontal="center" vertical="center"/>
    </xf>
    <xf numFmtId="0" fontId="11" fillId="0" borderId="1" xfId="0" applyFont="1" applyBorder="1" applyAlignment="1">
      <alignment vertical="top" wrapText="1"/>
    </xf>
    <xf numFmtId="0" fontId="11" fillId="0" borderId="1" xfId="0" applyFont="1" applyBorder="1" applyAlignment="1">
      <alignment vertical="top"/>
    </xf>
    <xf numFmtId="0" fontId="11" fillId="0" borderId="1" xfId="0" applyFont="1" applyBorder="1"/>
    <xf numFmtId="0" fontId="11" fillId="0" borderId="0" xfId="0" applyFont="1"/>
    <xf numFmtId="0" fontId="5" fillId="2" borderId="0" xfId="0" applyFont="1" applyFill="1"/>
    <xf numFmtId="0" fontId="12" fillId="0" borderId="0" xfId="0" applyFont="1"/>
    <xf numFmtId="0" fontId="12" fillId="0" borderId="0" xfId="0" applyFont="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0" fontId="17" fillId="0" borderId="1" xfId="0" applyFont="1" applyBorder="1" applyAlignment="1">
      <alignment vertical="center" wrapText="1"/>
    </xf>
    <xf numFmtId="0" fontId="16" fillId="0" borderId="1" xfId="0" applyFont="1" applyBorder="1" applyAlignment="1">
      <alignment horizontal="justify" vertical="center" wrapText="1"/>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12" fillId="0" borderId="1" xfId="0" applyFont="1" applyBorder="1"/>
    <xf numFmtId="0" fontId="20" fillId="0" borderId="1" xfId="0" applyFont="1" applyBorder="1" applyAlignment="1">
      <alignment horizontal="center" vertical="center" wrapText="1"/>
    </xf>
    <xf numFmtId="0" fontId="5" fillId="0" borderId="1" xfId="0" applyFont="1" applyBorder="1" applyAlignment="1">
      <alignment vertical="center" wrapText="1"/>
    </xf>
    <xf numFmtId="0" fontId="12" fillId="0" borderId="1" xfId="0" applyFont="1" applyBorder="1" applyAlignment="1">
      <alignment vertical="center" wrapText="1"/>
    </xf>
    <xf numFmtId="0" fontId="19" fillId="0" borderId="1" xfId="0" applyFont="1" applyBorder="1" applyAlignment="1">
      <alignment wrapText="1"/>
    </xf>
    <xf numFmtId="0" fontId="21" fillId="0" borderId="1" xfId="0" applyFont="1" applyBorder="1" applyAlignment="1">
      <alignment horizontal="center" vertical="center" wrapText="1"/>
    </xf>
    <xf numFmtId="0" fontId="12" fillId="0" borderId="1" xfId="0" applyFont="1" applyBorder="1" applyAlignment="1">
      <alignment horizontal="left"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2" fillId="0" borderId="1" xfId="0" applyFont="1" applyBorder="1" applyAlignment="1">
      <alignment horizontal="left" vertical="center"/>
    </xf>
    <xf numFmtId="0" fontId="4" fillId="0" borderId="0" xfId="0" applyFont="1" applyAlignment="1">
      <alignment horizontal="center" vertical="center"/>
    </xf>
    <xf numFmtId="0" fontId="6" fillId="0" borderId="6" xfId="0" applyFont="1" applyBorder="1" applyAlignment="1">
      <alignment horizontal="center" vertical="center" wrapText="1"/>
    </xf>
    <xf numFmtId="0" fontId="25" fillId="0" borderId="1" xfId="0" applyFont="1" applyBorder="1" applyAlignment="1">
      <alignment horizontal="center" vertical="center" wrapText="1"/>
    </xf>
    <xf numFmtId="0" fontId="27" fillId="0" borderId="0" xfId="0" applyFont="1"/>
    <xf numFmtId="0" fontId="5" fillId="0" borderId="0" xfId="0" applyFont="1" applyAlignment="1">
      <alignment vertical="top"/>
    </xf>
    <xf numFmtId="0" fontId="5" fillId="0" borderId="1" xfId="0" applyFont="1" applyBorder="1" applyAlignment="1">
      <alignment horizontal="left" vertical="center"/>
    </xf>
    <xf numFmtId="0" fontId="28" fillId="0" borderId="0" xfId="0" applyFont="1"/>
    <xf numFmtId="0" fontId="28" fillId="0" borderId="0" xfId="0" applyFont="1" applyAlignment="1">
      <alignment horizontal="center" vertical="center" wrapText="1"/>
    </xf>
    <xf numFmtId="0" fontId="28" fillId="0" borderId="1" xfId="0" applyFont="1" applyBorder="1" applyAlignment="1">
      <alignment horizontal="left" vertical="center" wrapText="1"/>
    </xf>
    <xf numFmtId="0" fontId="28" fillId="0" borderId="1" xfId="0" applyFont="1" applyBorder="1" applyAlignment="1">
      <alignment horizontal="left" vertical="top"/>
    </xf>
    <xf numFmtId="0" fontId="28" fillId="0" borderId="1" xfId="0" applyFont="1" applyBorder="1" applyAlignment="1">
      <alignment horizontal="left" vertical="top" wrapText="1"/>
    </xf>
    <xf numFmtId="0" fontId="28" fillId="0" borderId="1" xfId="0" applyFont="1" applyBorder="1" applyAlignment="1">
      <alignment horizontal="center" vertical="top"/>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0" xfId="0" applyAlignment="1">
      <alignment horizontal="left" vertical="center"/>
    </xf>
    <xf numFmtId="0" fontId="29" fillId="5" borderId="0" xfId="0" applyFont="1" applyFill="1"/>
    <xf numFmtId="0" fontId="29" fillId="4" borderId="0" xfId="0" applyFont="1" applyFill="1"/>
    <xf numFmtId="0" fontId="0" fillId="0" borderId="0" xfId="0" applyAlignment="1">
      <alignment wrapText="1"/>
    </xf>
    <xf numFmtId="0" fontId="0" fillId="3" borderId="0" xfId="0" applyFill="1"/>
    <xf numFmtId="0" fontId="0" fillId="3" borderId="1" xfId="0" applyFill="1" applyBorder="1"/>
    <xf numFmtId="0" fontId="0" fillId="0" borderId="1" xfId="0" applyBorder="1"/>
    <xf numFmtId="0" fontId="30" fillId="3"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30" fillId="0" borderId="0" xfId="0" applyFont="1" applyAlignment="1">
      <alignment horizontal="center" vertical="center" wrapText="1"/>
    </xf>
    <xf numFmtId="0" fontId="29" fillId="0" borderId="1" xfId="0" applyFont="1" applyBorder="1"/>
    <xf numFmtId="0" fontId="29" fillId="4" borderId="1" xfId="0" applyFont="1" applyFill="1" applyBorder="1"/>
    <xf numFmtId="0" fontId="12" fillId="3" borderId="0" xfId="0" applyFont="1" applyFill="1"/>
    <xf numFmtId="0" fontId="17" fillId="3" borderId="1" xfId="0" applyFont="1" applyFill="1" applyBorder="1" applyAlignment="1">
      <alignment horizontal="center" vertical="center" wrapText="1"/>
    </xf>
    <xf numFmtId="0" fontId="17" fillId="3" borderId="1" xfId="0" applyFont="1" applyFill="1" applyBorder="1" applyAlignment="1">
      <alignment vertical="top" wrapText="1"/>
    </xf>
    <xf numFmtId="0" fontId="16" fillId="3" borderId="1" xfId="0" applyFont="1" applyFill="1" applyBorder="1" applyAlignment="1">
      <alignment vertical="top" wrapText="1"/>
    </xf>
    <xf numFmtId="0" fontId="17" fillId="3" borderId="1" xfId="0" applyFont="1" applyFill="1" applyBorder="1" applyAlignment="1">
      <alignment horizontal="left" vertical="center" wrapText="1"/>
    </xf>
    <xf numFmtId="0" fontId="17" fillId="3" borderId="1" xfId="0" applyFont="1" applyFill="1" applyBorder="1" applyAlignment="1">
      <alignment vertical="center" wrapText="1"/>
    </xf>
    <xf numFmtId="0" fontId="15" fillId="3" borderId="1" xfId="0" applyFont="1" applyFill="1" applyBorder="1" applyAlignment="1">
      <alignment vertical="center" wrapText="1"/>
    </xf>
    <xf numFmtId="0" fontId="31" fillId="0" borderId="1" xfId="0" applyFont="1" applyBorder="1" applyAlignment="1">
      <alignment vertical="center" wrapText="1"/>
    </xf>
    <xf numFmtId="0" fontId="5" fillId="0" borderId="0" xfId="0" applyFont="1" applyAlignment="1">
      <alignment horizontal="center" vertical="center" wrapText="1"/>
    </xf>
    <xf numFmtId="0" fontId="12" fillId="0" borderId="0" xfId="0" applyFont="1" applyAlignment="1">
      <alignment horizontal="left"/>
    </xf>
    <xf numFmtId="0" fontId="20" fillId="0" borderId="1" xfId="0" applyFont="1" applyBorder="1" applyAlignment="1">
      <alignment horizontal="left" vertical="center" wrapText="1"/>
    </xf>
    <xf numFmtId="0" fontId="12" fillId="0" borderId="1" xfId="0" applyFont="1" applyBorder="1" applyAlignment="1">
      <alignment horizontal="left"/>
    </xf>
    <xf numFmtId="0" fontId="16" fillId="0" borderId="1" xfId="0" applyFont="1" applyBorder="1" applyAlignment="1">
      <alignment horizontal="left" vertical="center"/>
    </xf>
    <xf numFmtId="0" fontId="32" fillId="0" borderId="1" xfId="4" applyBorder="1" applyAlignment="1">
      <alignment horizontal="left" vertical="center"/>
    </xf>
    <xf numFmtId="0" fontId="14" fillId="0" borderId="1" xfId="0" applyFont="1" applyBorder="1" applyAlignment="1">
      <alignment horizontal="left" vertical="center"/>
    </xf>
    <xf numFmtId="0" fontId="17" fillId="0" borderId="1" xfId="0" applyFont="1" applyBorder="1" applyAlignment="1">
      <alignment vertical="top" wrapText="1"/>
    </xf>
    <xf numFmtId="0" fontId="16" fillId="0" borderId="1" xfId="0" applyFont="1" applyBorder="1" applyAlignment="1">
      <alignment vertical="top" wrapText="1"/>
    </xf>
    <xf numFmtId="0" fontId="19" fillId="0" borderId="0" xfId="0" applyFont="1" applyAlignment="1">
      <alignment wrapText="1"/>
    </xf>
    <xf numFmtId="0" fontId="16" fillId="0" borderId="1" xfId="0" applyFont="1" applyBorder="1" applyAlignment="1">
      <alignment horizontal="justify" vertical="center"/>
    </xf>
    <xf numFmtId="0" fontId="0" fillId="0" borderId="1" xfId="0" applyBorder="1" applyAlignment="1">
      <alignment horizontal="center" vertical="center" wrapText="1"/>
    </xf>
    <xf numFmtId="0" fontId="33" fillId="0" borderId="1" xfId="0" applyFont="1" applyBorder="1"/>
    <xf numFmtId="0" fontId="32" fillId="0" borderId="1" xfId="4" applyBorder="1"/>
    <xf numFmtId="0" fontId="34" fillId="0" borderId="1" xfId="0" applyFont="1" applyBorder="1" applyAlignment="1">
      <alignment horizontal="left" vertical="center" wrapText="1"/>
    </xf>
    <xf numFmtId="0" fontId="29" fillId="4" borderId="0" xfId="0" applyFont="1" applyFill="1" applyAlignment="1">
      <alignment horizontal="left" vertical="center"/>
    </xf>
    <xf numFmtId="0" fontId="35" fillId="0" borderId="1" xfId="0" applyFont="1" applyBorder="1" applyAlignment="1">
      <alignment horizontal="center" vertical="center"/>
    </xf>
    <xf numFmtId="0" fontId="25" fillId="0" borderId="1" xfId="0" applyFont="1" applyBorder="1" applyAlignment="1">
      <alignment horizontal="center" vertical="center"/>
    </xf>
    <xf numFmtId="0" fontId="21" fillId="0" borderId="0" xfId="0" applyFont="1" applyAlignment="1">
      <alignment horizontal="left" vertical="center"/>
    </xf>
    <xf numFmtId="0" fontId="26" fillId="0" borderId="0" xfId="0" applyFont="1" applyAlignment="1">
      <alignment horizontal="left" vertical="center"/>
    </xf>
    <xf numFmtId="0" fontId="12" fillId="0" borderId="0" xfId="0" applyFont="1" applyAlignment="1">
      <alignment horizontal="left" vertical="center"/>
    </xf>
    <xf numFmtId="0" fontId="12" fillId="0" borderId="1" xfId="0" applyFont="1" applyBorder="1" applyAlignment="1">
      <alignment vertical="center"/>
    </xf>
    <xf numFmtId="0" fontId="36" fillId="0" borderId="1" xfId="0" applyFont="1" applyBorder="1" applyAlignment="1">
      <alignment horizontal="left" vertical="top" wrapText="1"/>
    </xf>
    <xf numFmtId="0" fontId="5" fillId="3" borderId="0" xfId="0" applyFont="1" applyFill="1"/>
    <xf numFmtId="0" fontId="8" fillId="3" borderId="1" xfId="0" applyFont="1" applyFill="1" applyBorder="1" applyAlignment="1">
      <alignment horizontal="center" vertical="center" wrapText="1"/>
    </xf>
    <xf numFmtId="0" fontId="37" fillId="0" borderId="1" xfId="0" applyFont="1" applyBorder="1" applyAlignment="1">
      <alignment vertical="center" wrapText="1"/>
    </xf>
    <xf numFmtId="0" fontId="38" fillId="0" borderId="1" xfId="0" applyFont="1" applyBorder="1" applyAlignment="1">
      <alignment vertical="center"/>
    </xf>
    <xf numFmtId="0" fontId="38" fillId="0" borderId="1" xfId="0" applyFont="1" applyBorder="1" applyAlignment="1">
      <alignment vertical="center" wrapText="1"/>
    </xf>
    <xf numFmtId="0" fontId="38" fillId="0" borderId="1" xfId="0" applyFont="1" applyBorder="1" applyAlignment="1">
      <alignment horizontal="center" vertical="center"/>
    </xf>
    <xf numFmtId="0" fontId="4" fillId="0" borderId="1" xfId="0" applyFont="1" applyBorder="1" applyAlignment="1">
      <alignment horizontal="center" vertical="top" wrapText="1"/>
    </xf>
    <xf numFmtId="0" fontId="28" fillId="0" borderId="0" xfId="0" applyFont="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vertical="center"/>
    </xf>
    <xf numFmtId="0" fontId="41" fillId="0" borderId="0" xfId="0" applyFont="1"/>
    <xf numFmtId="0" fontId="41" fillId="0" borderId="1" xfId="0" applyFont="1" applyBorder="1" applyAlignment="1">
      <alignment horizontal="left" vertical="center" wrapText="1"/>
    </xf>
    <xf numFmtId="0" fontId="41" fillId="0" borderId="1" xfId="0" applyFont="1" applyBorder="1" applyAlignment="1">
      <alignment vertical="center" wrapText="1"/>
    </xf>
    <xf numFmtId="0" fontId="41" fillId="0" borderId="1" xfId="0" applyFont="1" applyBorder="1" applyAlignment="1">
      <alignment horizontal="center" vertical="center" wrapText="1"/>
    </xf>
    <xf numFmtId="0" fontId="41" fillId="0" borderId="0" xfId="0" applyFont="1" applyAlignment="1">
      <alignment horizontal="center" vertical="center"/>
    </xf>
    <xf numFmtId="0" fontId="44" fillId="4" borderId="0" xfId="0" applyFont="1" applyFill="1"/>
    <xf numFmtId="0" fontId="41" fillId="0" borderId="0" xfId="0" applyFont="1" applyAlignment="1">
      <alignment vertical="center"/>
    </xf>
    <xf numFmtId="0" fontId="41" fillId="0" borderId="0" xfId="0" applyFont="1" applyAlignment="1">
      <alignment wrapText="1"/>
    </xf>
    <xf numFmtId="9" fontId="41" fillId="0" borderId="0" xfId="1" applyFont="1" applyFill="1"/>
    <xf numFmtId="164" fontId="41" fillId="0" borderId="0" xfId="0" applyNumberFormat="1" applyFont="1"/>
    <xf numFmtId="0" fontId="42" fillId="6" borderId="1" xfId="2" applyFont="1" applyFill="1" applyBorder="1" applyAlignment="1">
      <alignment horizontal="center" vertical="center" wrapText="1"/>
    </xf>
    <xf numFmtId="0" fontId="42" fillId="7" borderId="1" xfId="2" applyFont="1" applyFill="1" applyBorder="1" applyAlignment="1">
      <alignment horizontal="center" vertical="center" wrapText="1"/>
    </xf>
    <xf numFmtId="0" fontId="42" fillId="8" borderId="1" xfId="2" applyFont="1" applyFill="1" applyBorder="1" applyAlignment="1">
      <alignment horizontal="center" vertical="center" wrapText="1"/>
    </xf>
    <xf numFmtId="0" fontId="42" fillId="0" borderId="0" xfId="0" applyFont="1" applyAlignment="1">
      <alignment horizontal="center" vertical="center" wrapText="1"/>
    </xf>
    <xf numFmtId="0" fontId="45" fillId="0" borderId="1" xfId="0" applyFont="1" applyBorder="1" applyAlignment="1">
      <alignment horizontal="center" vertical="center" wrapText="1"/>
    </xf>
    <xf numFmtId="0" fontId="45" fillId="6" borderId="1"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45" fillId="8" borderId="1" xfId="0" applyFont="1" applyFill="1" applyBorder="1" applyAlignment="1">
      <alignment horizontal="center" vertical="center" wrapText="1"/>
    </xf>
    <xf numFmtId="9" fontId="45" fillId="0" borderId="1" xfId="1" applyFont="1" applyBorder="1" applyAlignment="1">
      <alignment horizontal="center" vertical="center"/>
    </xf>
    <xf numFmtId="165" fontId="45" fillId="6" borderId="1" xfId="1" applyNumberFormat="1" applyFont="1" applyFill="1" applyBorder="1" applyAlignment="1">
      <alignment horizontal="center" vertical="center"/>
    </xf>
    <xf numFmtId="165" fontId="45" fillId="7" borderId="1" xfId="1" applyNumberFormat="1" applyFont="1" applyFill="1" applyBorder="1" applyAlignment="1">
      <alignment horizontal="center" vertical="center"/>
    </xf>
    <xf numFmtId="165" fontId="45" fillId="8" borderId="1" xfId="1" applyNumberFormat="1" applyFont="1" applyFill="1" applyBorder="1" applyAlignment="1">
      <alignment horizontal="center" vertical="center"/>
    </xf>
    <xf numFmtId="164" fontId="45" fillId="0" borderId="1" xfId="0" applyNumberFormat="1" applyFont="1" applyBorder="1" applyAlignment="1">
      <alignment horizontal="center" vertical="center" wrapText="1"/>
    </xf>
    <xf numFmtId="0" fontId="45" fillId="0" borderId="0" xfId="0" applyFont="1" applyAlignment="1">
      <alignment horizontal="center" vertical="center" wrapText="1"/>
    </xf>
    <xf numFmtId="0" fontId="42" fillId="8" borderId="1" xfId="0" applyFont="1" applyFill="1" applyBorder="1" applyAlignment="1">
      <alignment horizontal="left" vertical="center" wrapText="1"/>
    </xf>
    <xf numFmtId="0" fontId="41" fillId="8" borderId="1" xfId="0" applyFont="1" applyFill="1" applyBorder="1" applyAlignment="1">
      <alignment horizontal="center" vertical="center" wrapText="1"/>
    </xf>
    <xf numFmtId="0" fontId="41" fillId="6" borderId="1" xfId="0" applyFont="1" applyFill="1" applyBorder="1" applyAlignment="1">
      <alignment horizontal="center" vertical="center" wrapText="1"/>
    </xf>
    <xf numFmtId="0" fontId="41" fillId="7" borderId="1" xfId="0" applyFont="1" applyFill="1" applyBorder="1" applyAlignment="1">
      <alignment horizontal="center" vertical="center" wrapText="1"/>
    </xf>
    <xf numFmtId="9" fontId="41" fillId="0" borderId="1" xfId="1" applyFont="1" applyBorder="1" applyAlignment="1">
      <alignment horizontal="center" vertical="center"/>
    </xf>
    <xf numFmtId="9" fontId="41" fillId="6" borderId="1" xfId="1" applyFont="1" applyFill="1" applyBorder="1" applyAlignment="1">
      <alignment horizontal="center" vertical="center"/>
    </xf>
    <xf numFmtId="9" fontId="47" fillId="7" borderId="1" xfId="1" applyFont="1" applyFill="1" applyBorder="1" applyAlignment="1">
      <alignment horizontal="center" vertical="center"/>
    </xf>
    <xf numFmtId="9" fontId="47" fillId="8" borderId="1" xfId="1" applyFont="1" applyFill="1" applyBorder="1" applyAlignment="1">
      <alignment horizontal="center" vertical="center"/>
    </xf>
    <xf numFmtId="0" fontId="42" fillId="0" borderId="1" xfId="0" applyFont="1" applyBorder="1" applyAlignment="1">
      <alignment horizontal="center" vertical="center" wrapText="1"/>
    </xf>
    <xf numFmtId="0" fontId="41" fillId="8" borderId="1" xfId="0" applyFont="1" applyFill="1" applyBorder="1" applyAlignment="1">
      <alignment horizontal="center" vertical="center"/>
    </xf>
    <xf numFmtId="0" fontId="42" fillId="6" borderId="1"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42" fillId="8" borderId="1" xfId="0" applyFont="1" applyFill="1" applyBorder="1" applyAlignment="1">
      <alignment horizontal="center" vertical="center" wrapText="1"/>
    </xf>
    <xf numFmtId="165" fontId="42" fillId="0" borderId="1" xfId="1" applyNumberFormat="1" applyFont="1" applyBorder="1" applyAlignment="1">
      <alignment horizontal="center" vertical="center"/>
    </xf>
    <xf numFmtId="165" fontId="42" fillId="6" borderId="1" xfId="1" applyNumberFormat="1" applyFont="1" applyFill="1" applyBorder="1" applyAlignment="1">
      <alignment horizontal="center" vertical="center"/>
    </xf>
    <xf numFmtId="165" fontId="40" fillId="7" borderId="1" xfId="1" applyNumberFormat="1" applyFont="1" applyFill="1" applyBorder="1" applyAlignment="1">
      <alignment horizontal="center" vertical="center"/>
    </xf>
    <xf numFmtId="165" fontId="40" fillId="8" borderId="1" xfId="1" applyNumberFormat="1" applyFont="1" applyFill="1" applyBorder="1" applyAlignment="1">
      <alignment horizontal="center" vertical="center"/>
    </xf>
    <xf numFmtId="164" fontId="41" fillId="0" borderId="1" xfId="0" applyNumberFormat="1" applyFont="1" applyBorder="1" applyAlignment="1">
      <alignment horizontal="center" vertical="center" wrapText="1"/>
    </xf>
    <xf numFmtId="9" fontId="42" fillId="0" borderId="1" xfId="1" applyFont="1" applyBorder="1" applyAlignment="1">
      <alignment horizontal="center" vertical="center"/>
    </xf>
    <xf numFmtId="9" fontId="42" fillId="6" borderId="1" xfId="1" applyFont="1" applyFill="1" applyBorder="1" applyAlignment="1">
      <alignment horizontal="center" vertical="center"/>
    </xf>
    <xf numFmtId="9" fontId="40" fillId="7" borderId="1" xfId="1" applyFont="1" applyFill="1" applyBorder="1" applyAlignment="1">
      <alignment horizontal="center" vertical="center"/>
    </xf>
    <xf numFmtId="9" fontId="40" fillId="8" borderId="1" xfId="1" applyFont="1" applyFill="1" applyBorder="1" applyAlignment="1">
      <alignment horizontal="center" vertical="center"/>
    </xf>
    <xf numFmtId="0" fontId="41" fillId="0" borderId="1" xfId="0" applyFont="1" applyBorder="1" applyAlignment="1">
      <alignment horizontal="left" vertical="top" wrapText="1"/>
    </xf>
    <xf numFmtId="0" fontId="41" fillId="6" borderId="0" xfId="0" applyFont="1" applyFill="1"/>
    <xf numFmtId="0" fontId="41" fillId="7" borderId="0" xfId="0" applyFont="1" applyFill="1"/>
    <xf numFmtId="0" fontId="41" fillId="8" borderId="0" xfId="0" applyFont="1" applyFill="1"/>
    <xf numFmtId="0" fontId="40" fillId="6" borderId="1" xfId="0" applyFont="1" applyFill="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wrapText="1"/>
    </xf>
    <xf numFmtId="0" fontId="49" fillId="0" borderId="1" xfId="0" applyFont="1" applyBorder="1" applyAlignment="1">
      <alignment horizontal="center" vertical="top"/>
    </xf>
    <xf numFmtId="0" fontId="47" fillId="0" borderId="1" xfId="0" applyFont="1" applyBorder="1"/>
    <xf numFmtId="0" fontId="47" fillId="0" borderId="0" xfId="6" applyFont="1"/>
    <xf numFmtId="0" fontId="51" fillId="9" borderId="1" xfId="6" applyFont="1" applyFill="1" applyBorder="1" applyAlignment="1">
      <alignment horizontal="center" vertical="center" wrapText="1"/>
    </xf>
    <xf numFmtId="3" fontId="51" fillId="9" borderId="1" xfId="6" applyNumberFormat="1" applyFont="1" applyFill="1" applyBorder="1" applyAlignment="1">
      <alignment horizontal="center" vertical="center" wrapText="1"/>
    </xf>
    <xf numFmtId="0" fontId="40" fillId="0" borderId="0" xfId="6" applyFont="1" applyAlignment="1">
      <alignment horizontal="center" vertical="center"/>
    </xf>
    <xf numFmtId="0" fontId="40" fillId="0" borderId="0" xfId="6" applyFont="1" applyAlignment="1">
      <alignment horizontal="center" vertical="center" wrapText="1"/>
    </xf>
    <xf numFmtId="0" fontId="50" fillId="0" borderId="1" xfId="6" applyFont="1" applyBorder="1" applyAlignment="1">
      <alignment horizontal="center" vertical="center" wrapText="1"/>
    </xf>
    <xf numFmtId="0" fontId="50" fillId="0" borderId="1" xfId="6" applyFont="1" applyBorder="1" applyAlignment="1">
      <alignment vertical="top" wrapText="1"/>
    </xf>
    <xf numFmtId="3" fontId="50" fillId="0" borderId="1" xfId="6" applyNumberFormat="1" applyFont="1" applyBorder="1" applyAlignment="1">
      <alignment vertical="top" wrapText="1"/>
    </xf>
    <xf numFmtId="0" fontId="47" fillId="0" borderId="0" xfId="6" applyFont="1" applyAlignment="1">
      <alignment vertical="center"/>
    </xf>
    <xf numFmtId="0" fontId="47" fillId="0" borderId="0" xfId="6" applyFont="1" applyAlignment="1">
      <alignment vertical="top"/>
    </xf>
    <xf numFmtId="0" fontId="47" fillId="0" borderId="0" xfId="6" applyFont="1" applyAlignment="1">
      <alignment horizontal="center" vertical="center"/>
    </xf>
    <xf numFmtId="3" fontId="47" fillId="0" borderId="0" xfId="6" applyNumberFormat="1" applyFont="1"/>
    <xf numFmtId="0" fontId="41" fillId="0" borderId="6" xfId="0" applyFont="1" applyBorder="1" applyAlignment="1">
      <alignment horizontal="center" vertical="center"/>
    </xf>
    <xf numFmtId="0" fontId="41" fillId="0" borderId="1" xfId="0" applyFont="1" applyBorder="1" applyAlignment="1">
      <alignment horizontal="center" vertical="center"/>
    </xf>
    <xf numFmtId="0" fontId="44" fillId="0" borderId="1" xfId="5" applyFont="1" applyBorder="1" applyAlignment="1">
      <alignment horizontal="left" vertical="center" wrapText="1"/>
    </xf>
    <xf numFmtId="0" fontId="44" fillId="0" borderId="1" xfId="0" applyFont="1" applyBorder="1" applyAlignment="1">
      <alignment horizontal="center" vertical="center"/>
    </xf>
    <xf numFmtId="0" fontId="53" fillId="0" borderId="1" xfId="0" applyFont="1" applyBorder="1" applyAlignment="1">
      <alignment horizontal="center" vertical="center" wrapText="1"/>
    </xf>
    <xf numFmtId="0" fontId="53" fillId="0" borderId="1" xfId="0" applyFont="1" applyBorder="1" applyAlignment="1">
      <alignment horizontal="left" vertical="center" wrapText="1"/>
    </xf>
    <xf numFmtId="0" fontId="52" fillId="12" borderId="1" xfId="0" applyFont="1" applyFill="1" applyBorder="1" applyAlignment="1">
      <alignment horizontal="center" vertical="center" wrapText="1"/>
    </xf>
    <xf numFmtId="0" fontId="42" fillId="9" borderId="5" xfId="0" applyFont="1" applyFill="1" applyBorder="1" applyAlignment="1">
      <alignment horizontal="center" vertical="center" wrapText="1"/>
    </xf>
    <xf numFmtId="0" fontId="41" fillId="0" borderId="6" xfId="0" applyFont="1" applyBorder="1" applyAlignment="1">
      <alignment horizontal="left" vertical="top" wrapText="1"/>
    </xf>
    <xf numFmtId="0" fontId="44" fillId="0" borderId="1" xfId="0" applyFont="1" applyBorder="1" applyAlignment="1">
      <alignment horizontal="left" vertical="center" wrapText="1"/>
    </xf>
    <xf numFmtId="0" fontId="41" fillId="0" borderId="1" xfId="0" applyFont="1" applyBorder="1" applyAlignment="1">
      <alignment horizontal="left" wrapText="1"/>
    </xf>
    <xf numFmtId="0" fontId="41" fillId="0" borderId="1" xfId="0" applyFont="1" applyBorder="1" applyAlignment="1">
      <alignment horizontal="center" wrapText="1"/>
    </xf>
    <xf numFmtId="0" fontId="44" fillId="0" borderId="1" xfId="0" applyFont="1" applyBorder="1" applyAlignment="1">
      <alignment horizontal="left" wrapText="1"/>
    </xf>
    <xf numFmtId="164" fontId="41" fillId="0" borderId="5" xfId="0" applyNumberFormat="1" applyFont="1" applyBorder="1" applyAlignment="1">
      <alignment horizontal="center" vertical="center" wrapText="1"/>
    </xf>
    <xf numFmtId="164" fontId="41" fillId="0" borderId="7" xfId="0" applyNumberFormat="1" applyFont="1" applyBorder="1" applyAlignment="1">
      <alignment horizontal="center" vertical="center" wrapText="1"/>
    </xf>
    <xf numFmtId="164" fontId="41" fillId="0" borderId="6" xfId="0" applyNumberFormat="1" applyFont="1" applyBorder="1" applyAlignment="1">
      <alignment horizontal="center" vertical="center" wrapText="1"/>
    </xf>
    <xf numFmtId="0" fontId="42" fillId="0" borderId="5"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6" xfId="0" applyFont="1" applyBorder="1" applyAlignment="1">
      <alignment horizontal="center" vertical="center" wrapText="1"/>
    </xf>
    <xf numFmtId="0" fontId="41" fillId="0" borderId="5" xfId="0" applyFont="1" applyBorder="1" applyAlignment="1">
      <alignment horizontal="center" vertical="center" wrapText="1"/>
    </xf>
    <xf numFmtId="0" fontId="41" fillId="0" borderId="7" xfId="0" applyFont="1" applyBorder="1" applyAlignment="1">
      <alignment horizontal="center" vertical="center" wrapText="1"/>
    </xf>
    <xf numFmtId="0" fontId="41" fillId="0" borderId="6" xfId="0" applyFont="1" applyBorder="1" applyAlignment="1">
      <alignment horizontal="center" vertical="center" wrapText="1"/>
    </xf>
    <xf numFmtId="0" fontId="42" fillId="7" borderId="1" xfId="2" applyFont="1" applyFill="1" applyBorder="1" applyAlignment="1">
      <alignment horizontal="center" vertical="center" wrapText="1"/>
    </xf>
    <xf numFmtId="0" fontId="41" fillId="0" borderId="1" xfId="0" applyFont="1" applyBorder="1" applyAlignment="1">
      <alignment horizontal="center" vertical="center" wrapText="1"/>
    </xf>
    <xf numFmtId="164" fontId="41" fillId="0" borderId="1" xfId="0" applyNumberFormat="1" applyFont="1" applyBorder="1" applyAlignment="1">
      <alignment horizontal="center" vertical="center" wrapText="1"/>
    </xf>
    <xf numFmtId="0" fontId="42" fillId="6" borderId="1" xfId="2" applyFont="1" applyFill="1" applyBorder="1" applyAlignment="1">
      <alignment horizontal="center" vertical="center" wrapText="1"/>
    </xf>
    <xf numFmtId="0" fontId="45" fillId="0" borderId="0" xfId="0" applyFont="1" applyAlignment="1">
      <alignment horizontal="center" vertical="center"/>
    </xf>
    <xf numFmtId="0" fontId="45" fillId="0" borderId="1" xfId="0" applyFont="1" applyBorder="1" applyAlignment="1">
      <alignment horizontal="center" vertical="center" wrapText="1"/>
    </xf>
    <xf numFmtId="0" fontId="42" fillId="0" borderId="1" xfId="2" applyFont="1" applyBorder="1" applyAlignment="1">
      <alignment horizontal="center" vertical="center" wrapText="1"/>
    </xf>
    <xf numFmtId="164" fontId="42" fillId="0" borderId="1" xfId="2" applyNumberFormat="1" applyFont="1" applyBorder="1" applyAlignment="1">
      <alignment horizontal="center" vertical="center" wrapText="1"/>
    </xf>
    <xf numFmtId="0" fontId="46" fillId="0" borderId="1" xfId="2" applyFont="1" applyBorder="1" applyAlignment="1">
      <alignment horizontal="center" vertical="center" wrapText="1"/>
    </xf>
    <xf numFmtId="0" fontId="42" fillId="8" borderId="1" xfId="2" applyFont="1" applyFill="1" applyBorder="1" applyAlignment="1">
      <alignment horizontal="center" vertical="center" wrapText="1"/>
    </xf>
    <xf numFmtId="0" fontId="41" fillId="0" borderId="1" xfId="0" applyFont="1" applyBorder="1" applyAlignment="1">
      <alignment horizontal="center" wrapText="1"/>
    </xf>
    <xf numFmtId="0" fontId="42" fillId="0" borderId="1" xfId="0" applyFont="1" applyBorder="1" applyAlignment="1">
      <alignment horizontal="center" vertical="center" wrapText="1"/>
    </xf>
    <xf numFmtId="0" fontId="41" fillId="0" borderId="5" xfId="0" applyFont="1" applyBorder="1" applyAlignment="1">
      <alignment horizontal="center" wrapText="1"/>
    </xf>
    <xf numFmtId="0" fontId="41" fillId="0" borderId="7" xfId="0" applyFont="1" applyBorder="1" applyAlignment="1">
      <alignment horizontal="center" wrapText="1"/>
    </xf>
    <xf numFmtId="0" fontId="41" fillId="0" borderId="6" xfId="0" applyFont="1" applyBorder="1" applyAlignment="1">
      <alignment horizontal="center" wrapText="1"/>
    </xf>
    <xf numFmtId="0" fontId="4" fillId="0" borderId="0" xfId="0" applyFont="1" applyAlignment="1">
      <alignment horizontal="center" vertical="center" wrapText="1"/>
    </xf>
    <xf numFmtId="0" fontId="45" fillId="0" borderId="0" xfId="0" applyFont="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12" fillId="0" borderId="1"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center"/>
    </xf>
    <xf numFmtId="0" fontId="12" fillId="0" borderId="6" xfId="0" applyFont="1" applyBorder="1" applyAlignment="1">
      <alignment horizontal="center"/>
    </xf>
    <xf numFmtId="0" fontId="24" fillId="0" borderId="0" xfId="0" applyFont="1" applyAlignment="1">
      <alignment horizontal="center"/>
    </xf>
    <xf numFmtId="0" fontId="25" fillId="0" borderId="1" xfId="0" applyFont="1" applyBorder="1" applyAlignment="1">
      <alignment horizontal="center" vertical="center" wrapText="1"/>
    </xf>
    <xf numFmtId="0" fontId="12" fillId="0" borderId="1" xfId="0" applyFont="1" applyBorder="1" applyAlignment="1">
      <alignment horizontal="left" vertical="top" wrapText="1"/>
    </xf>
    <xf numFmtId="0" fontId="52" fillId="11" borderId="1" xfId="0" applyFont="1" applyFill="1" applyBorder="1" applyAlignment="1">
      <alignment horizontal="center" vertical="center" wrapText="1"/>
    </xf>
    <xf numFmtId="0" fontId="53" fillId="0" borderId="0" xfId="0" applyFont="1" applyAlignment="1">
      <alignment horizontal="center" vertical="center" wrapText="1"/>
    </xf>
    <xf numFmtId="0" fontId="53" fillId="0" borderId="0" xfId="0" applyFont="1" applyAlignment="1">
      <alignment horizontal="left" vertical="center" wrapText="1"/>
    </xf>
    <xf numFmtId="0" fontId="17" fillId="0" borderId="0" xfId="0" applyFont="1" applyAlignment="1">
      <alignment horizontal="center" vertical="center" wrapText="1"/>
    </xf>
    <xf numFmtId="0" fontId="42" fillId="10" borderId="2" xfId="0" applyFont="1" applyFill="1" applyBorder="1" applyAlignment="1">
      <alignment horizontal="center" vertical="center" wrapText="1"/>
    </xf>
    <xf numFmtId="0" fontId="42" fillId="10" borderId="3" xfId="0" applyFont="1" applyFill="1" applyBorder="1" applyAlignment="1">
      <alignment horizontal="center" vertical="center" wrapText="1"/>
    </xf>
    <xf numFmtId="0" fontId="42" fillId="10" borderId="4" xfId="0" applyFont="1" applyFill="1" applyBorder="1" applyAlignment="1">
      <alignment horizontal="center" vertical="center" wrapText="1"/>
    </xf>
    <xf numFmtId="0" fontId="51" fillId="8" borderId="2" xfId="6" applyFont="1" applyFill="1" applyBorder="1" applyAlignment="1">
      <alignment horizontal="center" vertical="center" wrapText="1"/>
    </xf>
    <xf numFmtId="0" fontId="51" fillId="8" borderId="3" xfId="6" applyFont="1" applyFill="1" applyBorder="1" applyAlignment="1">
      <alignment horizontal="center" vertical="center" wrapText="1"/>
    </xf>
    <xf numFmtId="0" fontId="51" fillId="8" borderId="4" xfId="6" applyFont="1" applyFill="1" applyBorder="1" applyAlignment="1">
      <alignment horizontal="center" vertical="center" wrapText="1"/>
    </xf>
    <xf numFmtId="0" fontId="51" fillId="0" borderId="0" xfId="6" applyFont="1" applyAlignment="1">
      <alignment horizontal="center"/>
    </xf>
    <xf numFmtId="0" fontId="8" fillId="0" borderId="0" xfId="0" applyFont="1" applyAlignment="1">
      <alignment horizontal="center"/>
    </xf>
    <xf numFmtId="0" fontId="5" fillId="0" borderId="5" xfId="0" applyFont="1" applyBorder="1" applyAlignment="1">
      <alignment horizontal="left" vertical="center"/>
    </xf>
    <xf numFmtId="0" fontId="5" fillId="0" borderId="7" xfId="0" applyFont="1" applyBorder="1" applyAlignment="1">
      <alignment horizontal="left" vertical="center"/>
    </xf>
    <xf numFmtId="0" fontId="5" fillId="0" borderId="6" xfId="0" applyFont="1" applyBorder="1" applyAlignment="1">
      <alignment horizontal="left" vertical="center"/>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left" vertical="top" wrapText="1"/>
    </xf>
    <xf numFmtId="0" fontId="4" fillId="0" borderId="0" xfId="0" applyFont="1" applyAlignment="1">
      <alignment horizontal="center" vertical="center"/>
    </xf>
    <xf numFmtId="0" fontId="4" fillId="0" borderId="2" xfId="0" applyFont="1" applyBorder="1" applyAlignment="1">
      <alignment horizontal="left" vertical="center" indent="5"/>
    </xf>
    <xf numFmtId="0" fontId="4" fillId="0" borderId="3" xfId="0" applyFont="1" applyBorder="1" applyAlignment="1">
      <alignment horizontal="left" vertical="center" indent="5"/>
    </xf>
    <xf numFmtId="0" fontId="4" fillId="0" borderId="4" xfId="0" applyFont="1" applyBorder="1" applyAlignment="1">
      <alignment horizontal="left" vertical="center" indent="5"/>
    </xf>
    <xf numFmtId="0" fontId="28" fillId="0" borderId="5" xfId="0" applyFont="1" applyBorder="1" applyAlignment="1">
      <alignment horizontal="left" vertical="center" wrapText="1"/>
    </xf>
    <xf numFmtId="0" fontId="28" fillId="0" borderId="7" xfId="0" applyFont="1" applyBorder="1" applyAlignment="1">
      <alignment horizontal="left" vertical="center" wrapText="1"/>
    </xf>
    <xf numFmtId="0" fontId="28" fillId="0" borderId="6" xfId="0" applyFont="1" applyBorder="1" applyAlignment="1">
      <alignment horizontal="left" vertical="center" wrapText="1"/>
    </xf>
    <xf numFmtId="0" fontId="42" fillId="0" borderId="5" xfId="0" applyFont="1" applyFill="1" applyBorder="1" applyAlignment="1">
      <alignment horizontal="center" vertical="center" wrapText="1"/>
    </xf>
    <xf numFmtId="0" fontId="42" fillId="0" borderId="7" xfId="0" applyFont="1" applyFill="1" applyBorder="1" applyAlignment="1">
      <alignment horizontal="center" vertical="center" wrapText="1"/>
    </xf>
    <xf numFmtId="0" fontId="42" fillId="0" borderId="6" xfId="0" applyFont="1" applyFill="1" applyBorder="1" applyAlignment="1">
      <alignment horizontal="center" vertical="center" wrapText="1"/>
    </xf>
    <xf numFmtId="0" fontId="41" fillId="0" borderId="5" xfId="0" applyFont="1" applyFill="1" applyBorder="1" applyAlignment="1">
      <alignment horizontal="center" vertical="center" wrapText="1"/>
    </xf>
    <xf numFmtId="0" fontId="41" fillId="0" borderId="7" xfId="0" applyFont="1" applyFill="1" applyBorder="1" applyAlignment="1">
      <alignment horizontal="center" vertical="center" wrapText="1"/>
    </xf>
    <xf numFmtId="0" fontId="41" fillId="0" borderId="6" xfId="0" applyFont="1" applyFill="1" applyBorder="1" applyAlignment="1">
      <alignment horizontal="center" vertical="center" wrapText="1"/>
    </xf>
  </cellXfs>
  <cellStyles count="7">
    <cellStyle name="Гиперссылка" xfId="4" builtinId="8"/>
    <cellStyle name="Обычный" xfId="0" builtinId="0"/>
    <cellStyle name="Обычный 2" xfId="2" xr:uid="{00000000-0005-0000-0000-000001000000}"/>
    <cellStyle name="Обычный 3" xfId="5" xr:uid="{646CF4C9-F6AA-5344-8D02-BC6AF677150A}"/>
    <cellStyle name="Обычный 4" xfId="6" xr:uid="{E4B7879A-F06D-7949-846E-9A58EC020587}"/>
    <cellStyle name="Процентный" xfId="1" builtinId="5"/>
    <cellStyle name="Процентный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registr.stat.uz/" TargetMode="External"/><Relationship Id="rId13" Type="http://schemas.openxmlformats.org/officeDocument/2006/relationships/hyperlink" Target="https://erp-integration.sport.uz/api/v1/hp/HP/GetEmployeeInfo" TargetMode="External"/><Relationship Id="rId18" Type="http://schemas.openxmlformats.org/officeDocument/2006/relationships/hyperlink" Target="http://10.190.7.43:8192/hgt-org-customers" TargetMode="External"/><Relationship Id="rId26" Type="http://schemas.openxmlformats.org/officeDocument/2006/relationships/hyperlink" Target="https://akkred.uz:8081/main/registries" TargetMode="External"/><Relationship Id="rId3" Type="http://schemas.openxmlformats.org/officeDocument/2006/relationships/hyperlink" Target="http://10.190.4.11/inps/api/UzRXP/GetSqlQuery" TargetMode="External"/><Relationship Id="rId21" Type="http://schemas.openxmlformats.org/officeDocument/2006/relationships/hyperlink" Target="http://geoservice.uz/api/v1/hp/third-table" TargetMode="External"/><Relationship Id="rId7" Type="http://schemas.openxmlformats.org/officeDocument/2006/relationships/hyperlink" Target="https://api.hemis.uz/api/university" TargetMode="External"/><Relationship Id="rId12" Type="http://schemas.openxmlformats.org/officeDocument/2006/relationships/hyperlink" Target="https://erp-integration.sport.uz/api/v1/hp/HP/OrganizationInfo" TargetMode="External"/><Relationship Id="rId17" Type="http://schemas.openxmlformats.org/officeDocument/2006/relationships/hyperlink" Target="https://erp-integration.sport.uz/api/v1/hp/HP/GetTrenerInfo" TargetMode="External"/><Relationship Id="rId25" Type="http://schemas.openxmlformats.org/officeDocument/2006/relationships/hyperlink" Target="http://mspd:19027/api/investment/certificate" TargetMode="External"/><Relationship Id="rId2" Type="http://schemas.openxmlformats.org/officeDocument/2006/relationships/hyperlink" Target="http://10.190.4.11/inps/api/UzRXP/GetSqlQuery" TargetMode="External"/><Relationship Id="rId16" Type="http://schemas.openxmlformats.org/officeDocument/2006/relationships/hyperlink" Target="https://erp-integration.sport.uz/api/v1/hp/HP/GetInstructorAppQualCategory" TargetMode="External"/><Relationship Id="rId20" Type="http://schemas.openxmlformats.org/officeDocument/2006/relationships/hyperlink" Target="http://geoservice.uz/api/v1/hp/second-table" TargetMode="External"/><Relationship Id="rId29" Type="http://schemas.openxmlformats.org/officeDocument/2006/relationships/printerSettings" Target="../printerSettings/printerSettings2.bin"/><Relationship Id="rId1" Type="http://schemas.openxmlformats.org/officeDocument/2006/relationships/hyperlink" Target="http://10.190.4.11/inps/api/UzRXP/GetSqlQuery" TargetMode="External"/><Relationship Id="rId6" Type="http://schemas.openxmlformats.org/officeDocument/2006/relationships/hyperlink" Target="https://api.hemis.uz/api/university" TargetMode="External"/><Relationship Id="rId11" Type="http://schemas.openxmlformats.org/officeDocument/2006/relationships/hyperlink" Target="https://api.hemis.uz/api/university" TargetMode="External"/><Relationship Id="rId24" Type="http://schemas.openxmlformats.org/officeDocument/2006/relationships/hyperlink" Target="https://akkred.uz:8081/main/registries" TargetMode="External"/><Relationship Id="rId5" Type="http://schemas.openxmlformats.org/officeDocument/2006/relationships/hyperlink" Target="https://api.hemis.uz/api/university" TargetMode="External"/><Relationship Id="rId15" Type="http://schemas.openxmlformats.org/officeDocument/2006/relationships/hyperlink" Target="https://erp-integration.sport.uz/api/v1/hp/HP/GetJuryAppQualCategory" TargetMode="External"/><Relationship Id="rId23" Type="http://schemas.openxmlformats.org/officeDocument/2006/relationships/hyperlink" Target="http://10.190.25.12/api/integration/winners/info-list" TargetMode="External"/><Relationship Id="rId28" Type="http://schemas.openxmlformats.org/officeDocument/2006/relationships/hyperlink" Target="http://10.190.34.202:8146/api/get-rent-contract" TargetMode="External"/><Relationship Id="rId10" Type="http://schemas.openxmlformats.org/officeDocument/2006/relationships/hyperlink" Target="http://api-phd.mininnovation.uz/api-account-chamber/doctorates" TargetMode="External"/><Relationship Id="rId19" Type="http://schemas.openxmlformats.org/officeDocument/2006/relationships/hyperlink" Target="http://geoservice.uz/api/v1/hp/fourth-table" TargetMode="External"/><Relationship Id="rId4" Type="http://schemas.openxmlformats.org/officeDocument/2006/relationships/hyperlink" Target="http://10.190.4.11/inps/api/UzRXP/GetSqlQuery" TargetMode="External"/><Relationship Id="rId9" Type="http://schemas.openxmlformats.org/officeDocument/2006/relationships/hyperlink" Target="http://10.190.4.11/inps/api/UzRXP/GetSqlQuery" TargetMode="External"/><Relationship Id="rId14" Type="http://schemas.openxmlformats.org/officeDocument/2006/relationships/hyperlink" Target="https://erp-integration.sport.uz/api/v1/hp/HP/GetTrenerAppQualCategory" TargetMode="External"/><Relationship Id="rId22" Type="http://schemas.openxmlformats.org/officeDocument/2006/relationships/hyperlink" Target="http://geoservice.uz/api/v1/hp/first-table" TargetMode="External"/><Relationship Id="rId27" Type="http://schemas.openxmlformats.org/officeDocument/2006/relationships/hyperlink" Target="https://api.online-mahalla.uz/api/v1/sync/subsidy/h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erp-integration.sport.uz/api/v1/hp/HP/GetTrenerAppQualCategory" TargetMode="External"/><Relationship Id="rId13" Type="http://schemas.openxmlformats.org/officeDocument/2006/relationships/hyperlink" Target="https://out-api.masofaviyaudit.uz/api/v1/request/internal/moliya/kazna-fourth/" TargetMode="External"/><Relationship Id="rId18" Type="http://schemas.openxmlformats.org/officeDocument/2006/relationships/hyperlink" Target="https://10.190.25.78:8093/api/v2/account-chamber/car-search-06-method" TargetMode="External"/><Relationship Id="rId3" Type="http://schemas.openxmlformats.org/officeDocument/2006/relationships/hyperlink" Target="https://api.yoshlardaftari.uz/api/v2/hisob-palatasi/out-notebook-data" TargetMode="External"/><Relationship Id="rId21" Type="http://schemas.openxmlformats.org/officeDocument/2006/relationships/printerSettings" Target="../printerSettings/printerSettings7.bin"/><Relationship Id="rId7" Type="http://schemas.openxmlformats.org/officeDocument/2006/relationships/hyperlink" Target="https://erp-integration.sport.uz/api/v1/hp/HP/GetTrenerInfo" TargetMode="External"/><Relationship Id="rId12" Type="http://schemas.openxmlformats.org/officeDocument/2006/relationships/hyperlink" Target="https://out-api.masofaviyaudit.uz/api/v1/request/internal/moliya/kazna-salary/" TargetMode="External"/><Relationship Id="rId17" Type="http://schemas.openxmlformats.org/officeDocument/2006/relationships/hyperlink" Target="http://10.190.0.77:7116/api/v2/permanent_registrations" TargetMode="External"/><Relationship Id="rId2" Type="http://schemas.openxmlformats.org/officeDocument/2006/relationships/hyperlink" Target="https://api.yoshlardaftari.uz/api/v2/hisob-palatasi/notebook-data" TargetMode="External"/><Relationship Id="rId16" Type="http://schemas.openxmlformats.org/officeDocument/2006/relationships/hyperlink" Target="https://new.cooperation.uz/Shared/GetProducts" TargetMode="External"/><Relationship Id="rId20" Type="http://schemas.openxmlformats.org/officeDocument/2006/relationships/hyperlink" Target="https://10.190.33.150/api/info-all" TargetMode="External"/><Relationship Id="rId1" Type="http://schemas.openxmlformats.org/officeDocument/2006/relationships/hyperlink" Target="https://erp-integration.sport.uz/api/v1/hp/HP/OrganizationInfo" TargetMode="External"/><Relationship Id="rId6" Type="http://schemas.openxmlformats.org/officeDocument/2006/relationships/hyperlink" Target="https://erp-integration.sport.uz/api/v1/hp/HP/GetInstructorAppQualCategory" TargetMode="External"/><Relationship Id="rId11" Type="http://schemas.openxmlformats.org/officeDocument/2006/relationships/hyperlink" Target="https://out-api.masofaviyaudit.uz/api/v1/request/internal/moliya/kazna-dekret/" TargetMode="External"/><Relationship Id="rId5" Type="http://schemas.openxmlformats.org/officeDocument/2006/relationships/hyperlink" Target="https://erp-integration.sport.uz/api/v1/hp/HP/GetEmployeeInfo" TargetMode="External"/><Relationship Id="rId15" Type="http://schemas.openxmlformats.org/officeDocument/2006/relationships/hyperlink" Target="https://new.cooperation.uz/Shared/GetCompanies" TargetMode="External"/><Relationship Id="rId10" Type="http://schemas.openxmlformats.org/officeDocument/2006/relationships/hyperlink" Target="https://out-api.masofaviyaudit.uz/api/v1/request/internal/moliya/kazna-factura/" TargetMode="External"/><Relationship Id="rId19" Type="http://schemas.openxmlformats.org/officeDocument/2006/relationships/hyperlink" Target="https://10.190.25.78:8093/api/v2/account-chamber/driver-search-03-method" TargetMode="External"/><Relationship Id="rId4" Type="http://schemas.openxmlformats.org/officeDocument/2006/relationships/hyperlink" Target="https://api.yoshlardaftari.uz/api/v2/hisob-palatasi/statistic-out-notebook-data" TargetMode="External"/><Relationship Id="rId9" Type="http://schemas.openxmlformats.org/officeDocument/2006/relationships/hyperlink" Target="https://erp-integration.sport.uz/api/v1/hp/HP/GetJuryAppQualCategory" TargetMode="External"/><Relationship Id="rId14" Type="http://schemas.openxmlformats.org/officeDocument/2006/relationships/hyperlink" Target="https://new.cooperation.uz/Shared/GetContract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5A32-9CEC-E148-B97B-DEFD7856BFE9}">
  <sheetPr>
    <tabColor theme="5" tint="-0.249977111117893"/>
  </sheetPr>
  <dimension ref="A1:P301"/>
  <sheetViews>
    <sheetView topLeftCell="A240" workbookViewId="0">
      <selection activeCell="A257" sqref="A257"/>
    </sheetView>
  </sheetViews>
  <sheetFormatPr baseColWidth="10" defaultColWidth="11.5" defaultRowHeight="15" x14ac:dyDescent="0.2"/>
  <cols>
    <col min="1" max="1" width="25" bestFit="1" customWidth="1"/>
    <col min="2" max="2" width="17" bestFit="1" customWidth="1"/>
    <col min="3" max="3" width="27.1640625" customWidth="1"/>
    <col min="4" max="4" width="17" customWidth="1"/>
    <col min="8" max="13" width="14.83203125" customWidth="1"/>
  </cols>
  <sheetData>
    <row r="1" spans="1:16" s="66" customFormat="1" ht="32" x14ac:dyDescent="0.2">
      <c r="A1" s="64" t="s">
        <v>588</v>
      </c>
      <c r="B1" s="65" t="s">
        <v>589</v>
      </c>
      <c r="C1" s="65" t="str">
        <f>B1&amp;"."&amp;A1</f>
        <v>table_schema.table_name</v>
      </c>
      <c r="D1" s="65" t="s">
        <v>866</v>
      </c>
      <c r="E1" s="65" t="s">
        <v>867</v>
      </c>
      <c r="F1" s="65" t="s">
        <v>868</v>
      </c>
      <c r="H1" s="66" t="s">
        <v>864</v>
      </c>
      <c r="N1" s="66" t="s">
        <v>861</v>
      </c>
      <c r="O1" s="66" t="s">
        <v>862</v>
      </c>
      <c r="P1" s="66" t="s">
        <v>863</v>
      </c>
    </row>
    <row r="2" spans="1:16" x14ac:dyDescent="0.2">
      <c r="A2" s="62" t="s">
        <v>590</v>
      </c>
      <c r="B2" s="63" t="s">
        <v>591</v>
      </c>
      <c r="C2" s="63" t="str">
        <f t="shared" ref="C2:C64" si="0">B2&amp;"."&amp;A2</f>
        <v>education.credits</v>
      </c>
      <c r="D2" s="63" t="e">
        <f>IFERROR(VLOOKUP(A2,#REF!,1,0),VLOOKUP(C2,#REF!,1,0))</f>
        <v>#REF!</v>
      </c>
      <c r="E2" s="63" t="s">
        <v>882</v>
      </c>
      <c r="F2" s="63" t="s">
        <v>869</v>
      </c>
      <c r="H2" t="s">
        <v>306</v>
      </c>
      <c r="N2" t="str">
        <f t="shared" ref="N2:N65" si="1">IFERROR(VLOOKUP(H2,A:A,1,0),"")</f>
        <v>financial_transactions</v>
      </c>
      <c r="O2" t="str">
        <f t="shared" ref="O2:O65" si="2">IFERROR(VLOOKUP(H2,C:C,1,0),"")</f>
        <v/>
      </c>
      <c r="P2" t="str">
        <f>N2&amp;O2</f>
        <v>financial_transactions</v>
      </c>
    </row>
    <row r="3" spans="1:16" x14ac:dyDescent="0.2">
      <c r="A3" s="62" t="s">
        <v>592</v>
      </c>
      <c r="B3" s="63" t="s">
        <v>591</v>
      </c>
      <c r="C3" s="63" t="str">
        <f t="shared" si="0"/>
        <v>education.dtm_recommends</v>
      </c>
      <c r="D3" s="63" t="e">
        <f>IFERROR(VLOOKUP(A3,#REF!,1,0),VLOOKUP(C3,#REF!,1,0))</f>
        <v>#REF!</v>
      </c>
      <c r="E3" s="63" t="s">
        <v>882</v>
      </c>
      <c r="F3" s="63" t="s">
        <v>869</v>
      </c>
      <c r="H3" t="s">
        <v>307</v>
      </c>
      <c r="N3" t="str">
        <f t="shared" si="1"/>
        <v>dembat_faktura</v>
      </c>
      <c r="O3" t="str">
        <f t="shared" si="2"/>
        <v/>
      </c>
      <c r="P3" t="str">
        <f t="shared" ref="P3:P261" si="3">N3&amp;O3</f>
        <v>dembat_faktura</v>
      </c>
    </row>
    <row r="4" spans="1:16" x14ac:dyDescent="0.2">
      <c r="A4" s="62" t="s">
        <v>593</v>
      </c>
      <c r="B4" s="63" t="s">
        <v>591</v>
      </c>
      <c r="C4" s="63" t="str">
        <f t="shared" si="0"/>
        <v>education.dtm_transfers</v>
      </c>
      <c r="D4" s="63" t="e">
        <f>IFERROR(VLOOKUP(A4,#REF!,1,0),VLOOKUP(C4,#REF!,1,0))</f>
        <v>#REF!</v>
      </c>
      <c r="E4" s="63" t="s">
        <v>882</v>
      </c>
      <c r="F4" s="63" t="s">
        <v>869</v>
      </c>
      <c r="N4" t="str">
        <f t="shared" si="1"/>
        <v/>
      </c>
      <c r="O4" t="str">
        <f t="shared" si="2"/>
        <v/>
      </c>
      <c r="P4" t="str">
        <f t="shared" si="3"/>
        <v/>
      </c>
    </row>
    <row r="5" spans="1:16" x14ac:dyDescent="0.2">
      <c r="A5" s="62" t="s">
        <v>594</v>
      </c>
      <c r="B5" s="63" t="s">
        <v>591</v>
      </c>
      <c r="C5" s="63" t="str">
        <f t="shared" si="0"/>
        <v>education.hemis_graduates</v>
      </c>
      <c r="D5" s="63" t="e">
        <f>IFERROR(VLOOKUP(A5,#REF!,1,0),VLOOKUP(C5,#REF!,1,0))</f>
        <v>#REF!</v>
      </c>
      <c r="E5" s="63" t="s">
        <v>882</v>
      </c>
      <c r="F5" s="63" t="s">
        <v>869</v>
      </c>
      <c r="N5" t="str">
        <f t="shared" si="1"/>
        <v/>
      </c>
      <c r="O5" t="str">
        <f t="shared" si="2"/>
        <v/>
      </c>
      <c r="P5" t="str">
        <f t="shared" si="3"/>
        <v/>
      </c>
    </row>
    <row r="6" spans="1:16" x14ac:dyDescent="0.2">
      <c r="A6" s="62" t="s">
        <v>595</v>
      </c>
      <c r="B6" s="63" t="s">
        <v>591</v>
      </c>
      <c r="C6" s="63" t="str">
        <f t="shared" si="0"/>
        <v>education.hemis_students</v>
      </c>
      <c r="D6" s="63" t="e">
        <f>IFERROR(VLOOKUP(A6,#REF!,1,0),VLOOKUP(C6,#REF!,1,0))</f>
        <v>#REF!</v>
      </c>
      <c r="E6" s="63" t="s">
        <v>882</v>
      </c>
      <c r="F6" s="63" t="s">
        <v>869</v>
      </c>
      <c r="H6" t="s">
        <v>308</v>
      </c>
      <c r="N6" t="str">
        <f t="shared" si="1"/>
        <v>report_months</v>
      </c>
      <c r="O6" t="str">
        <f t="shared" si="2"/>
        <v/>
      </c>
      <c r="P6" t="str">
        <f t="shared" si="3"/>
        <v>report_months</v>
      </c>
    </row>
    <row r="7" spans="1:16" x14ac:dyDescent="0.2">
      <c r="A7" s="62" t="s">
        <v>596</v>
      </c>
      <c r="B7" s="63" t="s">
        <v>597</v>
      </c>
      <c r="C7" s="63" t="str">
        <f t="shared" si="0"/>
        <v>employement.borders</v>
      </c>
      <c r="D7" s="63" t="e">
        <f>IFERROR(VLOOKUP(A7,#REF!,1,0),VLOOKUP(C7,#REF!,1,0))</f>
        <v>#REF!</v>
      </c>
      <c r="E7" s="63" t="s">
        <v>883</v>
      </c>
      <c r="F7" s="63" t="s">
        <v>869</v>
      </c>
      <c r="H7" t="s">
        <v>309</v>
      </c>
      <c r="I7" t="s">
        <v>310</v>
      </c>
      <c r="N7" t="str">
        <f t="shared" si="1"/>
        <v>position_vault</v>
      </c>
      <c r="O7" t="str">
        <f t="shared" si="2"/>
        <v/>
      </c>
      <c r="P7" t="str">
        <f t="shared" si="3"/>
        <v>position_vault</v>
      </c>
    </row>
    <row r="8" spans="1:16" x14ac:dyDescent="0.2">
      <c r="A8" s="62" t="s">
        <v>598</v>
      </c>
      <c r="B8" s="63" t="s">
        <v>597</v>
      </c>
      <c r="C8" s="63" t="str">
        <f t="shared" si="0"/>
        <v>employement.inps</v>
      </c>
      <c r="D8" s="63" t="e">
        <f>IFERROR(VLOOKUP(A8,#REF!,1,0),VLOOKUP(C8,#REF!,1,0))</f>
        <v>#REF!</v>
      </c>
      <c r="E8" s="63" t="s">
        <v>882</v>
      </c>
      <c r="F8" s="63" t="s">
        <v>869</v>
      </c>
      <c r="H8" t="s">
        <v>311</v>
      </c>
      <c r="N8" t="str">
        <f t="shared" si="1"/>
        <v>vedemost</v>
      </c>
      <c r="O8" t="str">
        <f t="shared" si="2"/>
        <v/>
      </c>
      <c r="P8" t="str">
        <f t="shared" si="3"/>
        <v>vedemost</v>
      </c>
    </row>
    <row r="9" spans="1:16" x14ac:dyDescent="0.2">
      <c r="A9" s="62" t="s">
        <v>599</v>
      </c>
      <c r="B9" s="63" t="s">
        <v>597</v>
      </c>
      <c r="C9" s="63" t="str">
        <f t="shared" si="0"/>
        <v>employement.mymehnat</v>
      </c>
      <c r="D9" s="63" t="e">
        <f>IFERROR(VLOOKUP(A9,#REF!,1,0),VLOOKUP(C9,#REF!,1,0))</f>
        <v>#REF!</v>
      </c>
      <c r="E9" s="63" t="s">
        <v>882</v>
      </c>
      <c r="F9" s="63" t="s">
        <v>869</v>
      </c>
      <c r="N9" t="str">
        <f t="shared" si="1"/>
        <v/>
      </c>
      <c r="O9" t="str">
        <f t="shared" si="2"/>
        <v/>
      </c>
      <c r="P9" t="str">
        <f t="shared" si="3"/>
        <v/>
      </c>
    </row>
    <row r="10" spans="1:16" x14ac:dyDescent="0.2">
      <c r="A10" s="62" t="s">
        <v>600</v>
      </c>
      <c r="B10" s="63" t="s">
        <v>597</v>
      </c>
      <c r="C10" s="63" t="str">
        <f t="shared" si="0"/>
        <v>employement.mymehnat_history</v>
      </c>
      <c r="D10" s="63" t="e">
        <f>IFERROR(VLOOKUP(A10,#REF!,1,0),VLOOKUP(C10,#REF!,1,0))</f>
        <v>#REF!</v>
      </c>
      <c r="E10" s="63" t="s">
        <v>882</v>
      </c>
      <c r="F10" s="63" t="s">
        <v>869</v>
      </c>
      <c r="H10" t="s">
        <v>312</v>
      </c>
      <c r="N10" t="str">
        <f t="shared" si="1"/>
        <v>student_info</v>
      </c>
      <c r="O10" t="str">
        <f t="shared" si="2"/>
        <v/>
      </c>
      <c r="P10" t="str">
        <f t="shared" si="3"/>
        <v>student_info</v>
      </c>
    </row>
    <row r="11" spans="1:16" x14ac:dyDescent="0.2">
      <c r="A11" s="62" t="s">
        <v>601</v>
      </c>
      <c r="B11" s="63" t="s">
        <v>602</v>
      </c>
      <c r="C11" s="63" t="str">
        <f t="shared" si="0"/>
        <v>minyust.deaths</v>
      </c>
      <c r="D11" s="63" t="e">
        <f>IFERROR(VLOOKUP(A11,#REF!,1,0),VLOOKUP(C11,#REF!,1,0))</f>
        <v>#REF!</v>
      </c>
      <c r="E11" s="63" t="s">
        <v>884</v>
      </c>
      <c r="F11" s="63" t="s">
        <v>869</v>
      </c>
      <c r="N11" t="str">
        <f t="shared" si="1"/>
        <v/>
      </c>
      <c r="O11" t="str">
        <f t="shared" si="2"/>
        <v/>
      </c>
      <c r="P11" t="str">
        <f t="shared" si="3"/>
        <v/>
      </c>
    </row>
    <row r="12" spans="1:16" x14ac:dyDescent="0.2">
      <c r="A12" s="62" t="s">
        <v>603</v>
      </c>
      <c r="B12" s="63" t="s">
        <v>602</v>
      </c>
      <c r="C12" s="63" t="str">
        <f t="shared" si="0"/>
        <v>minyust.authorized_funds</v>
      </c>
      <c r="D12" s="63" t="e">
        <f>IFERROR(VLOOKUP(A12,#REF!,1,0),VLOOKUP(C12,#REF!,1,0))</f>
        <v>#REF!</v>
      </c>
      <c r="E12" s="63" t="s">
        <v>885</v>
      </c>
      <c r="F12" s="63" t="s">
        <v>869</v>
      </c>
      <c r="N12" t="str">
        <f t="shared" si="1"/>
        <v/>
      </c>
      <c r="O12" t="str">
        <f t="shared" si="2"/>
        <v/>
      </c>
      <c r="P12" t="str">
        <f t="shared" si="3"/>
        <v/>
      </c>
    </row>
    <row r="13" spans="1:16" x14ac:dyDescent="0.2">
      <c r="A13" s="62" t="s">
        <v>604</v>
      </c>
      <c r="B13" s="63" t="s">
        <v>602</v>
      </c>
      <c r="C13" s="63" t="str">
        <f t="shared" si="0"/>
        <v>minyust.birth_extra</v>
      </c>
      <c r="D13" s="63" t="e">
        <f>IFERROR(VLOOKUP(A13,#REF!,1,0),VLOOKUP(C13,#REF!,1,0))</f>
        <v>#REF!</v>
      </c>
      <c r="E13" s="63" t="s">
        <v>882</v>
      </c>
      <c r="F13" s="63" t="s">
        <v>869</v>
      </c>
      <c r="H13" t="s">
        <v>557</v>
      </c>
      <c r="N13" t="str">
        <f t="shared" si="1"/>
        <v/>
      </c>
      <c r="O13" t="str">
        <f t="shared" si="2"/>
        <v>education.teacher</v>
      </c>
      <c r="P13" t="str">
        <f t="shared" si="3"/>
        <v>education.teacher</v>
      </c>
    </row>
    <row r="14" spans="1:16" x14ac:dyDescent="0.2">
      <c r="A14" s="62" t="s">
        <v>605</v>
      </c>
      <c r="B14" s="63" t="s">
        <v>602</v>
      </c>
      <c r="C14" s="63" t="str">
        <f t="shared" si="0"/>
        <v>minyust.birth_fulled</v>
      </c>
      <c r="D14" s="63" t="e">
        <f>IFERROR(VLOOKUP(A14,#REF!,1,0),VLOOKUP(C14,#REF!,1,0))</f>
        <v>#REF!</v>
      </c>
      <c r="E14" s="63" t="s">
        <v>886</v>
      </c>
      <c r="F14" s="63" t="s">
        <v>869</v>
      </c>
      <c r="N14" t="str">
        <f t="shared" si="1"/>
        <v/>
      </c>
      <c r="O14" t="str">
        <f t="shared" si="2"/>
        <v/>
      </c>
      <c r="P14" t="str">
        <f t="shared" si="3"/>
        <v/>
      </c>
    </row>
    <row r="15" spans="1:16" x14ac:dyDescent="0.2">
      <c r="A15" s="62" t="s">
        <v>606</v>
      </c>
      <c r="B15" s="63" t="s">
        <v>602</v>
      </c>
      <c r="C15" s="63" t="str">
        <f t="shared" si="0"/>
        <v>minyust.death_extra</v>
      </c>
      <c r="D15" s="63" t="e">
        <f>IFERROR(VLOOKUP(A15,#REF!,1,0),VLOOKUP(C15,#REF!,1,0))</f>
        <v>#REF!</v>
      </c>
      <c r="E15" s="63" t="s">
        <v>882</v>
      </c>
      <c r="F15" s="63" t="s">
        <v>869</v>
      </c>
      <c r="N15" t="str">
        <f t="shared" si="1"/>
        <v/>
      </c>
      <c r="O15" t="str">
        <f t="shared" si="2"/>
        <v/>
      </c>
      <c r="P15" t="str">
        <f t="shared" si="3"/>
        <v/>
      </c>
    </row>
    <row r="16" spans="1:16" x14ac:dyDescent="0.2">
      <c r="A16" s="62" t="s">
        <v>607</v>
      </c>
      <c r="B16" s="63" t="s">
        <v>602</v>
      </c>
      <c r="C16" s="63" t="str">
        <f t="shared" si="0"/>
        <v>minyust.founders</v>
      </c>
      <c r="D16" s="63" t="e">
        <f>IFERROR(VLOOKUP(A16,#REF!,1,0),VLOOKUP(C16,#REF!,1,0))</f>
        <v>#REF!</v>
      </c>
      <c r="E16" s="63" t="s">
        <v>882</v>
      </c>
      <c r="F16" s="63" t="s">
        <v>869</v>
      </c>
      <c r="N16" t="str">
        <f t="shared" si="1"/>
        <v/>
      </c>
      <c r="O16" t="str">
        <f t="shared" si="2"/>
        <v/>
      </c>
      <c r="P16" t="str">
        <f t="shared" si="3"/>
        <v/>
      </c>
    </row>
    <row r="17" spans="1:16" x14ac:dyDescent="0.2">
      <c r="A17" s="62" t="s">
        <v>608</v>
      </c>
      <c r="B17" s="63" t="s">
        <v>602</v>
      </c>
      <c r="C17" s="63" t="str">
        <f t="shared" si="0"/>
        <v>minyust.half_birth</v>
      </c>
      <c r="D17" s="63" t="e">
        <f>IFERROR(VLOOKUP(A17,#REF!,1,0),VLOOKUP(C17,#REF!,1,0))</f>
        <v>#REF!</v>
      </c>
      <c r="E17" s="63" t="s">
        <v>887</v>
      </c>
      <c r="F17" s="63" t="s">
        <v>869</v>
      </c>
      <c r="N17" t="str">
        <f t="shared" si="1"/>
        <v/>
      </c>
      <c r="O17" t="str">
        <f t="shared" si="2"/>
        <v/>
      </c>
      <c r="P17" t="str">
        <f t="shared" si="3"/>
        <v/>
      </c>
    </row>
    <row r="18" spans="1:16" ht="16" x14ac:dyDescent="0.2">
      <c r="A18" s="62" t="s">
        <v>609</v>
      </c>
      <c r="B18" s="63" t="s">
        <v>602</v>
      </c>
      <c r="C18" s="63" t="str">
        <f t="shared" si="0"/>
        <v>minyust.person</v>
      </c>
      <c r="D18" s="63" t="e">
        <f>IFERROR(VLOOKUP(A18,#REF!,1,0),VLOOKUP(C18,#REF!,1,0))</f>
        <v>#REF!</v>
      </c>
      <c r="E18" s="63" t="s">
        <v>888</v>
      </c>
      <c r="F18" s="63" t="s">
        <v>869</v>
      </c>
      <c r="H18" s="60" t="s">
        <v>778</v>
      </c>
      <c r="I18" s="60" t="s">
        <v>779</v>
      </c>
      <c r="J18" s="60"/>
      <c r="K18" s="60"/>
      <c r="L18" s="60"/>
      <c r="M18" s="60"/>
      <c r="N18" t="str">
        <f t="shared" si="1"/>
        <v>customers_jur</v>
      </c>
      <c r="O18" t="str">
        <f t="shared" si="2"/>
        <v/>
      </c>
      <c r="P18" t="str">
        <f t="shared" si="3"/>
        <v>customers_jur</v>
      </c>
    </row>
    <row r="19" spans="1:16" x14ac:dyDescent="0.2">
      <c r="A19" s="62" t="s">
        <v>610</v>
      </c>
      <c r="B19" s="63" t="s">
        <v>602</v>
      </c>
      <c r="C19" s="63" t="str">
        <f t="shared" si="0"/>
        <v>minyust.person_red_passport</v>
      </c>
      <c r="D19" s="63" t="e">
        <f>IFERROR(VLOOKUP(A19,#REF!,1,0),VLOOKUP(C19,#REF!,1,0))</f>
        <v>#REF!</v>
      </c>
      <c r="E19" s="63" t="s">
        <v>889</v>
      </c>
      <c r="F19" s="63" t="s">
        <v>869</v>
      </c>
      <c r="H19" t="s">
        <v>854</v>
      </c>
      <c r="N19" t="str">
        <f t="shared" si="1"/>
        <v/>
      </c>
      <c r="O19" t="str">
        <f t="shared" si="2"/>
        <v>gaz_elektr.meters</v>
      </c>
      <c r="P19" t="str">
        <f t="shared" si="3"/>
        <v>gaz_elektr.meters</v>
      </c>
    </row>
    <row r="20" spans="1:16" x14ac:dyDescent="0.2">
      <c r="A20" s="62" t="s">
        <v>611</v>
      </c>
      <c r="B20" s="63" t="s">
        <v>612</v>
      </c>
      <c r="C20" s="63" t="str">
        <f t="shared" si="0"/>
        <v>public.Inappsite_appusagemonitoring</v>
      </c>
      <c r="D20" s="63" t="e">
        <f>IFERROR(VLOOKUP(A20,#REF!,1,0),VLOOKUP(C20,#REF!,1,0))</f>
        <v>#REF!</v>
      </c>
      <c r="E20" s="63" t="s">
        <v>882</v>
      </c>
      <c r="F20" s="63" t="s">
        <v>869</v>
      </c>
      <c r="N20" t="str">
        <f t="shared" si="1"/>
        <v/>
      </c>
      <c r="O20" t="str">
        <f t="shared" si="2"/>
        <v/>
      </c>
      <c r="P20" t="str">
        <f t="shared" si="3"/>
        <v/>
      </c>
    </row>
    <row r="21" spans="1:16" x14ac:dyDescent="0.2">
      <c r="A21" s="62" t="s">
        <v>613</v>
      </c>
      <c r="B21" s="63" t="s">
        <v>612</v>
      </c>
      <c r="C21" s="63" t="str">
        <f t="shared" si="0"/>
        <v>public.conflictofinterests</v>
      </c>
      <c r="D21" s="63" t="e">
        <f>IFERROR(VLOOKUP(A21,#REF!,1,0),VLOOKUP(C21,#REF!,1,0))</f>
        <v>#REF!</v>
      </c>
      <c r="E21" s="63" t="s">
        <v>882</v>
      </c>
      <c r="F21" s="63" t="s">
        <v>869</v>
      </c>
      <c r="H21" t="s">
        <v>326</v>
      </c>
      <c r="N21" t="str">
        <f t="shared" si="1"/>
        <v/>
      </c>
      <c r="O21" t="str">
        <f t="shared" si="2"/>
        <v>geo_eco.yer_osti_uchastka</v>
      </c>
      <c r="P21" t="str">
        <f t="shared" si="3"/>
        <v>geo_eco.yer_osti_uchastka</v>
      </c>
    </row>
    <row r="22" spans="1:16" x14ac:dyDescent="0.2">
      <c r="A22" s="62" t="s">
        <v>614</v>
      </c>
      <c r="B22" s="63" t="s">
        <v>612</v>
      </c>
      <c r="C22" s="63" t="str">
        <f t="shared" si="0"/>
        <v>public.e_qaror</v>
      </c>
      <c r="D22" s="63" t="e">
        <f>IFERROR(VLOOKUP(A22,#REF!,1,0),VLOOKUP(C22,#REF!,1,0))</f>
        <v>#REF!</v>
      </c>
      <c r="E22" s="63" t="s">
        <v>882</v>
      </c>
      <c r="F22" s="63" t="s">
        <v>869</v>
      </c>
      <c r="H22" t="s">
        <v>328</v>
      </c>
      <c r="N22" t="str">
        <f t="shared" si="1"/>
        <v/>
      </c>
      <c r="O22" t="str">
        <f t="shared" si="2"/>
        <v>geo_eco.qazilma_hajmi</v>
      </c>
      <c r="P22" t="str">
        <f t="shared" si="3"/>
        <v>geo_eco.qazilma_hajmi</v>
      </c>
    </row>
    <row r="23" spans="1:16" x14ac:dyDescent="0.2">
      <c r="A23" s="62" t="s">
        <v>615</v>
      </c>
      <c r="B23" s="63" t="s">
        <v>612</v>
      </c>
      <c r="C23" s="63" t="str">
        <f t="shared" si="0"/>
        <v>public.ehf_copy1</v>
      </c>
      <c r="D23" s="63" t="e">
        <f>IFERROR(VLOOKUP(A23,#REF!,1,0),VLOOKUP(C23,#REF!,1,0))</f>
        <v>#REF!</v>
      </c>
      <c r="E23" s="63" t="s">
        <v>882</v>
      </c>
      <c r="F23" s="63" t="s">
        <v>869</v>
      </c>
      <c r="H23" t="s">
        <v>330</v>
      </c>
      <c r="N23" t="str">
        <f t="shared" si="1"/>
        <v/>
      </c>
      <c r="O23" t="str">
        <f t="shared" si="2"/>
        <v>geo_eco.yer_osti_suv</v>
      </c>
      <c r="P23" t="str">
        <f t="shared" si="3"/>
        <v>geo_eco.yer_osti_suv</v>
      </c>
    </row>
    <row r="24" spans="1:16" x14ac:dyDescent="0.2">
      <c r="A24" s="62" t="s">
        <v>616</v>
      </c>
      <c r="B24" s="63" t="s">
        <v>612</v>
      </c>
      <c r="C24" s="63" t="str">
        <f t="shared" si="0"/>
        <v>public.ehf_copy2</v>
      </c>
      <c r="D24" s="63" t="e">
        <f>IFERROR(VLOOKUP(A24,#REF!,1,0),VLOOKUP(C24,#REF!,1,0))</f>
        <v>#REF!</v>
      </c>
      <c r="E24" s="63" t="s">
        <v>882</v>
      </c>
      <c r="F24" s="63" t="s">
        <v>869</v>
      </c>
      <c r="H24" t="s">
        <v>332</v>
      </c>
      <c r="N24" t="str">
        <f t="shared" si="1"/>
        <v/>
      </c>
      <c r="O24" t="str">
        <f t="shared" si="2"/>
        <v>geo_eco.choraklik_hajm</v>
      </c>
      <c r="P24" t="str">
        <f t="shared" si="3"/>
        <v>geo_eco.choraklik_hajm</v>
      </c>
    </row>
    <row r="25" spans="1:16" x14ac:dyDescent="0.2">
      <c r="A25" s="62" t="s">
        <v>617</v>
      </c>
      <c r="B25" s="63" t="s">
        <v>612</v>
      </c>
      <c r="C25" s="63" t="str">
        <f t="shared" si="0"/>
        <v>public.faktura_2022-2023</v>
      </c>
      <c r="D25" s="63" t="e">
        <f>IFERROR(VLOOKUP(A25,#REF!,1,0),VLOOKUP(C25,#REF!,1,0))</f>
        <v>#REF!</v>
      </c>
      <c r="E25" s="63" t="s">
        <v>882</v>
      </c>
      <c r="F25" s="63" t="s">
        <v>869</v>
      </c>
      <c r="N25" t="str">
        <f t="shared" si="1"/>
        <v/>
      </c>
      <c r="O25" t="str">
        <f t="shared" si="2"/>
        <v/>
      </c>
      <c r="P25" t="str">
        <f t="shared" si="3"/>
        <v/>
      </c>
    </row>
    <row r="26" spans="1:16" x14ac:dyDescent="0.2">
      <c r="A26" s="62" t="s">
        <v>618</v>
      </c>
      <c r="B26" s="63" t="s">
        <v>612</v>
      </c>
      <c r="C26" s="63" t="str">
        <f t="shared" si="0"/>
        <v>public.newtable</v>
      </c>
      <c r="D26" s="63" t="e">
        <f>IFERROR(VLOOKUP(A26,#REF!,1,0),VLOOKUP(C26,#REF!,1,0))</f>
        <v>#REF!</v>
      </c>
      <c r="E26" s="63" t="s">
        <v>882</v>
      </c>
      <c r="F26" s="63" t="s">
        <v>869</v>
      </c>
      <c r="N26" t="str">
        <f t="shared" si="1"/>
        <v/>
      </c>
      <c r="O26" t="str">
        <f t="shared" si="2"/>
        <v/>
      </c>
      <c r="P26" t="str">
        <f t="shared" si="3"/>
        <v/>
      </c>
    </row>
    <row r="27" spans="1:16" x14ac:dyDescent="0.2">
      <c r="A27" s="62" t="s">
        <v>619</v>
      </c>
      <c r="B27" s="63" t="s">
        <v>612</v>
      </c>
      <c r="C27" s="63" t="str">
        <f t="shared" si="0"/>
        <v>public.opendata.api.eqaror</v>
      </c>
      <c r="D27" s="63" t="e">
        <f>IFERROR(VLOOKUP(A27,#REF!,1,0),VLOOKUP(C27,#REF!,1,0))</f>
        <v>#REF!</v>
      </c>
      <c r="E27" s="63" t="s">
        <v>882</v>
      </c>
      <c r="F27" s="63" t="s">
        <v>869</v>
      </c>
      <c r="N27" t="str">
        <f t="shared" si="1"/>
        <v/>
      </c>
      <c r="O27" t="str">
        <f t="shared" si="2"/>
        <v/>
      </c>
      <c r="P27" t="str">
        <f t="shared" si="3"/>
        <v/>
      </c>
    </row>
    <row r="28" spans="1:16" x14ac:dyDescent="0.2">
      <c r="A28" s="62" t="s">
        <v>620</v>
      </c>
      <c r="B28" s="63" t="s">
        <v>612</v>
      </c>
      <c r="C28" s="63" t="str">
        <f t="shared" si="0"/>
        <v>public.opendata.api.history</v>
      </c>
      <c r="D28" s="63" t="e">
        <f>IFERROR(VLOOKUP(A28,#REF!,1,0),VLOOKUP(C28,#REF!,1,0))</f>
        <v>#REF!</v>
      </c>
      <c r="E28" s="63" t="s">
        <v>882</v>
      </c>
      <c r="F28" s="63" t="s">
        <v>869</v>
      </c>
      <c r="N28" t="str">
        <f t="shared" si="1"/>
        <v/>
      </c>
      <c r="O28" t="str">
        <f t="shared" si="2"/>
        <v/>
      </c>
      <c r="P28" t="str">
        <f t="shared" si="3"/>
        <v/>
      </c>
    </row>
    <row r="29" spans="1:16" x14ac:dyDescent="0.2">
      <c r="A29" s="62" t="s">
        <v>621</v>
      </c>
      <c r="B29" s="63" t="s">
        <v>612</v>
      </c>
      <c r="C29" s="63" t="str">
        <f t="shared" si="0"/>
        <v>public.opendata.api.users</v>
      </c>
      <c r="D29" s="63" t="e">
        <f>IFERROR(VLOOKUP(A29,#REF!,1,0),VLOOKUP(C29,#REF!,1,0))</f>
        <v>#REF!</v>
      </c>
      <c r="E29" s="63" t="s">
        <v>882</v>
      </c>
      <c r="F29" s="63" t="s">
        <v>869</v>
      </c>
      <c r="N29" t="str">
        <f t="shared" si="1"/>
        <v/>
      </c>
      <c r="O29" t="str">
        <f t="shared" si="2"/>
        <v/>
      </c>
      <c r="P29" t="str">
        <f t="shared" si="3"/>
        <v/>
      </c>
    </row>
    <row r="30" spans="1:16" x14ac:dyDescent="0.2">
      <c r="A30" s="62" t="s">
        <v>622</v>
      </c>
      <c r="B30" s="63" t="s">
        <v>612</v>
      </c>
      <c r="C30" s="63" t="str">
        <f t="shared" si="0"/>
        <v>public.opendata.region.data</v>
      </c>
      <c r="D30" s="63" t="e">
        <f>IFERROR(VLOOKUP(A30,#REF!,1,0),VLOOKUP(C30,#REF!,1,0))</f>
        <v>#REF!</v>
      </c>
      <c r="E30" s="63" t="s">
        <v>882</v>
      </c>
      <c r="F30" s="63" t="s">
        <v>869</v>
      </c>
      <c r="N30" t="str">
        <f t="shared" si="1"/>
        <v/>
      </c>
      <c r="O30" t="str">
        <f t="shared" si="2"/>
        <v/>
      </c>
      <c r="P30" t="str">
        <f t="shared" si="3"/>
        <v/>
      </c>
    </row>
    <row r="31" spans="1:16" x14ac:dyDescent="0.2">
      <c r="A31" s="62" t="s">
        <v>623</v>
      </c>
      <c r="B31" s="63" t="s">
        <v>612</v>
      </c>
      <c r="C31" s="63" t="str">
        <f t="shared" si="0"/>
        <v>public.opendata.region.users</v>
      </c>
      <c r="D31" s="63" t="e">
        <f>IFERROR(VLOOKUP(A31,#REF!,1,0),VLOOKUP(C31,#REF!,1,0))</f>
        <v>#REF!</v>
      </c>
      <c r="E31" s="63" t="s">
        <v>882</v>
      </c>
      <c r="F31" s="63" t="s">
        <v>869</v>
      </c>
      <c r="N31" t="str">
        <f t="shared" si="1"/>
        <v/>
      </c>
      <c r="O31" t="str">
        <f t="shared" si="2"/>
        <v/>
      </c>
      <c r="P31" t="str">
        <f t="shared" si="3"/>
        <v/>
      </c>
    </row>
    <row r="32" spans="1:16" x14ac:dyDescent="0.2">
      <c r="A32" s="62" t="s">
        <v>624</v>
      </c>
      <c r="B32" s="63" t="s">
        <v>612</v>
      </c>
      <c r="C32" s="63" t="str">
        <f t="shared" si="0"/>
        <v>public.paragraph</v>
      </c>
      <c r="D32" s="63" t="e">
        <f>IFERROR(VLOOKUP(A32,#REF!,1,0),VLOOKUP(C32,#REF!,1,0))</f>
        <v>#REF!</v>
      </c>
      <c r="E32" s="63" t="s">
        <v>882</v>
      </c>
      <c r="F32" s="63" t="s">
        <v>869</v>
      </c>
      <c r="N32" t="str">
        <f t="shared" si="1"/>
        <v/>
      </c>
      <c r="O32" t="str">
        <f t="shared" si="2"/>
        <v/>
      </c>
      <c r="P32" t="str">
        <f t="shared" si="3"/>
        <v/>
      </c>
    </row>
    <row r="33" spans="1:16" x14ac:dyDescent="0.2">
      <c r="A33" s="62" t="s">
        <v>625</v>
      </c>
      <c r="B33" s="63" t="s">
        <v>612</v>
      </c>
      <c r="C33" s="63" t="str">
        <f t="shared" si="0"/>
        <v>public.soliq_oylik</v>
      </c>
      <c r="D33" s="63" t="e">
        <f>IFERROR(VLOOKUP(A33,#REF!,1,0),VLOOKUP(C33,#REF!,1,0))</f>
        <v>#REF!</v>
      </c>
      <c r="E33" s="63" t="s">
        <v>882</v>
      </c>
      <c r="F33" s="63" t="s">
        <v>869</v>
      </c>
      <c r="N33" t="str">
        <f t="shared" si="1"/>
        <v/>
      </c>
      <c r="O33" t="str">
        <f t="shared" si="2"/>
        <v/>
      </c>
      <c r="P33" t="str">
        <f t="shared" si="3"/>
        <v/>
      </c>
    </row>
    <row r="34" spans="1:16" x14ac:dyDescent="0.2">
      <c r="A34" s="62" t="s">
        <v>626</v>
      </c>
      <c r="B34" s="63" t="s">
        <v>612</v>
      </c>
      <c r="C34" s="63" t="str">
        <f t="shared" si="0"/>
        <v>public.soliq_token</v>
      </c>
      <c r="D34" s="63" t="e">
        <f>IFERROR(VLOOKUP(A34,#REF!,1,0),VLOOKUP(C34,#REF!,1,0))</f>
        <v>#REF!</v>
      </c>
      <c r="E34" s="63" t="s">
        <v>882</v>
      </c>
      <c r="F34" s="63" t="s">
        <v>869</v>
      </c>
      <c r="H34" t="s">
        <v>563</v>
      </c>
      <c r="N34" t="str">
        <f t="shared" si="1"/>
        <v/>
      </c>
      <c r="O34" t="str">
        <f t="shared" si="2"/>
        <v>qurilish.object_pudrat</v>
      </c>
      <c r="P34" t="str">
        <f t="shared" si="3"/>
        <v>qurilish.object_pudrat</v>
      </c>
    </row>
    <row r="35" spans="1:16" x14ac:dyDescent="0.2">
      <c r="A35" s="62" t="s">
        <v>627</v>
      </c>
      <c r="B35" s="63" t="s">
        <v>612</v>
      </c>
      <c r="C35" s="63" t="str">
        <f t="shared" si="0"/>
        <v>public.tax_ehf2022</v>
      </c>
      <c r="D35" s="63" t="e">
        <f>IFERROR(VLOOKUP(A35,#REF!,1,0),VLOOKUP(C35,#REF!,1,0))</f>
        <v>#REF!</v>
      </c>
      <c r="E35" s="63" t="s">
        <v>882</v>
      </c>
      <c r="F35" s="63" t="s">
        <v>869</v>
      </c>
      <c r="H35" t="s">
        <v>564</v>
      </c>
      <c r="N35" t="str">
        <f t="shared" si="1"/>
        <v/>
      </c>
      <c r="O35" t="str">
        <f t="shared" si="2"/>
        <v>qurilish.object_loyiha</v>
      </c>
      <c r="P35" t="str">
        <f t="shared" si="3"/>
        <v>qurilish.object_loyiha</v>
      </c>
    </row>
    <row r="36" spans="1:16" x14ac:dyDescent="0.2">
      <c r="A36" s="62" t="s">
        <v>628</v>
      </c>
      <c r="B36" s="63" t="s">
        <v>612</v>
      </c>
      <c r="C36" s="63" t="str">
        <f t="shared" si="0"/>
        <v>public.tax_salary</v>
      </c>
      <c r="D36" s="63" t="e">
        <f>IFERROR(VLOOKUP(A36,#REF!,1,0),VLOOKUP(C36,#REF!,1,0))</f>
        <v>#REF!</v>
      </c>
      <c r="E36" s="63" t="s">
        <v>882</v>
      </c>
      <c r="F36" s="63" t="s">
        <v>869</v>
      </c>
      <c r="H36" t="s">
        <v>565</v>
      </c>
      <c r="N36" t="str">
        <f t="shared" si="1"/>
        <v/>
      </c>
      <c r="O36" t="str">
        <f t="shared" si="2"/>
        <v>qurilish.object_winner_pudrat</v>
      </c>
      <c r="P36" t="str">
        <f t="shared" si="3"/>
        <v>qurilish.object_winner_pudrat</v>
      </c>
    </row>
    <row r="37" spans="1:16" x14ac:dyDescent="0.2">
      <c r="A37" s="62" t="s">
        <v>629</v>
      </c>
      <c r="B37" s="63" t="s">
        <v>612</v>
      </c>
      <c r="C37" s="63" t="str">
        <f t="shared" si="0"/>
        <v>public.tax_shot_faktura</v>
      </c>
      <c r="D37" s="63" t="e">
        <f>IFERROR(VLOOKUP(A37,#REF!,1,0),VLOOKUP(C37,#REF!,1,0))</f>
        <v>#REF!</v>
      </c>
      <c r="E37" s="63" t="s">
        <v>882</v>
      </c>
      <c r="F37" s="63" t="s">
        <v>869</v>
      </c>
      <c r="H37" t="s">
        <v>566</v>
      </c>
      <c r="N37" t="str">
        <f t="shared" si="1"/>
        <v/>
      </c>
      <c r="O37" t="str">
        <f t="shared" si="2"/>
        <v>qurilish.object_pudrat_data</v>
      </c>
      <c r="P37" t="str">
        <f t="shared" si="3"/>
        <v>qurilish.object_pudrat_data</v>
      </c>
    </row>
    <row r="38" spans="1:16" x14ac:dyDescent="0.2">
      <c r="A38" s="62" t="s">
        <v>630</v>
      </c>
      <c r="B38" s="63" t="s">
        <v>612</v>
      </c>
      <c r="C38" s="63" t="str">
        <f t="shared" si="0"/>
        <v>public.uzasbo_soliq</v>
      </c>
      <c r="D38" s="63" t="e">
        <f>IFERROR(VLOOKUP(A38,#REF!,1,0),VLOOKUP(C38,#REF!,1,0))</f>
        <v>#REF!</v>
      </c>
      <c r="E38" s="63" t="s">
        <v>882</v>
      </c>
      <c r="F38" s="63" t="s">
        <v>869</v>
      </c>
      <c r="H38" t="s">
        <v>567</v>
      </c>
      <c r="N38" t="str">
        <f t="shared" si="1"/>
        <v/>
      </c>
      <c r="O38" t="str">
        <f t="shared" si="2"/>
        <v>qurilish.object_winner_loyiha</v>
      </c>
      <c r="P38" t="str">
        <f t="shared" si="3"/>
        <v>qurilish.object_winner_loyiha</v>
      </c>
    </row>
    <row r="39" spans="1:16" ht="16" x14ac:dyDescent="0.2">
      <c r="A39" s="62" t="s">
        <v>631</v>
      </c>
      <c r="B39" s="63" t="s">
        <v>632</v>
      </c>
      <c r="C39" s="63" t="str">
        <f t="shared" si="0"/>
        <v>information_schema.sql_parts</v>
      </c>
      <c r="D39" s="63" t="e">
        <f>IFERROR(VLOOKUP(A39,#REF!,1,0),VLOOKUP(C39,#REF!,1,0))</f>
        <v>#REF!</v>
      </c>
      <c r="E39" s="63" t="s">
        <v>882</v>
      </c>
      <c r="F39" s="63" t="s">
        <v>869</v>
      </c>
      <c r="H39" s="60" t="s">
        <v>747</v>
      </c>
      <c r="I39" t="s">
        <v>758</v>
      </c>
      <c r="J39" t="s">
        <v>740</v>
      </c>
      <c r="K39" t="s">
        <v>737</v>
      </c>
      <c r="L39" t="s">
        <v>762</v>
      </c>
      <c r="M39" t="s">
        <v>753</v>
      </c>
      <c r="N39" t="str">
        <f t="shared" si="1"/>
        <v>agrosanoat_data</v>
      </c>
      <c r="O39" t="str">
        <f t="shared" si="2"/>
        <v/>
      </c>
      <c r="P39" t="str">
        <f t="shared" si="3"/>
        <v>agrosanoat_data</v>
      </c>
    </row>
    <row r="40" spans="1:16" x14ac:dyDescent="0.2">
      <c r="A40" s="62" t="s">
        <v>633</v>
      </c>
      <c r="B40" s="63" t="s">
        <v>632</v>
      </c>
      <c r="C40" s="63" t="str">
        <f t="shared" si="0"/>
        <v>information_schema.sql_implementation_info</v>
      </c>
      <c r="D40" s="63" t="e">
        <f>IFERROR(VLOOKUP(A40,#REF!,1,0),VLOOKUP(C40,#REF!,1,0))</f>
        <v>#REF!</v>
      </c>
      <c r="E40" s="63" t="s">
        <v>882</v>
      </c>
      <c r="F40" s="63" t="s">
        <v>869</v>
      </c>
      <c r="H40" t="s">
        <v>568</v>
      </c>
      <c r="N40" t="str">
        <f t="shared" si="1"/>
        <v/>
      </c>
      <c r="O40" t="str">
        <f t="shared" si="2"/>
        <v>qurilish.object_loyiha_ekspertiza</v>
      </c>
      <c r="P40" t="str">
        <f t="shared" si="3"/>
        <v>qurilish.object_loyiha_ekspertiza</v>
      </c>
    </row>
    <row r="41" spans="1:16" x14ac:dyDescent="0.2">
      <c r="A41" s="62" t="s">
        <v>634</v>
      </c>
      <c r="B41" s="63" t="s">
        <v>632</v>
      </c>
      <c r="C41" s="63" t="str">
        <f t="shared" si="0"/>
        <v>information_schema.sql_features</v>
      </c>
      <c r="D41" s="63" t="e">
        <f>IFERROR(VLOOKUP(A41,#REF!,1,0),VLOOKUP(C41,#REF!,1,0))</f>
        <v>#REF!</v>
      </c>
      <c r="E41" s="63" t="s">
        <v>882</v>
      </c>
      <c r="F41" s="63" t="s">
        <v>869</v>
      </c>
      <c r="H41" t="s">
        <v>569</v>
      </c>
      <c r="N41" t="str">
        <f t="shared" si="1"/>
        <v/>
      </c>
      <c r="O41" t="str">
        <f t="shared" si="2"/>
        <v>qurilish.object_gasn_data</v>
      </c>
      <c r="P41" t="str">
        <f t="shared" si="3"/>
        <v>qurilish.object_gasn_data</v>
      </c>
    </row>
    <row r="42" spans="1:16" x14ac:dyDescent="0.2">
      <c r="A42" s="62" t="s">
        <v>635</v>
      </c>
      <c r="B42" s="63" t="s">
        <v>632</v>
      </c>
      <c r="C42" s="63" t="str">
        <f t="shared" si="0"/>
        <v>information_schema.sql_sizing</v>
      </c>
      <c r="D42" s="63" t="e">
        <f>IFERROR(VLOOKUP(A42,#REF!,1,0),VLOOKUP(C42,#REF!,1,0))</f>
        <v>#REF!</v>
      </c>
      <c r="E42" s="63" t="s">
        <v>882</v>
      </c>
      <c r="F42" s="63" t="s">
        <v>869</v>
      </c>
      <c r="N42" t="str">
        <f t="shared" si="1"/>
        <v/>
      </c>
      <c r="O42" t="str">
        <f t="shared" si="2"/>
        <v/>
      </c>
      <c r="P42" t="str">
        <f t="shared" si="3"/>
        <v/>
      </c>
    </row>
    <row r="43" spans="1:16" x14ac:dyDescent="0.2">
      <c r="A43" s="62" t="s">
        <v>636</v>
      </c>
      <c r="B43" s="63" t="s">
        <v>637</v>
      </c>
      <c r="C43" s="63" t="str">
        <f t="shared" si="0"/>
        <v>subsidy.cattle_ranching</v>
      </c>
      <c r="D43" s="63" t="e">
        <f>IFERROR(VLOOKUP(A43,#REF!,1,0),VLOOKUP(C43,#REF!,1,0))</f>
        <v>#REF!</v>
      </c>
      <c r="E43" s="63" t="s">
        <v>882</v>
      </c>
      <c r="F43" s="63" t="s">
        <v>869</v>
      </c>
      <c r="N43" t="str">
        <f t="shared" si="1"/>
        <v/>
      </c>
      <c r="O43" t="str">
        <f t="shared" si="2"/>
        <v/>
      </c>
      <c r="P43" t="str">
        <f t="shared" si="3"/>
        <v/>
      </c>
    </row>
    <row r="44" spans="1:16" x14ac:dyDescent="0.2">
      <c r="A44" s="62" t="s">
        <v>638</v>
      </c>
      <c r="B44" s="63" t="s">
        <v>602</v>
      </c>
      <c r="C44" s="63" t="str">
        <f t="shared" si="0"/>
        <v>minyust.temp_pinfl</v>
      </c>
      <c r="D44" s="63" t="e">
        <f>IFERROR(VLOOKUP(A44,#REF!,1,0),VLOOKUP(C44,#REF!,1,0))</f>
        <v>#REF!</v>
      </c>
      <c r="E44" s="63" t="s">
        <v>882</v>
      </c>
      <c r="F44" s="63" t="s">
        <v>869</v>
      </c>
      <c r="N44" t="str">
        <f t="shared" si="1"/>
        <v/>
      </c>
      <c r="O44" t="str">
        <f t="shared" si="2"/>
        <v/>
      </c>
      <c r="P44" t="str">
        <f t="shared" si="3"/>
        <v/>
      </c>
    </row>
    <row r="45" spans="1:16" x14ac:dyDescent="0.2">
      <c r="A45" s="62" t="s">
        <v>639</v>
      </c>
      <c r="B45" s="63" t="s">
        <v>637</v>
      </c>
      <c r="C45" s="63" t="str">
        <f t="shared" si="0"/>
        <v>subsidy.chemical</v>
      </c>
      <c r="D45" s="63" t="e">
        <f>IFERROR(VLOOKUP(A45,#REF!,1,0),VLOOKUP(C45,#REF!,1,0))</f>
        <v>#REF!</v>
      </c>
      <c r="E45" s="63" t="s">
        <v>882</v>
      </c>
      <c r="F45" s="63" t="s">
        <v>869</v>
      </c>
      <c r="H45" t="s">
        <v>333</v>
      </c>
      <c r="N45" t="str">
        <f t="shared" si="1"/>
        <v/>
      </c>
      <c r="O45" t="str">
        <f t="shared" si="2"/>
        <v>public.gos_active_reestr</v>
      </c>
      <c r="P45" t="str">
        <f t="shared" si="3"/>
        <v>public.gos_active_reestr</v>
      </c>
    </row>
    <row r="46" spans="1:16" x14ac:dyDescent="0.2">
      <c r="A46" s="62" t="s">
        <v>640</v>
      </c>
      <c r="B46" s="63" t="s">
        <v>637</v>
      </c>
      <c r="C46" s="63" t="str">
        <f t="shared" si="0"/>
        <v>subsidy.cocoon</v>
      </c>
      <c r="D46" s="63" t="e">
        <f>IFERROR(VLOOKUP(A46,#REF!,1,0),VLOOKUP(C46,#REF!,1,0))</f>
        <v>#REF!</v>
      </c>
      <c r="E46" s="63" t="s">
        <v>882</v>
      </c>
      <c r="F46" s="63" t="s">
        <v>869</v>
      </c>
      <c r="N46" t="str">
        <f t="shared" si="1"/>
        <v/>
      </c>
      <c r="O46" t="str">
        <f t="shared" si="2"/>
        <v/>
      </c>
      <c r="P46" t="str">
        <f t="shared" si="3"/>
        <v/>
      </c>
    </row>
    <row r="47" spans="1:16" x14ac:dyDescent="0.2">
      <c r="A47" s="62" t="s">
        <v>641</v>
      </c>
      <c r="B47" s="63" t="s">
        <v>637</v>
      </c>
      <c r="C47" s="63" t="str">
        <f t="shared" si="0"/>
        <v>subsidy.horticulture</v>
      </c>
      <c r="D47" s="63" t="e">
        <f>IFERROR(VLOOKUP(A47,#REF!,1,0),VLOOKUP(C47,#REF!,1,0))</f>
        <v>#REF!</v>
      </c>
      <c r="E47" s="63" t="s">
        <v>882</v>
      </c>
      <c r="F47" s="63" t="s">
        <v>869</v>
      </c>
      <c r="N47" t="str">
        <f t="shared" si="1"/>
        <v/>
      </c>
      <c r="O47" t="str">
        <f t="shared" si="2"/>
        <v/>
      </c>
      <c r="P47" t="str">
        <f t="shared" si="3"/>
        <v/>
      </c>
    </row>
    <row r="48" spans="1:16" x14ac:dyDescent="0.2">
      <c r="A48" s="62" t="s">
        <v>642</v>
      </c>
      <c r="B48" s="63" t="s">
        <v>637</v>
      </c>
      <c r="C48" s="63" t="str">
        <f t="shared" si="0"/>
        <v>subsidy.insurance</v>
      </c>
      <c r="D48" s="63" t="e">
        <f>IFERROR(VLOOKUP(A48,#REF!,1,0),VLOOKUP(C48,#REF!,1,0))</f>
        <v>#REF!</v>
      </c>
      <c r="E48" s="63" t="s">
        <v>882</v>
      </c>
      <c r="F48" s="63" t="s">
        <v>869</v>
      </c>
      <c r="N48" t="str">
        <f t="shared" si="1"/>
        <v/>
      </c>
      <c r="O48" t="str">
        <f t="shared" si="2"/>
        <v/>
      </c>
      <c r="P48" t="str">
        <f t="shared" si="3"/>
        <v/>
      </c>
    </row>
    <row r="49" spans="1:16" x14ac:dyDescent="0.2">
      <c r="A49" s="62" t="s">
        <v>643</v>
      </c>
      <c r="B49" s="63" t="s">
        <v>637</v>
      </c>
      <c r="C49" s="63" t="str">
        <f t="shared" si="0"/>
        <v>subsidy.skins</v>
      </c>
      <c r="D49" s="63" t="e">
        <f>IFERROR(VLOOKUP(A49,#REF!,1,0),VLOOKUP(C49,#REF!,1,0))</f>
        <v>#REF!</v>
      </c>
      <c r="E49" s="63" t="s">
        <v>882</v>
      </c>
      <c r="F49" s="63" t="s">
        <v>869</v>
      </c>
      <c r="N49" t="str">
        <f t="shared" si="1"/>
        <v/>
      </c>
      <c r="O49" t="str">
        <f t="shared" si="2"/>
        <v/>
      </c>
      <c r="P49" t="str">
        <f t="shared" si="3"/>
        <v/>
      </c>
    </row>
    <row r="50" spans="1:16" x14ac:dyDescent="0.2">
      <c r="A50" s="62" t="s">
        <v>644</v>
      </c>
      <c r="B50" s="63" t="s">
        <v>637</v>
      </c>
      <c r="C50" s="63" t="str">
        <f t="shared" si="0"/>
        <v>subsidy.transports</v>
      </c>
      <c r="D50" s="63" t="e">
        <f>IFERROR(VLOOKUP(A50,#REF!,1,0),VLOOKUP(C50,#REF!,1,0))</f>
        <v>#REF!</v>
      </c>
      <c r="E50" s="63" t="s">
        <v>882</v>
      </c>
      <c r="F50" s="63" t="s">
        <v>869</v>
      </c>
      <c r="N50" t="str">
        <f t="shared" si="1"/>
        <v/>
      </c>
      <c r="O50" t="str">
        <f t="shared" si="2"/>
        <v/>
      </c>
      <c r="P50" t="str">
        <f t="shared" si="3"/>
        <v/>
      </c>
    </row>
    <row r="51" spans="1:16" x14ac:dyDescent="0.2">
      <c r="A51" s="62" t="s">
        <v>645</v>
      </c>
      <c r="B51" s="63" t="s">
        <v>637</v>
      </c>
      <c r="C51" s="63" t="str">
        <f t="shared" si="0"/>
        <v>subsidy.veterans</v>
      </c>
      <c r="D51" s="63" t="e">
        <f>IFERROR(VLOOKUP(A51,#REF!,1,0),VLOOKUP(C51,#REF!,1,0))</f>
        <v>#REF!</v>
      </c>
      <c r="E51" s="63" t="s">
        <v>882</v>
      </c>
      <c r="F51" s="63" t="s">
        <v>869</v>
      </c>
      <c r="N51" t="str">
        <f t="shared" si="1"/>
        <v/>
      </c>
      <c r="O51" t="str">
        <f t="shared" si="2"/>
        <v/>
      </c>
      <c r="P51" t="str">
        <f t="shared" si="3"/>
        <v/>
      </c>
    </row>
    <row r="52" spans="1:16" x14ac:dyDescent="0.2">
      <c r="A52" s="62" t="s">
        <v>646</v>
      </c>
      <c r="B52" s="63" t="s">
        <v>637</v>
      </c>
      <c r="C52" s="63" t="str">
        <f t="shared" si="0"/>
        <v>subsidy.water_managments</v>
      </c>
      <c r="D52" s="63" t="e">
        <f>IFERROR(VLOOKUP(A52,#REF!,1,0),VLOOKUP(C52,#REF!,1,0))</f>
        <v>#REF!</v>
      </c>
      <c r="E52" s="63" t="s">
        <v>882</v>
      </c>
      <c r="F52" s="63" t="s">
        <v>869</v>
      </c>
      <c r="N52" t="str">
        <f t="shared" si="1"/>
        <v/>
      </c>
      <c r="O52" t="str">
        <f t="shared" si="2"/>
        <v/>
      </c>
      <c r="P52" t="str">
        <f t="shared" si="3"/>
        <v/>
      </c>
    </row>
    <row r="53" spans="1:16" x14ac:dyDescent="0.2">
      <c r="A53" s="62" t="s">
        <v>647</v>
      </c>
      <c r="B53" s="63" t="s">
        <v>637</v>
      </c>
      <c r="C53" s="63" t="str">
        <f t="shared" si="0"/>
        <v>subsidy.winemaking</v>
      </c>
      <c r="D53" s="63" t="e">
        <f>IFERROR(VLOOKUP(A53,#REF!,1,0),VLOOKUP(C53,#REF!,1,0))</f>
        <v>#REF!</v>
      </c>
      <c r="E53" s="63" t="s">
        <v>882</v>
      </c>
      <c r="F53" s="63" t="s">
        <v>869</v>
      </c>
      <c r="N53" t="str">
        <f t="shared" si="1"/>
        <v/>
      </c>
      <c r="O53" t="str">
        <f t="shared" si="2"/>
        <v/>
      </c>
      <c r="P53" t="str">
        <f t="shared" si="3"/>
        <v/>
      </c>
    </row>
    <row r="54" spans="1:16" x14ac:dyDescent="0.2">
      <c r="A54" s="62" t="s">
        <v>648</v>
      </c>
      <c r="B54" s="63" t="s">
        <v>637</v>
      </c>
      <c r="C54" s="63" t="str">
        <f t="shared" si="0"/>
        <v>subsidy.women</v>
      </c>
      <c r="D54" s="63" t="e">
        <f>IFERROR(VLOOKUP(A54,#REF!,1,0),VLOOKUP(C54,#REF!,1,0))</f>
        <v>#REF!</v>
      </c>
      <c r="E54" s="63" t="s">
        <v>882</v>
      </c>
      <c r="F54" s="63" t="s">
        <v>869</v>
      </c>
      <c r="N54" t="str">
        <f t="shared" si="1"/>
        <v/>
      </c>
      <c r="O54" t="str">
        <f t="shared" si="2"/>
        <v/>
      </c>
      <c r="P54" t="str">
        <f t="shared" si="3"/>
        <v/>
      </c>
    </row>
    <row r="55" spans="1:16" x14ac:dyDescent="0.2">
      <c r="A55" s="62" t="s">
        <v>649</v>
      </c>
      <c r="B55" s="63" t="s">
        <v>650</v>
      </c>
      <c r="C55" s="63" t="str">
        <f t="shared" si="0"/>
        <v>tax.bank_overall1</v>
      </c>
      <c r="D55" s="63" t="e">
        <f>IFERROR(VLOOKUP(A55,#REF!,1,0),VLOOKUP(C55,#REF!,1,0))</f>
        <v>#REF!</v>
      </c>
      <c r="E55" s="63" t="s">
        <v>882</v>
      </c>
      <c r="F55" s="63" t="s">
        <v>869</v>
      </c>
      <c r="H55" t="s">
        <v>314</v>
      </c>
      <c r="N55" t="str">
        <f t="shared" si="1"/>
        <v>phys_subsidies_list</v>
      </c>
      <c r="O55" t="str">
        <f t="shared" si="2"/>
        <v/>
      </c>
      <c r="P55" t="str">
        <f t="shared" si="3"/>
        <v>phys_subsidies_list</v>
      </c>
    </row>
    <row r="56" spans="1:16" x14ac:dyDescent="0.2">
      <c r="A56" s="62" t="s">
        <v>651</v>
      </c>
      <c r="B56" s="63" t="s">
        <v>650</v>
      </c>
      <c r="C56" s="63" t="str">
        <f t="shared" si="0"/>
        <v>tax.bank_overall2</v>
      </c>
      <c r="D56" s="63" t="e">
        <f>IFERROR(VLOOKUP(A56,#REF!,1,0),VLOOKUP(C56,#REF!,1,0))</f>
        <v>#REF!</v>
      </c>
      <c r="E56" s="63" t="s">
        <v>882</v>
      </c>
      <c r="F56" s="63" t="s">
        <v>869</v>
      </c>
      <c r="H56" t="s">
        <v>313</v>
      </c>
      <c r="N56" t="str">
        <f t="shared" si="1"/>
        <v>yur_subsidies_list</v>
      </c>
      <c r="O56" t="str">
        <f t="shared" si="2"/>
        <v/>
      </c>
      <c r="P56" t="str">
        <f t="shared" si="3"/>
        <v>yur_subsidies_list</v>
      </c>
    </row>
    <row r="57" spans="1:16" x14ac:dyDescent="0.2">
      <c r="A57" s="62" t="s">
        <v>652</v>
      </c>
      <c r="B57" s="63" t="s">
        <v>650</v>
      </c>
      <c r="C57" s="63" t="str">
        <f t="shared" si="0"/>
        <v>tax.factures</v>
      </c>
      <c r="D57" s="63" t="e">
        <f>IFERROR(VLOOKUP(A57,#REF!,1,0),VLOOKUP(C57,#REF!,1,0))</f>
        <v>#REF!</v>
      </c>
      <c r="E57" s="63" t="s">
        <v>882</v>
      </c>
      <c r="F57" s="63" t="s">
        <v>869</v>
      </c>
      <c r="H57" t="s">
        <v>315</v>
      </c>
      <c r="N57" t="str">
        <f t="shared" si="1"/>
        <v>unemployment_list</v>
      </c>
      <c r="O57" t="str">
        <f t="shared" si="2"/>
        <v/>
      </c>
      <c r="P57" t="str">
        <f t="shared" si="3"/>
        <v>unemployment_list</v>
      </c>
    </row>
    <row r="58" spans="1:16" x14ac:dyDescent="0.2">
      <c r="A58" s="62" t="s">
        <v>653</v>
      </c>
      <c r="B58" s="63" t="s">
        <v>650</v>
      </c>
      <c r="C58" s="63" t="str">
        <f t="shared" si="0"/>
        <v>tax.kadastr_informations</v>
      </c>
      <c r="D58" s="63" t="e">
        <f>IFERROR(VLOOKUP(A58,#REF!,1,0),VLOOKUP(C58,#REF!,1,0))</f>
        <v>#REF!</v>
      </c>
      <c r="E58" s="63" t="s">
        <v>890</v>
      </c>
      <c r="F58" s="63" t="s">
        <v>869</v>
      </c>
      <c r="H58" t="s">
        <v>561</v>
      </c>
      <c r="N58" t="str">
        <f t="shared" si="1"/>
        <v/>
      </c>
      <c r="O58" t="str">
        <f t="shared" si="2"/>
        <v>employement.malakani_baholash_markazi</v>
      </c>
      <c r="P58" t="str">
        <f t="shared" si="3"/>
        <v>employement.malakani_baholash_markazi</v>
      </c>
    </row>
    <row r="59" spans="1:16" x14ac:dyDescent="0.2">
      <c r="A59" s="62" t="s">
        <v>654</v>
      </c>
      <c r="B59" s="63" t="s">
        <v>650</v>
      </c>
      <c r="C59" s="63" t="str">
        <f t="shared" si="0"/>
        <v>tax.legal_entities</v>
      </c>
      <c r="D59" s="63" t="e">
        <f>IFERROR(VLOOKUP(A59,#REF!,1,0),VLOOKUP(C59,#REF!,1,0))</f>
        <v>#REF!</v>
      </c>
      <c r="E59" s="63" t="s">
        <v>891</v>
      </c>
      <c r="F59" s="63" t="s">
        <v>869</v>
      </c>
      <c r="H59" t="s">
        <v>316</v>
      </c>
      <c r="N59" t="str">
        <f t="shared" si="1"/>
        <v>employee_history</v>
      </c>
      <c r="O59" t="str">
        <f t="shared" si="2"/>
        <v/>
      </c>
      <c r="P59" t="str">
        <f t="shared" si="3"/>
        <v>employee_history</v>
      </c>
    </row>
    <row r="60" spans="1:16" x14ac:dyDescent="0.2">
      <c r="A60" s="62" t="s">
        <v>655</v>
      </c>
      <c r="B60" s="63" t="s">
        <v>650</v>
      </c>
      <c r="C60" s="63" t="str">
        <f t="shared" si="0"/>
        <v>tax.legal_entities_detailed</v>
      </c>
      <c r="D60" s="63" t="e">
        <f>IFERROR(VLOOKUP(A60,#REF!,1,0),VLOOKUP(C60,#REF!,1,0))</f>
        <v>#REF!</v>
      </c>
      <c r="E60" s="63" t="s">
        <v>891</v>
      </c>
      <c r="F60" s="63" t="s">
        <v>869</v>
      </c>
      <c r="H60" t="s">
        <v>855</v>
      </c>
      <c r="N60" t="str">
        <f t="shared" si="1"/>
        <v/>
      </c>
      <c r="O60" t="str">
        <f t="shared" si="2"/>
        <v>employement.yaqin_qarindosh</v>
      </c>
      <c r="P60" t="str">
        <f t="shared" si="3"/>
        <v>employement.yaqin_qarindosh</v>
      </c>
    </row>
    <row r="61" spans="1:16" x14ac:dyDescent="0.2">
      <c r="A61" s="62" t="s">
        <v>656</v>
      </c>
      <c r="B61" s="63" t="s">
        <v>650</v>
      </c>
      <c r="C61" s="63" t="str">
        <f t="shared" si="0"/>
        <v>tax.nedra_tax_reports</v>
      </c>
      <c r="D61" s="63" t="e">
        <f>IFERROR(VLOOKUP(A61,#REF!,1,0),VLOOKUP(C61,#REF!,1,0))</f>
        <v>#REF!</v>
      </c>
      <c r="E61" s="63" t="s">
        <v>882</v>
      </c>
      <c r="F61" s="63" t="s">
        <v>869</v>
      </c>
      <c r="H61" t="s">
        <v>570</v>
      </c>
      <c r="N61" t="str">
        <f t="shared" si="1"/>
        <v/>
      </c>
      <c r="O61" t="str">
        <f t="shared" si="2"/>
        <v>employement.personal_info</v>
      </c>
      <c r="P61" t="str">
        <f t="shared" si="3"/>
        <v>employement.personal_info</v>
      </c>
    </row>
    <row r="62" spans="1:16" x14ac:dyDescent="0.2">
      <c r="A62" s="62" t="s">
        <v>657</v>
      </c>
      <c r="B62" s="63" t="s">
        <v>650</v>
      </c>
      <c r="C62" s="63" t="str">
        <f t="shared" si="0"/>
        <v>tax.sp_pinfl_stir</v>
      </c>
      <c r="D62" s="63" t="e">
        <f>IFERROR(VLOOKUP(A62,#REF!,1,0),VLOOKUP(C62,#REF!,1,0))</f>
        <v>#REF!</v>
      </c>
      <c r="E62" s="63" t="s">
        <v>892</v>
      </c>
      <c r="F62" s="63" t="s">
        <v>869</v>
      </c>
      <c r="H62" t="s">
        <v>865</v>
      </c>
      <c r="N62" t="str">
        <f t="shared" si="1"/>
        <v/>
      </c>
      <c r="O62" t="str">
        <f t="shared" si="2"/>
        <v>employement.mehnat_daftar</v>
      </c>
      <c r="P62" t="str">
        <f t="shared" si="3"/>
        <v>employement.mehnat_daftar</v>
      </c>
    </row>
    <row r="63" spans="1:16" x14ac:dyDescent="0.2">
      <c r="A63" s="62" t="s">
        <v>658</v>
      </c>
      <c r="B63" s="63" t="s">
        <v>650</v>
      </c>
      <c r="C63" s="63" t="str">
        <f t="shared" si="0"/>
        <v>tax.tax_reports</v>
      </c>
      <c r="D63" s="63" t="e">
        <f>IFERROR(VLOOKUP(A63,#REF!,1,0),VLOOKUP(C63,#REF!,1,0))</f>
        <v>#REF!</v>
      </c>
      <c r="E63" s="63" t="s">
        <v>882</v>
      </c>
      <c r="F63" s="63" t="s">
        <v>869</v>
      </c>
      <c r="H63" t="s">
        <v>317</v>
      </c>
      <c r="N63" t="str">
        <f t="shared" si="1"/>
        <v>public_workers_list</v>
      </c>
      <c r="O63" t="str">
        <f t="shared" si="2"/>
        <v/>
      </c>
      <c r="P63" t="str">
        <f t="shared" si="3"/>
        <v>public_workers_list</v>
      </c>
    </row>
    <row r="64" spans="1:16" x14ac:dyDescent="0.2">
      <c r="A64" s="62" t="s">
        <v>659</v>
      </c>
      <c r="B64" s="63" t="s">
        <v>650</v>
      </c>
      <c r="C64" s="63" t="str">
        <f t="shared" si="0"/>
        <v>tax.tax_reports_list</v>
      </c>
      <c r="D64" s="63" t="e">
        <f>IFERROR(VLOOKUP(A64,#REF!,1,0),VLOOKUP(C64,#REF!,1,0))</f>
        <v>#REF!</v>
      </c>
      <c r="E64" s="63" t="s">
        <v>882</v>
      </c>
      <c r="F64" s="63" t="s">
        <v>869</v>
      </c>
      <c r="H64" t="s">
        <v>576</v>
      </c>
      <c r="N64" t="str">
        <f t="shared" si="1"/>
        <v/>
      </c>
      <c r="O64" t="str">
        <f t="shared" si="2"/>
        <v>subsidy.kasbga_yun_fuqaro</v>
      </c>
      <c r="P64" t="str">
        <f t="shared" si="3"/>
        <v>subsidy.kasbga_yun_fuqaro</v>
      </c>
    </row>
    <row r="65" spans="1:16" x14ac:dyDescent="0.2">
      <c r="A65" s="61" t="s">
        <v>661</v>
      </c>
      <c r="B65" t="s">
        <v>662</v>
      </c>
      <c r="C65" t="str">
        <f>B65&amp;"."&amp;A65</f>
        <v>uzasbo.borders_service</v>
      </c>
      <c r="D65" t="e">
        <f>IFERROR(VLOOKUP(A65,#REF!,1,0),VLOOKUP(C65,#REF!,1,0))</f>
        <v>#REF!</v>
      </c>
      <c r="E65" t="s">
        <v>893</v>
      </c>
      <c r="F65" t="s">
        <v>869</v>
      </c>
      <c r="H65" t="s">
        <v>858</v>
      </c>
      <c r="N65" t="str">
        <f t="shared" si="1"/>
        <v/>
      </c>
      <c r="O65" t="str">
        <f t="shared" si="2"/>
        <v>employement.hunarmand</v>
      </c>
      <c r="P65" t="str">
        <f t="shared" ref="P65:P91" si="4">N65&amp;O65</f>
        <v>employement.hunarmand</v>
      </c>
    </row>
    <row r="66" spans="1:16" x14ac:dyDescent="0.2">
      <c r="A66" t="s">
        <v>663</v>
      </c>
      <c r="B66" t="s">
        <v>660</v>
      </c>
      <c r="C66" t="str">
        <f>B66&amp;"."&amp;A66</f>
        <v>temp.tax_report</v>
      </c>
      <c r="D66" t="e">
        <f>IFERROR(VLOOKUP(A66,#REF!,1,0),VLOOKUP(C66,#REF!,1,0))</f>
        <v>#REF!</v>
      </c>
      <c r="H66" t="s">
        <v>579</v>
      </c>
      <c r="N66" t="str">
        <f t="shared" ref="N66:N129" si="5">IFERROR(VLOOKUP(H66,A:A,1,0),"")</f>
        <v/>
      </c>
      <c r="O66" t="str">
        <f t="shared" ref="O66:O129" si="6">IFERROR(VLOOKUP(H66,C:C,1,0),"")</f>
        <v>employement.turists</v>
      </c>
      <c r="P66" t="str">
        <f t="shared" si="4"/>
        <v>employement.turists</v>
      </c>
    </row>
    <row r="67" spans="1:16" x14ac:dyDescent="0.2">
      <c r="A67" s="61" t="s">
        <v>664</v>
      </c>
      <c r="B67" t="s">
        <v>662</v>
      </c>
      <c r="C67" t="str">
        <f t="shared" ref="C67:C90" si="7">B67&amp;"."&amp;A67</f>
        <v>uzasbo.accounts_organizations</v>
      </c>
      <c r="D67" t="e">
        <f>IFERROR(VLOOKUP(A67,#REF!,1,0),VLOOKUP(C67,#REF!,1,0))</f>
        <v>#REF!</v>
      </c>
      <c r="E67" t="s">
        <v>882</v>
      </c>
      <c r="F67" t="s">
        <v>869</v>
      </c>
      <c r="H67" t="s">
        <v>581</v>
      </c>
      <c r="N67" t="str">
        <f t="shared" si="5"/>
        <v/>
      </c>
      <c r="O67" t="str">
        <f t="shared" si="6"/>
        <v>tartibga_solish.e_accreditation</v>
      </c>
      <c r="P67" t="str">
        <f t="shared" si="4"/>
        <v>tartibga_solish.e_accreditation</v>
      </c>
    </row>
    <row r="68" spans="1:16" x14ac:dyDescent="0.2">
      <c r="A68" s="61" t="s">
        <v>665</v>
      </c>
      <c r="B68" t="s">
        <v>662</v>
      </c>
      <c r="C68" t="str">
        <f t="shared" si="7"/>
        <v>uzasbo.accrual_inn_lists</v>
      </c>
      <c r="D68" t="e">
        <f>IFERROR(VLOOKUP(A68,#REF!,1,0),VLOOKUP(C68,#REF!,1,0))</f>
        <v>#REF!</v>
      </c>
      <c r="E68" t="s">
        <v>882</v>
      </c>
      <c r="F68" t="s">
        <v>869</v>
      </c>
      <c r="N68" t="str">
        <f t="shared" si="5"/>
        <v/>
      </c>
      <c r="O68" t="str">
        <f t="shared" si="6"/>
        <v/>
      </c>
      <c r="P68" t="str">
        <f t="shared" si="4"/>
        <v/>
      </c>
    </row>
    <row r="69" spans="1:16" x14ac:dyDescent="0.2">
      <c r="A69" s="61" t="s">
        <v>666</v>
      </c>
      <c r="B69" t="s">
        <v>662</v>
      </c>
      <c r="C69" t="str">
        <f t="shared" si="7"/>
        <v>uzasbo.accruals</v>
      </c>
      <c r="D69" t="e">
        <f>IFERROR(VLOOKUP(A69,#REF!,1,0),VLOOKUP(C69,#REF!,1,0))</f>
        <v>#REF!</v>
      </c>
      <c r="E69" t="s">
        <v>882</v>
      </c>
      <c r="F69" t="s">
        <v>869</v>
      </c>
      <c r="H69" t="s">
        <v>582</v>
      </c>
      <c r="N69" t="str">
        <f t="shared" si="5"/>
        <v/>
      </c>
      <c r="O69" t="str">
        <f t="shared" si="6"/>
        <v>cooperation.product</v>
      </c>
      <c r="P69" t="str">
        <f t="shared" si="4"/>
        <v>cooperation.product</v>
      </c>
    </row>
    <row r="70" spans="1:16" x14ac:dyDescent="0.2">
      <c r="A70" s="61" t="s">
        <v>667</v>
      </c>
      <c r="B70" t="s">
        <v>662</v>
      </c>
      <c r="C70" t="str">
        <f t="shared" si="7"/>
        <v>uzasbo.my_works</v>
      </c>
      <c r="D70" t="e">
        <f>IFERROR(VLOOKUP(A70,#REF!,1,0),VLOOKUP(C70,#REF!,1,0))</f>
        <v>#REF!</v>
      </c>
      <c r="E70" t="s">
        <v>882</v>
      </c>
      <c r="F70" t="s">
        <v>869</v>
      </c>
      <c r="H70" t="s">
        <v>583</v>
      </c>
      <c r="N70" t="str">
        <f t="shared" si="5"/>
        <v/>
      </c>
      <c r="O70" t="str">
        <f t="shared" si="6"/>
        <v>cooperation.companies</v>
      </c>
      <c r="P70" t="str">
        <f t="shared" si="4"/>
        <v>cooperation.companies</v>
      </c>
    </row>
    <row r="71" spans="1:16" x14ac:dyDescent="0.2">
      <c r="A71" t="s">
        <v>310</v>
      </c>
      <c r="B71" t="s">
        <v>662</v>
      </c>
      <c r="C71" t="str">
        <f t="shared" si="7"/>
        <v>uzasbo.positions_vault</v>
      </c>
      <c r="D71" t="e">
        <f>IFERROR(VLOOKUP(A71,#REF!,1,0),VLOOKUP(C71,#REF!,1,0))</f>
        <v>#REF!</v>
      </c>
      <c r="H71" t="s">
        <v>584</v>
      </c>
      <c r="N71" t="str">
        <f t="shared" si="5"/>
        <v/>
      </c>
      <c r="O71" t="str">
        <f t="shared" si="6"/>
        <v>cooperation.contract</v>
      </c>
      <c r="P71" t="str">
        <f t="shared" si="4"/>
        <v>cooperation.contract</v>
      </c>
    </row>
    <row r="72" spans="1:16" x14ac:dyDescent="0.2">
      <c r="A72" t="s">
        <v>308</v>
      </c>
      <c r="B72" t="s">
        <v>662</v>
      </c>
      <c r="C72" t="str">
        <f t="shared" si="7"/>
        <v>uzasbo.report_months</v>
      </c>
      <c r="D72" t="e">
        <f>IFERROR(VLOOKUP(A72,#REF!,1,0),VLOOKUP(C72,#REF!,1,0))</f>
        <v>#REF!</v>
      </c>
      <c r="H72" t="s">
        <v>585</v>
      </c>
      <c r="N72" t="str">
        <f t="shared" si="5"/>
        <v/>
      </c>
      <c r="O72" t="str">
        <f t="shared" si="6"/>
        <v>subsidy.credits</v>
      </c>
      <c r="P72" t="str">
        <f t="shared" si="4"/>
        <v>subsidy.credits</v>
      </c>
    </row>
    <row r="73" spans="1:16" x14ac:dyDescent="0.2">
      <c r="A73" s="61" t="s">
        <v>668</v>
      </c>
      <c r="B73" t="s">
        <v>662</v>
      </c>
      <c r="C73" t="str">
        <f t="shared" si="7"/>
        <v>uzasbo.sp_organizations_bill</v>
      </c>
      <c r="D73" t="e">
        <f>IFERROR(VLOOKUP(A73,#REF!,1,0),VLOOKUP(C73,#REF!,1,0))</f>
        <v>#REF!</v>
      </c>
      <c r="E73" t="s">
        <v>894</v>
      </c>
      <c r="F73" t="s">
        <v>869</v>
      </c>
      <c r="N73" t="str">
        <f t="shared" si="5"/>
        <v/>
      </c>
      <c r="O73" t="str">
        <f t="shared" si="6"/>
        <v/>
      </c>
      <c r="P73" t="str">
        <f t="shared" si="4"/>
        <v/>
      </c>
    </row>
    <row r="74" spans="1:16" x14ac:dyDescent="0.2">
      <c r="A74" s="61" t="s">
        <v>669</v>
      </c>
      <c r="B74" t="s">
        <v>662</v>
      </c>
      <c r="C74" t="str">
        <f t="shared" si="7"/>
        <v>uzasbo.sp_orgs</v>
      </c>
      <c r="D74" t="e">
        <f>IFERROR(VLOOKUP(A74,#REF!,1,0),VLOOKUP(C74,#REF!,1,0))</f>
        <v>#REF!</v>
      </c>
      <c r="E74" t="s">
        <v>894</v>
      </c>
      <c r="F74" t="s">
        <v>869</v>
      </c>
      <c r="H74" t="s">
        <v>860</v>
      </c>
      <c r="N74" t="str">
        <f t="shared" si="5"/>
        <v/>
      </c>
      <c r="O74" t="str">
        <f t="shared" si="6"/>
        <v>birja.xt_tender_selection</v>
      </c>
      <c r="P74" t="str">
        <f t="shared" si="4"/>
        <v>birja.xt_tender_selection</v>
      </c>
    </row>
    <row r="75" spans="1:16" x14ac:dyDescent="0.2">
      <c r="A75" s="61" t="s">
        <v>670</v>
      </c>
      <c r="B75" t="s">
        <v>662</v>
      </c>
      <c r="C75" t="str">
        <f t="shared" si="7"/>
        <v>uzasbo.sp_positions</v>
      </c>
      <c r="D75" t="e">
        <f>IFERROR(VLOOKUP(A75,#REF!,1,0),VLOOKUP(C75,#REF!,1,0))</f>
        <v>#REF!</v>
      </c>
      <c r="E75" t="s">
        <v>894</v>
      </c>
      <c r="F75" t="s">
        <v>869</v>
      </c>
      <c r="H75" t="s">
        <v>558</v>
      </c>
      <c r="N75" t="str">
        <f t="shared" si="5"/>
        <v/>
      </c>
      <c r="O75" t="str">
        <f t="shared" si="6"/>
        <v>birja.xt_agreement_members</v>
      </c>
      <c r="P75" t="str">
        <f t="shared" si="4"/>
        <v>birja.xt_agreement_members</v>
      </c>
    </row>
    <row r="76" spans="1:16" x14ac:dyDescent="0.2">
      <c r="A76" s="61" t="s">
        <v>671</v>
      </c>
      <c r="B76" t="s">
        <v>662</v>
      </c>
      <c r="C76" t="str">
        <f t="shared" si="7"/>
        <v>uzasbo.sp_regions</v>
      </c>
      <c r="D76" t="e">
        <f>IFERROR(VLOOKUP(A76,#REF!,1,0),VLOOKUP(C76,#REF!,1,0))</f>
        <v>#REF!</v>
      </c>
      <c r="E76" t="s">
        <v>894</v>
      </c>
      <c r="F76" t="s">
        <v>869</v>
      </c>
      <c r="H76" t="s">
        <v>559</v>
      </c>
      <c r="N76" t="str">
        <f t="shared" si="5"/>
        <v/>
      </c>
      <c r="O76" t="str">
        <f t="shared" si="6"/>
        <v>birja.xt_request_reduction</v>
      </c>
      <c r="P76" t="str">
        <f t="shared" si="4"/>
        <v>birja.xt_request_reduction</v>
      </c>
    </row>
    <row r="77" spans="1:16" x14ac:dyDescent="0.2">
      <c r="A77" s="61" t="s">
        <v>672</v>
      </c>
      <c r="B77" t="s">
        <v>662</v>
      </c>
      <c r="C77" t="str">
        <f t="shared" si="7"/>
        <v>uzasbo.statements</v>
      </c>
      <c r="D77" t="e">
        <f>IFERROR(VLOOKUP(A77,#REF!,1,0),VLOOKUP(C77,#REF!,1,0))</f>
        <v>#REF!</v>
      </c>
      <c r="E77" t="s">
        <v>882</v>
      </c>
      <c r="F77" t="s">
        <v>869</v>
      </c>
      <c r="N77" t="str">
        <f t="shared" si="5"/>
        <v/>
      </c>
      <c r="O77" t="str">
        <f t="shared" si="6"/>
        <v/>
      </c>
      <c r="P77" t="str">
        <f t="shared" si="4"/>
        <v/>
      </c>
    </row>
    <row r="78" spans="1:16" x14ac:dyDescent="0.2">
      <c r="A78" s="61" t="s">
        <v>673</v>
      </c>
      <c r="B78" t="s">
        <v>662</v>
      </c>
      <c r="C78" t="str">
        <f t="shared" si="7"/>
        <v>uzasbo.sp_ministry</v>
      </c>
      <c r="D78" t="e">
        <f>IFERROR(VLOOKUP(A78,#REF!,1,0),VLOOKUP(C78,#REF!,1,0))</f>
        <v>#REF!</v>
      </c>
      <c r="E78" t="s">
        <v>894</v>
      </c>
      <c r="F78" t="s">
        <v>869</v>
      </c>
      <c r="H78" t="s">
        <v>573</v>
      </c>
      <c r="N78" t="str">
        <f t="shared" si="5"/>
        <v/>
      </c>
      <c r="O78" t="str">
        <f t="shared" si="6"/>
        <v>birja.e_protocol</v>
      </c>
      <c r="P78" t="str">
        <f t="shared" si="4"/>
        <v>birja.e_protocol</v>
      </c>
    </row>
    <row r="79" spans="1:16" x14ac:dyDescent="0.2">
      <c r="A79" s="61" t="s">
        <v>674</v>
      </c>
      <c r="B79" t="s">
        <v>662</v>
      </c>
      <c r="C79" t="str">
        <f t="shared" si="7"/>
        <v>uzasbo.users</v>
      </c>
      <c r="D79" t="e">
        <f>IFERROR(VLOOKUP(A79,#REF!,1,0),VLOOKUP(C79,#REF!,1,0))</f>
        <v>#REF!</v>
      </c>
      <c r="E79" t="s">
        <v>882</v>
      </c>
      <c r="F79" t="s">
        <v>869</v>
      </c>
      <c r="H79" t="s">
        <v>572</v>
      </c>
      <c r="N79" t="str">
        <f t="shared" si="5"/>
        <v/>
      </c>
      <c r="O79" t="str">
        <f t="shared" si="6"/>
        <v>birja.directs</v>
      </c>
      <c r="P79" t="str">
        <f t="shared" si="4"/>
        <v>birja.directs</v>
      </c>
    </row>
    <row r="80" spans="1:16" x14ac:dyDescent="0.2">
      <c r="A80" s="61" t="s">
        <v>675</v>
      </c>
      <c r="B80" t="s">
        <v>662</v>
      </c>
      <c r="C80" t="str">
        <f t="shared" si="7"/>
        <v>uzasbo.uzasbo_oylik</v>
      </c>
      <c r="D80" t="e">
        <f>IFERROR(VLOOKUP(A80,#REF!,1,0),VLOOKUP(C80,#REF!,1,0))</f>
        <v>#REF!</v>
      </c>
      <c r="E80" t="s">
        <v>882</v>
      </c>
      <c r="F80" t="s">
        <v>869</v>
      </c>
      <c r="H80" t="s">
        <v>560</v>
      </c>
      <c r="N80" t="str">
        <f t="shared" si="5"/>
        <v/>
      </c>
      <c r="O80" t="str">
        <f t="shared" si="6"/>
        <v>birja.trades</v>
      </c>
      <c r="P80" t="str">
        <f t="shared" si="4"/>
        <v>birja.trades</v>
      </c>
    </row>
    <row r="81" spans="1:16" x14ac:dyDescent="0.2">
      <c r="A81" s="61" t="s">
        <v>676</v>
      </c>
      <c r="B81" t="s">
        <v>662</v>
      </c>
      <c r="C81" t="str">
        <f t="shared" si="7"/>
        <v>uzasbo.info_organization_state</v>
      </c>
      <c r="D81" t="e">
        <f>IFERROR(VLOOKUP(A81,#REF!,1,0),VLOOKUP(C81,#REF!,1,0))</f>
        <v>#REF!</v>
      </c>
      <c r="E81" t="s">
        <v>873</v>
      </c>
      <c r="F81" t="s">
        <v>870</v>
      </c>
      <c r="N81" t="str">
        <f t="shared" si="5"/>
        <v/>
      </c>
      <c r="O81" t="str">
        <f t="shared" si="6"/>
        <v/>
      </c>
      <c r="P81" t="str">
        <f t="shared" si="4"/>
        <v/>
      </c>
    </row>
    <row r="82" spans="1:16" x14ac:dyDescent="0.2">
      <c r="A82" t="s">
        <v>309</v>
      </c>
      <c r="B82" t="s">
        <v>662</v>
      </c>
      <c r="C82" t="str">
        <f t="shared" si="7"/>
        <v>uzasbo.position_vault</v>
      </c>
      <c r="D82" t="e">
        <f>IFERROR(VLOOKUP(A82,#REF!,1,0),VLOOKUP(C82,#REF!,1,0))</f>
        <v>#REF!</v>
      </c>
      <c r="N82" t="str">
        <f t="shared" si="5"/>
        <v/>
      </c>
      <c r="O82" t="str">
        <f t="shared" si="6"/>
        <v/>
      </c>
      <c r="P82" t="str">
        <f t="shared" si="4"/>
        <v/>
      </c>
    </row>
    <row r="83" spans="1:16" x14ac:dyDescent="0.2">
      <c r="A83" t="s">
        <v>306</v>
      </c>
      <c r="B83" t="s">
        <v>662</v>
      </c>
      <c r="C83" t="str">
        <f t="shared" si="7"/>
        <v>uzasbo.financial_transactions</v>
      </c>
      <c r="D83" t="e">
        <f>IFERROR(VLOOKUP(A83,#REF!,1,0),VLOOKUP(C83,#REF!,1,0))</f>
        <v>#REF!</v>
      </c>
      <c r="N83" t="str">
        <f t="shared" si="5"/>
        <v/>
      </c>
      <c r="O83" t="str">
        <f t="shared" si="6"/>
        <v/>
      </c>
      <c r="P83" t="str">
        <f t="shared" si="4"/>
        <v/>
      </c>
    </row>
    <row r="84" spans="1:16" x14ac:dyDescent="0.2">
      <c r="A84" s="61" t="s">
        <v>677</v>
      </c>
      <c r="B84" t="s">
        <v>602</v>
      </c>
      <c r="C84" t="str">
        <f t="shared" si="7"/>
        <v>minyust.temp_lavozim_pinfl</v>
      </c>
      <c r="D84" t="e">
        <f>IFERROR(VLOOKUP(A84,#REF!,1,0),VLOOKUP(C84,#REF!,1,0))</f>
        <v>#REF!</v>
      </c>
      <c r="E84" t="s">
        <v>882</v>
      </c>
      <c r="F84" t="s">
        <v>869</v>
      </c>
      <c r="N84" t="str">
        <f t="shared" si="5"/>
        <v/>
      </c>
      <c r="O84" t="str">
        <f t="shared" si="6"/>
        <v/>
      </c>
      <c r="P84" t="str">
        <f t="shared" si="4"/>
        <v/>
      </c>
    </row>
    <row r="85" spans="1:16" x14ac:dyDescent="0.2">
      <c r="A85" t="s">
        <v>314</v>
      </c>
      <c r="B85" t="s">
        <v>637</v>
      </c>
      <c r="C85" t="str">
        <f t="shared" si="7"/>
        <v>subsidy.phys_subsidies_list</v>
      </c>
      <c r="D85" t="e">
        <f>IFERROR(VLOOKUP(A85,#REF!,1,0),VLOOKUP(C85,#REF!,1,0))</f>
        <v>#REF!</v>
      </c>
      <c r="H85" t="s">
        <v>324</v>
      </c>
      <c r="N85" t="str">
        <f t="shared" si="5"/>
        <v/>
      </c>
      <c r="O85" t="str">
        <f t="shared" si="6"/>
        <v>minyust.relative_person_info</v>
      </c>
      <c r="P85" t="str">
        <f t="shared" si="4"/>
        <v>minyust.relative_person_info</v>
      </c>
    </row>
    <row r="86" spans="1:16" x14ac:dyDescent="0.2">
      <c r="A86" t="s">
        <v>307</v>
      </c>
      <c r="B86" t="s">
        <v>662</v>
      </c>
      <c r="C86" t="str">
        <f t="shared" si="7"/>
        <v>uzasbo.dembat_faktura</v>
      </c>
      <c r="D86" t="e">
        <f>IFERROR(VLOOKUP(A86,#REF!,1,0),VLOOKUP(C86,#REF!,1,0))</f>
        <v>#REF!</v>
      </c>
      <c r="N86" t="str">
        <f t="shared" si="5"/>
        <v/>
      </c>
      <c r="O86" t="str">
        <f t="shared" si="6"/>
        <v/>
      </c>
      <c r="P86" t="str">
        <f t="shared" si="4"/>
        <v/>
      </c>
    </row>
    <row r="87" spans="1:16" x14ac:dyDescent="0.2">
      <c r="A87" t="s">
        <v>315</v>
      </c>
      <c r="B87" t="s">
        <v>637</v>
      </c>
      <c r="C87" t="str">
        <f t="shared" si="7"/>
        <v>subsidy.unemployment_list</v>
      </c>
      <c r="D87" t="e">
        <f>IFERROR(VLOOKUP(A87,#REF!,1,0),VLOOKUP(C87,#REF!,1,0))</f>
        <v>#REF!</v>
      </c>
      <c r="N87" t="str">
        <f t="shared" si="5"/>
        <v/>
      </c>
      <c r="O87" t="str">
        <f t="shared" si="6"/>
        <v/>
      </c>
      <c r="P87" t="str">
        <f t="shared" si="4"/>
        <v/>
      </c>
    </row>
    <row r="88" spans="1:16" x14ac:dyDescent="0.2">
      <c r="A88" s="61" t="s">
        <v>678</v>
      </c>
      <c r="B88" t="s">
        <v>662</v>
      </c>
      <c r="C88" t="str">
        <f t="shared" si="7"/>
        <v>uzasbo.info_organizations</v>
      </c>
      <c r="D88" t="e">
        <f>IFERROR(VLOOKUP(A88,#REF!,1,0),VLOOKUP(C88,#REF!,1,0))</f>
        <v>#REF!</v>
      </c>
      <c r="E88" t="s">
        <v>874</v>
      </c>
      <c r="F88" t="s">
        <v>870</v>
      </c>
      <c r="H88" t="s">
        <v>324</v>
      </c>
      <c r="N88" t="str">
        <f t="shared" si="5"/>
        <v/>
      </c>
      <c r="O88" t="str">
        <f t="shared" si="6"/>
        <v>minyust.relative_person_info</v>
      </c>
      <c r="P88" t="str">
        <f t="shared" si="4"/>
        <v>minyust.relative_person_info</v>
      </c>
    </row>
    <row r="89" spans="1:16" x14ac:dyDescent="0.2">
      <c r="A89" s="61" t="s">
        <v>679</v>
      </c>
      <c r="B89" t="s">
        <v>612</v>
      </c>
      <c r="C89" t="str">
        <f t="shared" si="7"/>
        <v>public.conflictofinterests_ready</v>
      </c>
      <c r="D89" t="e">
        <f>IFERROR(VLOOKUP(A89,#REF!,1,0),VLOOKUP(C89,#REF!,1,0))</f>
        <v>#REF!</v>
      </c>
      <c r="E89" t="s">
        <v>882</v>
      </c>
      <c r="F89" t="s">
        <v>869</v>
      </c>
      <c r="N89" t="str">
        <f t="shared" si="5"/>
        <v/>
      </c>
      <c r="O89" t="str">
        <f t="shared" si="6"/>
        <v/>
      </c>
      <c r="P89" t="str">
        <f t="shared" si="4"/>
        <v/>
      </c>
    </row>
    <row r="90" spans="1:16" x14ac:dyDescent="0.2">
      <c r="A90" s="61" t="s">
        <v>680</v>
      </c>
      <c r="B90" t="s">
        <v>637</v>
      </c>
      <c r="C90" t="str">
        <f t="shared" si="7"/>
        <v>subsidy.get_experiences</v>
      </c>
      <c r="D90" t="e">
        <f>IFERROR(VLOOKUP(A90,#REF!,1,0),VLOOKUP(C90,#REF!,1,0))</f>
        <v>#REF!</v>
      </c>
      <c r="E90" t="s">
        <v>875</v>
      </c>
      <c r="F90" t="s">
        <v>870</v>
      </c>
      <c r="N90" t="str">
        <f t="shared" si="5"/>
        <v/>
      </c>
      <c r="O90" t="str">
        <f t="shared" si="6"/>
        <v/>
      </c>
      <c r="P90" t="str">
        <f t="shared" si="4"/>
        <v/>
      </c>
    </row>
    <row r="91" spans="1:16" x14ac:dyDescent="0.2">
      <c r="A91" t="s">
        <v>312</v>
      </c>
      <c r="B91" t="s">
        <v>591</v>
      </c>
      <c r="C91" t="str">
        <f t="shared" ref="C91:C154" si="8">B91&amp;"."&amp;A91</f>
        <v>education.student_info</v>
      </c>
      <c r="D91" t="e">
        <f>IFERROR(VLOOKUP(A91,#REF!,1,0),VLOOKUP(C91,#REF!,1,0))</f>
        <v>#REF!</v>
      </c>
      <c r="N91" t="str">
        <f t="shared" si="5"/>
        <v/>
      </c>
      <c r="O91" t="str">
        <f t="shared" si="6"/>
        <v/>
      </c>
      <c r="P91" t="str">
        <f t="shared" si="4"/>
        <v/>
      </c>
    </row>
    <row r="92" spans="1:16" x14ac:dyDescent="0.2">
      <c r="A92" t="s">
        <v>311</v>
      </c>
      <c r="B92" t="s">
        <v>662</v>
      </c>
      <c r="C92" t="str">
        <f t="shared" si="8"/>
        <v>uzasbo.vedemost</v>
      </c>
      <c r="D92" t="e">
        <f>IFERROR(VLOOKUP(A92,#REF!,1,0),VLOOKUP(C92,#REF!,1,0))</f>
        <v>#REF!</v>
      </c>
      <c r="N92" t="str">
        <f t="shared" si="5"/>
        <v/>
      </c>
      <c r="O92" t="str">
        <f t="shared" si="6"/>
        <v/>
      </c>
      <c r="P92" t="str">
        <f t="shared" ref="P92:P155" si="9">N92&amp;O92</f>
        <v/>
      </c>
    </row>
    <row r="93" spans="1:16" x14ac:dyDescent="0.2">
      <c r="A93" s="61" t="s">
        <v>681</v>
      </c>
      <c r="B93" t="s">
        <v>682</v>
      </c>
      <c r="C93" t="str">
        <f t="shared" si="8"/>
        <v>geo_eco.tax_qum_shagal</v>
      </c>
      <c r="D93" t="e">
        <f>IFERROR(VLOOKUP(A93,#REF!,1,0),VLOOKUP(C93,#REF!,1,0))</f>
        <v>#REF!</v>
      </c>
      <c r="E93" t="s">
        <v>876</v>
      </c>
      <c r="F93" t="s">
        <v>870</v>
      </c>
      <c r="N93" t="str">
        <f t="shared" si="5"/>
        <v/>
      </c>
      <c r="O93" t="str">
        <f t="shared" si="6"/>
        <v/>
      </c>
      <c r="P93" t="str">
        <f t="shared" si="9"/>
        <v/>
      </c>
    </row>
    <row r="94" spans="1:16" x14ac:dyDescent="0.2">
      <c r="A94" t="s">
        <v>316</v>
      </c>
      <c r="B94" t="s">
        <v>597</v>
      </c>
      <c r="C94" t="str">
        <f t="shared" si="8"/>
        <v>employement.employee_history</v>
      </c>
      <c r="D94" t="e">
        <f>IFERROR(VLOOKUP(A94,#REF!,1,0),VLOOKUP(C94,#REF!,1,0))</f>
        <v>#REF!</v>
      </c>
      <c r="N94" t="str">
        <f t="shared" si="5"/>
        <v/>
      </c>
      <c r="O94" t="str">
        <f t="shared" si="6"/>
        <v/>
      </c>
      <c r="P94" t="str">
        <f t="shared" si="9"/>
        <v/>
      </c>
    </row>
    <row r="95" spans="1:16" x14ac:dyDescent="0.2">
      <c r="A95" t="s">
        <v>313</v>
      </c>
      <c r="B95" t="s">
        <v>637</v>
      </c>
      <c r="C95" t="str">
        <f t="shared" si="8"/>
        <v>subsidy.yur_subsidies_list</v>
      </c>
      <c r="D95" t="e">
        <f>IFERROR(VLOOKUP(A95,#REF!,1,0),VLOOKUP(C95,#REF!,1,0))</f>
        <v>#REF!</v>
      </c>
      <c r="N95" t="str">
        <f t="shared" si="5"/>
        <v/>
      </c>
      <c r="O95" t="str">
        <f t="shared" si="6"/>
        <v/>
      </c>
      <c r="P95" t="str">
        <f t="shared" si="9"/>
        <v/>
      </c>
    </row>
    <row r="96" spans="1:16" x14ac:dyDescent="0.2">
      <c r="A96" t="s">
        <v>318</v>
      </c>
      <c r="B96" t="s">
        <v>637</v>
      </c>
      <c r="C96" t="str">
        <f t="shared" si="8"/>
        <v>subsidy.agricultures</v>
      </c>
      <c r="D96" t="e">
        <f>IFERROR(VLOOKUP(A96,#REF!,1,0),VLOOKUP(C96,#REF!,1,0))</f>
        <v>#REF!</v>
      </c>
      <c r="N96" t="str">
        <f t="shared" si="5"/>
        <v/>
      </c>
      <c r="O96" t="str">
        <f t="shared" si="6"/>
        <v/>
      </c>
      <c r="P96" t="str">
        <f t="shared" si="9"/>
        <v/>
      </c>
    </row>
    <row r="97" spans="1:16" x14ac:dyDescent="0.2">
      <c r="A97" t="s">
        <v>683</v>
      </c>
      <c r="B97" t="s">
        <v>684</v>
      </c>
      <c r="C97" t="str">
        <f t="shared" si="8"/>
        <v>bojxona.export</v>
      </c>
      <c r="D97" t="e">
        <f>IFERROR(VLOOKUP(A97,#REF!,1,0),VLOOKUP(C97,#REF!,1,0))</f>
        <v>#REF!</v>
      </c>
      <c r="N97" t="str">
        <f t="shared" si="5"/>
        <v/>
      </c>
      <c r="O97" t="str">
        <f t="shared" si="6"/>
        <v/>
      </c>
      <c r="P97" t="str">
        <f t="shared" si="9"/>
        <v/>
      </c>
    </row>
    <row r="98" spans="1:16" x14ac:dyDescent="0.2">
      <c r="A98" t="s">
        <v>685</v>
      </c>
      <c r="B98" t="s">
        <v>684</v>
      </c>
      <c r="C98" t="str">
        <f t="shared" si="8"/>
        <v>bojxona.import_data</v>
      </c>
      <c r="D98" t="e">
        <f>IFERROR(VLOOKUP(A98,#REF!,1,0),VLOOKUP(C98,#REF!,1,0))</f>
        <v>#REF!</v>
      </c>
      <c r="N98" t="str">
        <f t="shared" si="5"/>
        <v/>
      </c>
      <c r="O98" t="str">
        <f t="shared" si="6"/>
        <v/>
      </c>
      <c r="P98" t="str">
        <f t="shared" si="9"/>
        <v/>
      </c>
    </row>
    <row r="99" spans="1:16" x14ac:dyDescent="0.2">
      <c r="A99" s="61" t="s">
        <v>686</v>
      </c>
      <c r="B99" t="s">
        <v>687</v>
      </c>
      <c r="C99" t="str">
        <f t="shared" si="8"/>
        <v>soliq.extra_salary</v>
      </c>
      <c r="D99" t="e">
        <f>IFERROR(VLOOKUP(A99,#REF!,1,0),VLOOKUP(C99,#REF!,1,0))</f>
        <v>#REF!</v>
      </c>
      <c r="E99" t="s">
        <v>880</v>
      </c>
      <c r="F99" t="s">
        <v>870</v>
      </c>
      <c r="N99" t="str">
        <f t="shared" si="5"/>
        <v/>
      </c>
      <c r="O99" t="str">
        <f t="shared" si="6"/>
        <v/>
      </c>
      <c r="P99" t="str">
        <f t="shared" si="9"/>
        <v/>
      </c>
    </row>
    <row r="100" spans="1:16" x14ac:dyDescent="0.2">
      <c r="A100" s="61" t="s">
        <v>688</v>
      </c>
      <c r="B100" t="s">
        <v>684</v>
      </c>
      <c r="C100" t="str">
        <f t="shared" si="8"/>
        <v>bojxona.payments</v>
      </c>
      <c r="D100" t="e">
        <f>IFERROR(VLOOKUP(A100,#REF!,1,0),VLOOKUP(C100,#REF!,1,0))</f>
        <v>#REF!</v>
      </c>
      <c r="E100" t="s">
        <v>879</v>
      </c>
      <c r="F100" t="s">
        <v>870</v>
      </c>
      <c r="N100" t="str">
        <f t="shared" si="5"/>
        <v/>
      </c>
      <c r="O100" t="str">
        <f t="shared" si="6"/>
        <v/>
      </c>
      <c r="P100" t="str">
        <f t="shared" si="9"/>
        <v/>
      </c>
    </row>
    <row r="101" spans="1:16" x14ac:dyDescent="0.2">
      <c r="A101" s="61" t="s">
        <v>689</v>
      </c>
      <c r="B101" t="s">
        <v>662</v>
      </c>
      <c r="C101" t="str">
        <f t="shared" si="8"/>
        <v>uzasbo.dembat_smeta</v>
      </c>
      <c r="D101" t="e">
        <f>IFERROR(VLOOKUP(A101,#REF!,1,0),VLOOKUP(C101,#REF!,1,0))</f>
        <v>#REF!</v>
      </c>
      <c r="E101" t="s">
        <v>878</v>
      </c>
      <c r="F101" t="s">
        <v>870</v>
      </c>
      <c r="N101" t="str">
        <f t="shared" si="5"/>
        <v/>
      </c>
      <c r="O101" t="str">
        <f t="shared" si="6"/>
        <v/>
      </c>
      <c r="P101" t="str">
        <f t="shared" si="9"/>
        <v/>
      </c>
    </row>
    <row r="102" spans="1:16" x14ac:dyDescent="0.2">
      <c r="A102" t="s">
        <v>690</v>
      </c>
      <c r="B102" t="s">
        <v>602</v>
      </c>
      <c r="C102" t="str">
        <f t="shared" si="8"/>
        <v>minyust.relative_person_info</v>
      </c>
      <c r="D102" t="e">
        <f>IFERROR(VLOOKUP(A102,#REF!,1,0),VLOOKUP(C102,#REF!,1,0))</f>
        <v>#REF!</v>
      </c>
      <c r="N102" t="str">
        <f t="shared" si="5"/>
        <v/>
      </c>
      <c r="O102" t="str">
        <f t="shared" si="6"/>
        <v/>
      </c>
      <c r="P102" t="str">
        <f t="shared" si="9"/>
        <v/>
      </c>
    </row>
    <row r="103" spans="1:16" x14ac:dyDescent="0.2">
      <c r="A103" t="s">
        <v>691</v>
      </c>
      <c r="B103" t="s">
        <v>637</v>
      </c>
      <c r="C103" t="str">
        <f t="shared" si="8"/>
        <v>subsidy.younger_help</v>
      </c>
      <c r="D103" t="e">
        <f>IFERROR(VLOOKUP(A103,#REF!,1,0),VLOOKUP(C103,#REF!,1,0))</f>
        <v>#REF!</v>
      </c>
      <c r="N103" t="str">
        <f t="shared" si="5"/>
        <v/>
      </c>
      <c r="O103" t="str">
        <f t="shared" si="6"/>
        <v/>
      </c>
      <c r="P103" t="str">
        <f t="shared" si="9"/>
        <v/>
      </c>
    </row>
    <row r="104" spans="1:16" x14ac:dyDescent="0.2">
      <c r="A104" t="s">
        <v>692</v>
      </c>
      <c r="B104" t="s">
        <v>637</v>
      </c>
      <c r="C104" t="str">
        <f t="shared" si="8"/>
        <v>subsidy.younger_note_book</v>
      </c>
      <c r="D104" t="e">
        <f>IFERROR(VLOOKUP(A104,#REF!,1,0),VLOOKUP(C104,#REF!,1,0))</f>
        <v>#REF!</v>
      </c>
      <c r="N104" t="str">
        <f t="shared" si="5"/>
        <v/>
      </c>
      <c r="O104" t="str">
        <f t="shared" si="6"/>
        <v/>
      </c>
      <c r="P104" t="str">
        <f t="shared" si="9"/>
        <v/>
      </c>
    </row>
    <row r="105" spans="1:16" x14ac:dyDescent="0.2">
      <c r="A105" t="s">
        <v>693</v>
      </c>
      <c r="B105" t="s">
        <v>637</v>
      </c>
      <c r="C105" t="str">
        <f t="shared" si="8"/>
        <v>subsidy.yuonger_all_report</v>
      </c>
      <c r="D105" t="e">
        <f>IFERROR(VLOOKUP(A105,#REF!,1,0),VLOOKUP(C105,#REF!,1,0))</f>
        <v>#REF!</v>
      </c>
      <c r="N105" t="str">
        <f t="shared" si="5"/>
        <v/>
      </c>
      <c r="O105" t="str">
        <f t="shared" si="6"/>
        <v/>
      </c>
      <c r="P105" t="str">
        <f t="shared" si="9"/>
        <v/>
      </c>
    </row>
    <row r="106" spans="1:16" x14ac:dyDescent="0.2">
      <c r="A106" t="s">
        <v>694</v>
      </c>
      <c r="B106" t="s">
        <v>612</v>
      </c>
      <c r="C106" t="str">
        <f t="shared" si="8"/>
        <v>public.gos_active_reestr</v>
      </c>
      <c r="D106" t="e">
        <f>IFERROR(VLOOKUP(A106,#REF!,1,0),VLOOKUP(C106,#REF!,1,0))</f>
        <v>#REF!</v>
      </c>
      <c r="N106" t="str">
        <f t="shared" si="5"/>
        <v/>
      </c>
      <c r="O106" t="str">
        <f t="shared" si="6"/>
        <v/>
      </c>
      <c r="P106" t="str">
        <f t="shared" si="9"/>
        <v/>
      </c>
    </row>
    <row r="107" spans="1:16" x14ac:dyDescent="0.2">
      <c r="A107" t="s">
        <v>695</v>
      </c>
      <c r="B107" t="s">
        <v>591</v>
      </c>
      <c r="C107" t="str">
        <f t="shared" si="8"/>
        <v>education.teacher</v>
      </c>
      <c r="D107" t="e">
        <f>IFERROR(VLOOKUP(A107,#REF!,1,0),VLOOKUP(C107,#REF!,1,0))</f>
        <v>#REF!</v>
      </c>
      <c r="N107" t="str">
        <f t="shared" si="5"/>
        <v/>
      </c>
      <c r="O107" t="str">
        <f t="shared" si="6"/>
        <v/>
      </c>
      <c r="P107" t="str">
        <f t="shared" si="9"/>
        <v/>
      </c>
    </row>
    <row r="108" spans="1:16" x14ac:dyDescent="0.2">
      <c r="A108" s="61" t="s">
        <v>696</v>
      </c>
      <c r="B108" t="s">
        <v>591</v>
      </c>
      <c r="C108" t="str">
        <f t="shared" si="8"/>
        <v>education.job</v>
      </c>
      <c r="D108" t="e">
        <f>IFERROR(VLOOKUP(A108,#REF!,1,0),VLOOKUP(C108,#REF!,1,0))</f>
        <v>#REF!</v>
      </c>
      <c r="E108" t="s">
        <v>877</v>
      </c>
      <c r="F108" t="s">
        <v>870</v>
      </c>
      <c r="N108" t="str">
        <f t="shared" si="5"/>
        <v/>
      </c>
      <c r="O108" t="str">
        <f t="shared" si="6"/>
        <v/>
      </c>
      <c r="P108" t="str">
        <f t="shared" si="9"/>
        <v/>
      </c>
    </row>
    <row r="109" spans="1:16" x14ac:dyDescent="0.2">
      <c r="A109" t="s">
        <v>697</v>
      </c>
      <c r="B109" t="s">
        <v>698</v>
      </c>
      <c r="C109" t="str">
        <f t="shared" si="8"/>
        <v>sport.organization_info</v>
      </c>
      <c r="D109" t="e">
        <f>IFERROR(VLOOKUP(A109,#REF!,1,0),VLOOKUP(C109,#REF!,1,0))</f>
        <v>#REF!</v>
      </c>
      <c r="N109" t="str">
        <f t="shared" si="5"/>
        <v/>
      </c>
      <c r="O109" t="str">
        <f t="shared" si="6"/>
        <v/>
      </c>
      <c r="P109" t="str">
        <f t="shared" si="9"/>
        <v/>
      </c>
    </row>
    <row r="110" spans="1:16" x14ac:dyDescent="0.2">
      <c r="A110" t="s">
        <v>590</v>
      </c>
      <c r="B110" t="s">
        <v>637</v>
      </c>
      <c r="C110" t="str">
        <f t="shared" si="8"/>
        <v>subsidy.credits</v>
      </c>
      <c r="D110" t="e">
        <f>IFERROR(VLOOKUP(A110,#REF!,1,0),VLOOKUP(C110,#REF!,1,0))</f>
        <v>#REF!</v>
      </c>
      <c r="N110" t="str">
        <f t="shared" si="5"/>
        <v/>
      </c>
      <c r="O110" t="str">
        <f t="shared" si="6"/>
        <v/>
      </c>
      <c r="P110" t="str">
        <f t="shared" si="9"/>
        <v/>
      </c>
    </row>
    <row r="111" spans="1:16" x14ac:dyDescent="0.2">
      <c r="A111" s="61" t="s">
        <v>699</v>
      </c>
      <c r="B111" t="s">
        <v>637</v>
      </c>
      <c r="C111" t="str">
        <f t="shared" si="8"/>
        <v>subsidy.credits_products</v>
      </c>
      <c r="D111" t="e">
        <f>IFERROR(VLOOKUP(A111,#REF!,1,0),VLOOKUP(C111,#REF!,1,0))</f>
        <v>#REF!</v>
      </c>
      <c r="E111" t="s">
        <v>881</v>
      </c>
      <c r="F111" t="s">
        <v>870</v>
      </c>
      <c r="N111" t="str">
        <f t="shared" si="5"/>
        <v/>
      </c>
      <c r="O111" t="str">
        <f t="shared" si="6"/>
        <v/>
      </c>
      <c r="P111" t="str">
        <f t="shared" si="9"/>
        <v/>
      </c>
    </row>
    <row r="112" spans="1:16" x14ac:dyDescent="0.2">
      <c r="A112" t="s">
        <v>700</v>
      </c>
      <c r="B112" t="s">
        <v>687</v>
      </c>
      <c r="C112" t="str">
        <f t="shared" si="8"/>
        <v>soliq.tax_facture</v>
      </c>
      <c r="D112" t="e">
        <f>IFERROR(VLOOKUP(A112,#REF!,1,0),VLOOKUP(C112,#REF!,1,0))</f>
        <v>#REF!</v>
      </c>
      <c r="N112" t="str">
        <f t="shared" si="5"/>
        <v/>
      </c>
      <c r="O112" t="str">
        <f t="shared" si="6"/>
        <v/>
      </c>
      <c r="P112" t="str">
        <f t="shared" si="9"/>
        <v/>
      </c>
    </row>
    <row r="113" spans="1:16" x14ac:dyDescent="0.2">
      <c r="A113" s="61" t="s">
        <v>701</v>
      </c>
      <c r="B113" t="s">
        <v>687</v>
      </c>
      <c r="C113" t="str">
        <f t="shared" si="8"/>
        <v>soliq.account_yur</v>
      </c>
      <c r="D113" t="e">
        <f>IFERROR(VLOOKUP(A113,#REF!,1,0),VLOOKUP(C113,#REF!,1,0))</f>
        <v>#REF!</v>
      </c>
      <c r="F113" t="s">
        <v>870</v>
      </c>
      <c r="N113" t="str">
        <f t="shared" si="5"/>
        <v/>
      </c>
      <c r="O113" t="str">
        <f t="shared" si="6"/>
        <v/>
      </c>
      <c r="P113" t="str">
        <f t="shared" si="9"/>
        <v/>
      </c>
    </row>
    <row r="114" spans="1:16" x14ac:dyDescent="0.2">
      <c r="A114" s="61" t="s">
        <v>702</v>
      </c>
      <c r="B114" t="s">
        <v>687</v>
      </c>
      <c r="C114" t="str">
        <f t="shared" si="8"/>
        <v>soliq.account_fiz</v>
      </c>
      <c r="D114" t="e">
        <f>IFERROR(VLOOKUP(A114,#REF!,1,0),VLOOKUP(C114,#REF!,1,0))</f>
        <v>#REF!</v>
      </c>
      <c r="F114" t="s">
        <v>870</v>
      </c>
      <c r="N114" t="str">
        <f t="shared" si="5"/>
        <v/>
      </c>
      <c r="O114" t="str">
        <f t="shared" si="6"/>
        <v/>
      </c>
      <c r="P114" t="str">
        <f t="shared" si="9"/>
        <v/>
      </c>
    </row>
    <row r="115" spans="1:16" x14ac:dyDescent="0.2">
      <c r="A115" s="61" t="s">
        <v>703</v>
      </c>
      <c r="B115" t="s">
        <v>612</v>
      </c>
      <c r="C115" t="str">
        <f t="shared" si="8"/>
        <v>public.yagona_reestr</v>
      </c>
      <c r="D115" t="e">
        <f>IFERROR(VLOOKUP(A115,#REF!,1,0),VLOOKUP(C115,#REF!,1,0))</f>
        <v>#REF!</v>
      </c>
      <c r="E115" t="s">
        <v>894</v>
      </c>
      <c r="F115" t="s">
        <v>869</v>
      </c>
      <c r="N115" t="str">
        <f t="shared" si="5"/>
        <v/>
      </c>
      <c r="O115" t="str">
        <f t="shared" si="6"/>
        <v/>
      </c>
      <c r="P115" t="str">
        <f t="shared" si="9"/>
        <v/>
      </c>
    </row>
    <row r="116" spans="1:16" x14ac:dyDescent="0.2">
      <c r="A116" s="61" t="s">
        <v>704</v>
      </c>
      <c r="B116" t="s">
        <v>662</v>
      </c>
      <c r="C116" t="str">
        <f t="shared" si="8"/>
        <v>uzasbo.report_months_last</v>
      </c>
      <c r="D116" t="e">
        <f>IFERROR(VLOOKUP(A116,#REF!,1,0),VLOOKUP(C116,#REF!,1,0))</f>
        <v>#REF!</v>
      </c>
      <c r="E116" t="s">
        <v>895</v>
      </c>
      <c r="F116" t="s">
        <v>870</v>
      </c>
      <c r="N116" t="str">
        <f t="shared" si="5"/>
        <v/>
      </c>
      <c r="O116" t="str">
        <f t="shared" si="6"/>
        <v/>
      </c>
      <c r="P116" t="str">
        <f t="shared" si="9"/>
        <v/>
      </c>
    </row>
    <row r="117" spans="1:16" x14ac:dyDescent="0.2">
      <c r="A117" s="61" t="s">
        <v>705</v>
      </c>
      <c r="B117" t="s">
        <v>687</v>
      </c>
      <c r="C117" t="str">
        <f t="shared" si="8"/>
        <v>soliq.send_tax_worker_last</v>
      </c>
      <c r="D117" t="e">
        <f>IFERROR(VLOOKUP(A117,#REF!,1,0),VLOOKUP(C117,#REF!,1,0))</f>
        <v>#REF!</v>
      </c>
      <c r="F117" t="s">
        <v>870</v>
      </c>
      <c r="N117" t="str">
        <f t="shared" si="5"/>
        <v/>
      </c>
      <c r="O117" t="str">
        <f t="shared" si="6"/>
        <v/>
      </c>
      <c r="P117" t="str">
        <f t="shared" si="9"/>
        <v/>
      </c>
    </row>
    <row r="118" spans="1:16" x14ac:dyDescent="0.2">
      <c r="A118" t="s">
        <v>706</v>
      </c>
      <c r="B118" t="s">
        <v>707</v>
      </c>
      <c r="C118" t="str">
        <f t="shared" si="8"/>
        <v>qurilish.object_loyiha</v>
      </c>
      <c r="D118" t="e">
        <f>IFERROR(VLOOKUP(A118,#REF!,1,0),VLOOKUP(C118,#REF!,1,0))</f>
        <v>#REF!</v>
      </c>
      <c r="N118" t="str">
        <f t="shared" si="5"/>
        <v/>
      </c>
      <c r="O118" t="str">
        <f t="shared" si="6"/>
        <v/>
      </c>
      <c r="P118" t="str">
        <f t="shared" si="9"/>
        <v/>
      </c>
    </row>
    <row r="119" spans="1:16" x14ac:dyDescent="0.2">
      <c r="A119" t="s">
        <v>708</v>
      </c>
      <c r="B119" t="s">
        <v>709</v>
      </c>
      <c r="C119" t="str">
        <f t="shared" si="8"/>
        <v>gaz_elektr.meters</v>
      </c>
      <c r="D119" t="e">
        <f>IFERROR(VLOOKUP(A119,#REF!,1,0),VLOOKUP(C119,#REF!,1,0))</f>
        <v>#REF!</v>
      </c>
      <c r="N119" t="str">
        <f t="shared" si="5"/>
        <v/>
      </c>
      <c r="O119" t="str">
        <f t="shared" si="6"/>
        <v/>
      </c>
      <c r="P119" t="str">
        <f t="shared" si="9"/>
        <v/>
      </c>
    </row>
    <row r="120" spans="1:16" x14ac:dyDescent="0.2">
      <c r="A120" s="61" t="s">
        <v>710</v>
      </c>
      <c r="B120" t="s">
        <v>709</v>
      </c>
      <c r="C120" t="str">
        <f t="shared" si="8"/>
        <v>gaz_elektr.meters_item</v>
      </c>
      <c r="D120" t="e">
        <f>IFERROR(VLOOKUP(A120,#REF!,1,0),VLOOKUP(C120,#REF!,1,0))</f>
        <v>#REF!</v>
      </c>
      <c r="E120" t="s">
        <v>894</v>
      </c>
      <c r="F120" t="s">
        <v>870</v>
      </c>
      <c r="N120" t="str">
        <f t="shared" si="5"/>
        <v/>
      </c>
      <c r="O120" t="str">
        <f t="shared" si="6"/>
        <v/>
      </c>
      <c r="P120" t="str">
        <f t="shared" si="9"/>
        <v/>
      </c>
    </row>
    <row r="121" spans="1:16" x14ac:dyDescent="0.2">
      <c r="A121" s="61" t="s">
        <v>711</v>
      </c>
      <c r="B121" t="s">
        <v>687</v>
      </c>
      <c r="C121" t="str">
        <f t="shared" si="8"/>
        <v>soliq.tax_facture_api</v>
      </c>
      <c r="D121" t="e">
        <f>IFERROR(VLOOKUP(A121,#REF!,1,0),VLOOKUP(C121,#REF!,1,0))</f>
        <v>#REF!</v>
      </c>
      <c r="E121" t="s">
        <v>896</v>
      </c>
      <c r="F121" t="s">
        <v>870</v>
      </c>
      <c r="N121" t="str">
        <f t="shared" si="5"/>
        <v/>
      </c>
      <c r="O121" t="str">
        <f t="shared" si="6"/>
        <v/>
      </c>
      <c r="P121" t="str">
        <f t="shared" si="9"/>
        <v/>
      </c>
    </row>
    <row r="122" spans="1:16" x14ac:dyDescent="0.2">
      <c r="A122" t="s">
        <v>712</v>
      </c>
      <c r="B122" t="s">
        <v>682</v>
      </c>
      <c r="C122" t="str">
        <f t="shared" si="8"/>
        <v>geo_eco.yer_osti_uchastka</v>
      </c>
      <c r="D122" t="e">
        <f>IFERROR(VLOOKUP(A122,#REF!,1,0),VLOOKUP(C122,#REF!,1,0))</f>
        <v>#REF!</v>
      </c>
      <c r="N122" t="str">
        <f t="shared" si="5"/>
        <v/>
      </c>
      <c r="O122" t="str">
        <f t="shared" si="6"/>
        <v/>
      </c>
      <c r="P122" t="str">
        <f t="shared" si="9"/>
        <v/>
      </c>
    </row>
    <row r="123" spans="1:16" x14ac:dyDescent="0.2">
      <c r="A123" t="s">
        <v>713</v>
      </c>
      <c r="B123" t="s">
        <v>707</v>
      </c>
      <c r="C123" t="str">
        <f t="shared" si="8"/>
        <v>qurilish.object_pudrat</v>
      </c>
      <c r="D123" t="e">
        <f>IFERROR(VLOOKUP(A123,#REF!,1,0),VLOOKUP(C123,#REF!,1,0))</f>
        <v>#REF!</v>
      </c>
      <c r="N123" t="str">
        <f t="shared" si="5"/>
        <v/>
      </c>
      <c r="O123" t="str">
        <f t="shared" si="6"/>
        <v/>
      </c>
      <c r="P123" t="str">
        <f t="shared" si="9"/>
        <v/>
      </c>
    </row>
    <row r="124" spans="1:16" x14ac:dyDescent="0.2">
      <c r="A124" t="s">
        <v>714</v>
      </c>
      <c r="B124" t="s">
        <v>707</v>
      </c>
      <c r="C124" t="str">
        <f t="shared" si="8"/>
        <v>qurilish.object_pudrat_data</v>
      </c>
      <c r="D124" t="e">
        <f>IFERROR(VLOOKUP(A124,#REF!,1,0),VLOOKUP(C124,#REF!,1,0))</f>
        <v>#REF!</v>
      </c>
      <c r="N124" t="str">
        <f t="shared" si="5"/>
        <v/>
      </c>
      <c r="O124" t="str">
        <f t="shared" si="6"/>
        <v/>
      </c>
      <c r="P124" t="str">
        <f t="shared" si="9"/>
        <v/>
      </c>
    </row>
    <row r="125" spans="1:16" x14ac:dyDescent="0.2">
      <c r="A125" t="s">
        <v>715</v>
      </c>
      <c r="B125" t="s">
        <v>698</v>
      </c>
      <c r="C125" t="str">
        <f t="shared" si="8"/>
        <v>sport.employee_info</v>
      </c>
      <c r="D125" t="e">
        <f>IFERROR(VLOOKUP(A125,#REF!,1,0),VLOOKUP(C125,#REF!,1,0))</f>
        <v>#REF!</v>
      </c>
      <c r="N125" t="str">
        <f t="shared" si="5"/>
        <v/>
      </c>
      <c r="O125" t="str">
        <f t="shared" si="6"/>
        <v/>
      </c>
      <c r="P125" t="str">
        <f t="shared" si="9"/>
        <v/>
      </c>
    </row>
    <row r="126" spans="1:16" x14ac:dyDescent="0.2">
      <c r="A126" t="s">
        <v>716</v>
      </c>
      <c r="B126" t="s">
        <v>698</v>
      </c>
      <c r="C126" t="str">
        <f t="shared" si="8"/>
        <v>sport.trener_app_qual_category</v>
      </c>
      <c r="D126" t="e">
        <f>IFERROR(VLOOKUP(A126,#REF!,1,0),VLOOKUP(C126,#REF!,1,0))</f>
        <v>#REF!</v>
      </c>
      <c r="N126" t="str">
        <f t="shared" si="5"/>
        <v/>
      </c>
      <c r="O126" t="str">
        <f t="shared" si="6"/>
        <v/>
      </c>
      <c r="P126" t="str">
        <f t="shared" si="9"/>
        <v/>
      </c>
    </row>
    <row r="127" spans="1:16" x14ac:dyDescent="0.2">
      <c r="A127" s="61" t="s">
        <v>717</v>
      </c>
      <c r="B127" t="s">
        <v>709</v>
      </c>
      <c r="C127" t="str">
        <f t="shared" si="8"/>
        <v>gaz_elektr.gaz_consumers</v>
      </c>
      <c r="D127" t="e">
        <f>IFERROR(VLOOKUP(A127,#REF!,1,0),VLOOKUP(C127,#REF!,1,0))</f>
        <v>#REF!</v>
      </c>
      <c r="E127" t="s">
        <v>894</v>
      </c>
      <c r="F127" t="s">
        <v>870</v>
      </c>
      <c r="N127" t="str">
        <f t="shared" si="5"/>
        <v/>
      </c>
      <c r="O127" t="str">
        <f t="shared" si="6"/>
        <v/>
      </c>
      <c r="P127" t="str">
        <f t="shared" si="9"/>
        <v/>
      </c>
    </row>
    <row r="128" spans="1:16" x14ac:dyDescent="0.2">
      <c r="A128" t="s">
        <v>317</v>
      </c>
      <c r="B128" t="s">
        <v>637</v>
      </c>
      <c r="C128" t="str">
        <f t="shared" si="8"/>
        <v>subsidy.public_workers_list</v>
      </c>
      <c r="D128" t="e">
        <f>IFERROR(VLOOKUP(A128,#REF!,1,0),VLOOKUP(C128,#REF!,1,0))</f>
        <v>#REF!</v>
      </c>
      <c r="N128" t="str">
        <f t="shared" si="5"/>
        <v/>
      </c>
      <c r="O128" t="str">
        <f t="shared" si="6"/>
        <v/>
      </c>
      <c r="P128" t="str">
        <f t="shared" si="9"/>
        <v/>
      </c>
    </row>
    <row r="129" spans="1:16" x14ac:dyDescent="0.2">
      <c r="A129" t="s">
        <v>718</v>
      </c>
      <c r="B129" t="s">
        <v>682</v>
      </c>
      <c r="C129" t="str">
        <f t="shared" si="8"/>
        <v>geo_eco.qazilma_hajmi</v>
      </c>
      <c r="D129" t="e">
        <f>IFERROR(VLOOKUP(A129,#REF!,1,0),VLOOKUP(C129,#REF!,1,0))</f>
        <v>#REF!</v>
      </c>
      <c r="N129" t="str">
        <f t="shared" si="5"/>
        <v/>
      </c>
      <c r="O129" t="str">
        <f t="shared" si="6"/>
        <v/>
      </c>
      <c r="P129" t="str">
        <f t="shared" si="9"/>
        <v/>
      </c>
    </row>
    <row r="130" spans="1:16" x14ac:dyDescent="0.2">
      <c r="A130" s="61" t="s">
        <v>719</v>
      </c>
      <c r="B130" t="s">
        <v>591</v>
      </c>
      <c r="C130" t="str">
        <f t="shared" si="8"/>
        <v>education.diplom</v>
      </c>
      <c r="D130" t="e">
        <f>IFERROR(VLOOKUP(A130,#REF!,1,0),VLOOKUP(C130,#REF!,1,0))</f>
        <v>#REF!</v>
      </c>
      <c r="F130" t="s">
        <v>870</v>
      </c>
      <c r="N130" t="str">
        <f t="shared" ref="N130:N193" si="10">IFERROR(VLOOKUP(H130,A:A,1,0),"")</f>
        <v/>
      </c>
      <c r="O130" t="str">
        <f t="shared" ref="O130:O193" si="11">IFERROR(VLOOKUP(H130,C:C,1,0),"")</f>
        <v/>
      </c>
      <c r="P130" t="str">
        <f t="shared" si="9"/>
        <v/>
      </c>
    </row>
    <row r="131" spans="1:16" x14ac:dyDescent="0.2">
      <c r="A131" t="s">
        <v>720</v>
      </c>
      <c r="B131" t="s">
        <v>597</v>
      </c>
      <c r="C131" t="str">
        <f t="shared" si="8"/>
        <v>employement.malakani_baholash_markazi</v>
      </c>
      <c r="D131" t="e">
        <f>IFERROR(VLOOKUP(A131,#REF!,1,0),VLOOKUP(C131,#REF!,1,0))</f>
        <v>#REF!</v>
      </c>
      <c r="N131" t="str">
        <f t="shared" si="10"/>
        <v/>
      </c>
      <c r="O131" t="str">
        <f t="shared" si="11"/>
        <v/>
      </c>
      <c r="P131" t="str">
        <f t="shared" si="9"/>
        <v/>
      </c>
    </row>
    <row r="132" spans="1:16" x14ac:dyDescent="0.2">
      <c r="A132" t="s">
        <v>721</v>
      </c>
      <c r="B132" t="s">
        <v>597</v>
      </c>
      <c r="C132" t="str">
        <f t="shared" si="8"/>
        <v>employement.yaqin_qarindosh</v>
      </c>
      <c r="D132" t="e">
        <f>IFERROR(VLOOKUP(A132,#REF!,1,0),VLOOKUP(C132,#REF!,1,0))</f>
        <v>#REF!</v>
      </c>
      <c r="N132" t="str">
        <f t="shared" si="10"/>
        <v/>
      </c>
      <c r="O132" t="str">
        <f t="shared" si="11"/>
        <v/>
      </c>
      <c r="P132" t="str">
        <f t="shared" si="9"/>
        <v/>
      </c>
    </row>
    <row r="133" spans="1:16" x14ac:dyDescent="0.2">
      <c r="A133" t="s">
        <v>722</v>
      </c>
      <c r="B133" t="s">
        <v>698</v>
      </c>
      <c r="C133" t="str">
        <f t="shared" si="8"/>
        <v>sport.jury_app_qual_category</v>
      </c>
      <c r="D133" t="e">
        <f>IFERROR(VLOOKUP(A133,#REF!,1,0),VLOOKUP(C133,#REF!,1,0))</f>
        <v>#REF!</v>
      </c>
      <c r="N133" t="str">
        <f t="shared" si="10"/>
        <v/>
      </c>
      <c r="O133" t="str">
        <f t="shared" si="11"/>
        <v/>
      </c>
      <c r="P133" t="str">
        <f t="shared" si="9"/>
        <v/>
      </c>
    </row>
    <row r="134" spans="1:16" x14ac:dyDescent="0.2">
      <c r="A134" t="s">
        <v>723</v>
      </c>
      <c r="B134" t="s">
        <v>698</v>
      </c>
      <c r="C134" t="str">
        <f t="shared" si="8"/>
        <v>sport.instructor_app_qual_category</v>
      </c>
      <c r="D134" t="e">
        <f>IFERROR(VLOOKUP(A134,#REF!,1,0),VLOOKUP(C134,#REF!,1,0))</f>
        <v>#REF!</v>
      </c>
      <c r="N134" t="str">
        <f t="shared" si="10"/>
        <v/>
      </c>
      <c r="O134" t="str">
        <f t="shared" si="11"/>
        <v/>
      </c>
      <c r="P134" t="str">
        <f t="shared" si="9"/>
        <v/>
      </c>
    </row>
    <row r="135" spans="1:16" x14ac:dyDescent="0.2">
      <c r="A135" t="s">
        <v>724</v>
      </c>
      <c r="B135" t="s">
        <v>698</v>
      </c>
      <c r="C135" t="str">
        <f t="shared" si="8"/>
        <v>sport.trener_info</v>
      </c>
      <c r="D135" t="e">
        <f>IFERROR(VLOOKUP(A135,#REF!,1,0),VLOOKUP(C135,#REF!,1,0))</f>
        <v>#REF!</v>
      </c>
      <c r="N135" t="str">
        <f t="shared" si="10"/>
        <v/>
      </c>
      <c r="O135" t="str">
        <f t="shared" si="11"/>
        <v/>
      </c>
      <c r="P135" t="str">
        <f t="shared" si="9"/>
        <v/>
      </c>
    </row>
    <row r="136" spans="1:16" x14ac:dyDescent="0.2">
      <c r="A136" t="s">
        <v>725</v>
      </c>
      <c r="B136" t="s">
        <v>726</v>
      </c>
      <c r="C136" t="str">
        <f t="shared" si="8"/>
        <v>birja.e_protocol</v>
      </c>
      <c r="D136" t="e">
        <f>IFERROR(VLOOKUP(A136,#REF!,1,0),VLOOKUP(C136,#REF!,1,0))</f>
        <v>#REF!</v>
      </c>
      <c r="N136" t="str">
        <f t="shared" si="10"/>
        <v/>
      </c>
      <c r="O136" t="str">
        <f t="shared" si="11"/>
        <v/>
      </c>
      <c r="P136" t="str">
        <f t="shared" si="9"/>
        <v/>
      </c>
    </row>
    <row r="137" spans="1:16" x14ac:dyDescent="0.2">
      <c r="A137" t="s">
        <v>727</v>
      </c>
      <c r="B137" t="s">
        <v>682</v>
      </c>
      <c r="C137" t="str">
        <f t="shared" si="8"/>
        <v>geo_eco.yer_osti_suv</v>
      </c>
      <c r="D137" t="e">
        <f>IFERROR(VLOOKUP(A137,#REF!,1,0),VLOOKUP(C137,#REF!,1,0))</f>
        <v>#REF!</v>
      </c>
      <c r="N137" t="str">
        <f t="shared" si="10"/>
        <v/>
      </c>
      <c r="O137" t="str">
        <f t="shared" si="11"/>
        <v/>
      </c>
      <c r="P137" t="str">
        <f t="shared" si="9"/>
        <v/>
      </c>
    </row>
    <row r="138" spans="1:16" x14ac:dyDescent="0.2">
      <c r="A138" t="s">
        <v>728</v>
      </c>
      <c r="B138" t="s">
        <v>707</v>
      </c>
      <c r="C138" t="str">
        <f t="shared" si="8"/>
        <v>qurilish.object_winner_loyiha</v>
      </c>
      <c r="D138" t="e">
        <f>IFERROR(VLOOKUP(A138,#REF!,1,0),VLOOKUP(C138,#REF!,1,0))</f>
        <v>#REF!</v>
      </c>
      <c r="N138" t="str">
        <f t="shared" si="10"/>
        <v/>
      </c>
      <c r="O138" t="str">
        <f t="shared" si="11"/>
        <v/>
      </c>
      <c r="P138" t="str">
        <f t="shared" si="9"/>
        <v/>
      </c>
    </row>
    <row r="139" spans="1:16" x14ac:dyDescent="0.2">
      <c r="A139" t="s">
        <v>729</v>
      </c>
      <c r="B139" t="s">
        <v>707</v>
      </c>
      <c r="C139" t="str">
        <f t="shared" si="8"/>
        <v>qurilish.object_loyiha_ekspertiza</v>
      </c>
      <c r="D139" t="e">
        <f>IFERROR(VLOOKUP(A139,#REF!,1,0),VLOOKUP(C139,#REF!,1,0))</f>
        <v>#REF!</v>
      </c>
      <c r="N139" t="str">
        <f t="shared" si="10"/>
        <v/>
      </c>
      <c r="O139" t="str">
        <f t="shared" si="11"/>
        <v/>
      </c>
      <c r="P139" t="str">
        <f t="shared" si="9"/>
        <v/>
      </c>
    </row>
    <row r="140" spans="1:16" x14ac:dyDescent="0.2">
      <c r="A140" t="s">
        <v>730</v>
      </c>
      <c r="B140" t="s">
        <v>682</v>
      </c>
      <c r="C140" t="str">
        <f t="shared" si="8"/>
        <v>geo_eco.choraklik_hajm</v>
      </c>
      <c r="D140" t="e">
        <f>IFERROR(VLOOKUP(A140,#REF!,1,0),VLOOKUP(C140,#REF!,1,0))</f>
        <v>#REF!</v>
      </c>
      <c r="N140" t="str">
        <f t="shared" si="10"/>
        <v/>
      </c>
      <c r="O140" t="str">
        <f t="shared" si="11"/>
        <v/>
      </c>
      <c r="P140" t="str">
        <f t="shared" si="9"/>
        <v/>
      </c>
    </row>
    <row r="141" spans="1:16" x14ac:dyDescent="0.2">
      <c r="A141" t="s">
        <v>731</v>
      </c>
      <c r="B141" t="s">
        <v>637</v>
      </c>
      <c r="C141" t="str">
        <f t="shared" si="8"/>
        <v>subsidy.kasbga_yun_fuqaro</v>
      </c>
      <c r="D141" t="e">
        <f>IFERROR(VLOOKUP(A141,#REF!,1,0),VLOOKUP(C141,#REF!,1,0))</f>
        <v>#REF!</v>
      </c>
      <c r="N141" t="str">
        <f t="shared" si="10"/>
        <v/>
      </c>
      <c r="O141" t="str">
        <f t="shared" si="11"/>
        <v/>
      </c>
      <c r="P141" t="str">
        <f t="shared" si="9"/>
        <v/>
      </c>
    </row>
    <row r="142" spans="1:16" x14ac:dyDescent="0.2">
      <c r="A142" t="s">
        <v>732</v>
      </c>
      <c r="B142" t="s">
        <v>707</v>
      </c>
      <c r="C142" t="str">
        <f t="shared" si="8"/>
        <v>qurilish.object_winner_pudrat</v>
      </c>
      <c r="D142" t="e">
        <f>IFERROR(VLOOKUP(A142,#REF!,1,0),VLOOKUP(C142,#REF!,1,0))</f>
        <v>#REF!</v>
      </c>
      <c r="N142" t="str">
        <f t="shared" si="10"/>
        <v/>
      </c>
      <c r="O142" t="str">
        <f t="shared" si="11"/>
        <v/>
      </c>
      <c r="P142" t="str">
        <f t="shared" si="9"/>
        <v/>
      </c>
    </row>
    <row r="143" spans="1:16" x14ac:dyDescent="0.2">
      <c r="A143" t="s">
        <v>733</v>
      </c>
      <c r="B143" t="s">
        <v>734</v>
      </c>
      <c r="C143" t="str">
        <f t="shared" si="8"/>
        <v>cooperation.companies</v>
      </c>
      <c r="D143" t="e">
        <f>IFERROR(VLOOKUP(A143,#REF!,1,0),VLOOKUP(C143,#REF!,1,0))</f>
        <v>#REF!</v>
      </c>
      <c r="N143" t="str">
        <f t="shared" si="10"/>
        <v/>
      </c>
      <c r="O143" t="str">
        <f t="shared" si="11"/>
        <v/>
      </c>
      <c r="P143" t="str">
        <f t="shared" si="9"/>
        <v/>
      </c>
    </row>
    <row r="144" spans="1:16" x14ac:dyDescent="0.2">
      <c r="A144" t="s">
        <v>735</v>
      </c>
      <c r="B144" t="s">
        <v>736</v>
      </c>
      <c r="C144" t="str">
        <f t="shared" si="8"/>
        <v>gayi.cars</v>
      </c>
      <c r="D144" t="e">
        <f>IFERROR(VLOOKUP(A144,#REF!,1,0),VLOOKUP(C144,#REF!,1,0))</f>
        <v>#REF!</v>
      </c>
      <c r="N144" t="str">
        <f t="shared" si="10"/>
        <v/>
      </c>
      <c r="O144" t="str">
        <f t="shared" si="11"/>
        <v/>
      </c>
      <c r="P144" t="str">
        <f t="shared" si="9"/>
        <v/>
      </c>
    </row>
    <row r="145" spans="1:16" x14ac:dyDescent="0.2">
      <c r="A145" t="s">
        <v>737</v>
      </c>
      <c r="B145" t="s">
        <v>738</v>
      </c>
      <c r="C145" t="str">
        <f t="shared" si="8"/>
        <v>shaffof.organization</v>
      </c>
      <c r="D145" t="e">
        <f>IFERROR(VLOOKUP(A145,#REF!,1,0),VLOOKUP(C145,#REF!,1,0))</f>
        <v>#REF!</v>
      </c>
      <c r="N145" t="str">
        <f t="shared" si="10"/>
        <v/>
      </c>
      <c r="O145" t="str">
        <f t="shared" si="11"/>
        <v/>
      </c>
      <c r="P145" t="str">
        <f t="shared" si="9"/>
        <v/>
      </c>
    </row>
    <row r="146" spans="1:16" x14ac:dyDescent="0.2">
      <c r="A146" s="61" t="s">
        <v>739</v>
      </c>
      <c r="B146" t="s">
        <v>612</v>
      </c>
      <c r="C146" t="str">
        <f t="shared" si="8"/>
        <v>public.ijara_contracts</v>
      </c>
      <c r="D146" t="e">
        <f>IFERROR(VLOOKUP(A146,#REF!,1,0),VLOOKUP(C146,#REF!,1,0))</f>
        <v>#REF!</v>
      </c>
      <c r="F146" t="s">
        <v>870</v>
      </c>
      <c r="N146" t="str">
        <f t="shared" si="10"/>
        <v/>
      </c>
      <c r="O146" t="str">
        <f t="shared" si="11"/>
        <v/>
      </c>
      <c r="P146" t="str">
        <f t="shared" si="9"/>
        <v/>
      </c>
    </row>
    <row r="147" spans="1:16" x14ac:dyDescent="0.2">
      <c r="A147" t="s">
        <v>740</v>
      </c>
      <c r="B147" t="s">
        <v>738</v>
      </c>
      <c r="C147" t="str">
        <f t="shared" si="8"/>
        <v>shaffof.mehnat_vazirligi</v>
      </c>
      <c r="D147" t="e">
        <f>IFERROR(VLOOKUP(A147,#REF!,1,0),VLOOKUP(C147,#REF!,1,0))</f>
        <v>#REF!</v>
      </c>
      <c r="N147" t="str">
        <f t="shared" si="10"/>
        <v/>
      </c>
      <c r="O147" t="str">
        <f t="shared" si="11"/>
        <v/>
      </c>
      <c r="P147" t="str">
        <f t="shared" si="9"/>
        <v/>
      </c>
    </row>
    <row r="148" spans="1:16" x14ac:dyDescent="0.2">
      <c r="A148" t="s">
        <v>741</v>
      </c>
      <c r="B148" t="s">
        <v>597</v>
      </c>
      <c r="C148" t="str">
        <f t="shared" si="8"/>
        <v>employement.personal_info</v>
      </c>
      <c r="D148" t="e">
        <f>IFERROR(VLOOKUP(A148,#REF!,1,0),VLOOKUP(C148,#REF!,1,0))</f>
        <v>#REF!</v>
      </c>
      <c r="N148" t="str">
        <f t="shared" si="10"/>
        <v/>
      </c>
      <c r="O148" t="str">
        <f t="shared" si="11"/>
        <v/>
      </c>
      <c r="P148" t="str">
        <f t="shared" si="9"/>
        <v/>
      </c>
    </row>
    <row r="149" spans="1:16" x14ac:dyDescent="0.2">
      <c r="A149" t="s">
        <v>742</v>
      </c>
      <c r="B149" t="s">
        <v>736</v>
      </c>
      <c r="C149" t="str">
        <f t="shared" si="8"/>
        <v>gayi.haydovchilik_guvohnomasi</v>
      </c>
      <c r="D149" t="e">
        <f>IFERROR(VLOOKUP(A149,#REF!,1,0),VLOOKUP(C149,#REF!,1,0))</f>
        <v>#REF!</v>
      </c>
      <c r="N149" t="str">
        <f t="shared" si="10"/>
        <v/>
      </c>
      <c r="O149" t="str">
        <f t="shared" si="11"/>
        <v/>
      </c>
      <c r="P149" t="str">
        <f t="shared" si="9"/>
        <v/>
      </c>
    </row>
    <row r="150" spans="1:16" x14ac:dyDescent="0.2">
      <c r="A150" s="61" t="s">
        <v>743</v>
      </c>
      <c r="B150" t="s">
        <v>734</v>
      </c>
      <c r="C150" t="str">
        <f t="shared" si="8"/>
        <v>cooperation.old_data</v>
      </c>
      <c r="D150" t="e">
        <f>IFERROR(VLOOKUP(A150,#REF!,1,0),VLOOKUP(C150,#REF!,1,0))</f>
        <v>#REF!</v>
      </c>
      <c r="F150" t="s">
        <v>870</v>
      </c>
      <c r="N150" t="str">
        <f t="shared" si="10"/>
        <v/>
      </c>
      <c r="O150" t="str">
        <f t="shared" si="11"/>
        <v/>
      </c>
      <c r="P150" t="str">
        <f t="shared" si="9"/>
        <v/>
      </c>
    </row>
    <row r="151" spans="1:16" x14ac:dyDescent="0.2">
      <c r="A151" s="61" t="s">
        <v>744</v>
      </c>
      <c r="B151" t="s">
        <v>707</v>
      </c>
      <c r="C151" t="str">
        <f t="shared" si="8"/>
        <v>qurilish.pudrat_done_work</v>
      </c>
      <c r="D151" t="e">
        <f>IFERROR(VLOOKUP(A151,#REF!,1,0),VLOOKUP(C151,#REF!,1,0))</f>
        <v>#REF!</v>
      </c>
      <c r="F151" t="s">
        <v>870</v>
      </c>
      <c r="N151" t="str">
        <f t="shared" si="10"/>
        <v/>
      </c>
      <c r="O151" t="str">
        <f t="shared" si="11"/>
        <v/>
      </c>
      <c r="P151" t="str">
        <f t="shared" si="9"/>
        <v/>
      </c>
    </row>
    <row r="152" spans="1:16" x14ac:dyDescent="0.2">
      <c r="A152" t="s">
        <v>745</v>
      </c>
      <c r="B152" t="s">
        <v>597</v>
      </c>
      <c r="C152" t="str">
        <f t="shared" si="8"/>
        <v>employement.hunarmand</v>
      </c>
      <c r="D152" t="e">
        <f>IFERROR(VLOOKUP(A152,#REF!,1,0),VLOOKUP(C152,#REF!,1,0))</f>
        <v>#REF!</v>
      </c>
      <c r="N152" t="str">
        <f t="shared" si="10"/>
        <v/>
      </c>
      <c r="O152" t="str">
        <f t="shared" si="11"/>
        <v/>
      </c>
      <c r="P152" t="str">
        <f t="shared" si="9"/>
        <v/>
      </c>
    </row>
    <row r="153" spans="1:16" x14ac:dyDescent="0.2">
      <c r="A153" t="s">
        <v>746</v>
      </c>
      <c r="B153" t="s">
        <v>707</v>
      </c>
      <c r="C153" t="str">
        <f t="shared" si="8"/>
        <v>qurilish.object_gasn_data</v>
      </c>
      <c r="D153" t="e">
        <f>IFERROR(VLOOKUP(A153,#REF!,1,0),VLOOKUP(C153,#REF!,1,0))</f>
        <v>#REF!</v>
      </c>
      <c r="N153" t="str">
        <f t="shared" si="10"/>
        <v/>
      </c>
      <c r="O153" t="str">
        <f t="shared" si="11"/>
        <v/>
      </c>
      <c r="P153" t="str">
        <f t="shared" si="9"/>
        <v/>
      </c>
    </row>
    <row r="154" spans="1:16" x14ac:dyDescent="0.2">
      <c r="A154" t="s">
        <v>747</v>
      </c>
      <c r="B154" t="s">
        <v>738</v>
      </c>
      <c r="C154" t="str">
        <f t="shared" si="8"/>
        <v>shaffof.agrosanoat_data</v>
      </c>
      <c r="D154" t="e">
        <f>IFERROR(VLOOKUP(A154,#REF!,1,0),VLOOKUP(C154,#REF!,1,0))</f>
        <v>#REF!</v>
      </c>
      <c r="N154" t="str">
        <f t="shared" si="10"/>
        <v/>
      </c>
      <c r="O154" t="str">
        <f t="shared" si="11"/>
        <v/>
      </c>
      <c r="P154" t="str">
        <f t="shared" si="9"/>
        <v/>
      </c>
    </row>
    <row r="155" spans="1:16" x14ac:dyDescent="0.2">
      <c r="A155" t="s">
        <v>748</v>
      </c>
      <c r="B155" t="s">
        <v>726</v>
      </c>
      <c r="C155" t="str">
        <f t="shared" ref="C155:C186" si="12">B155&amp;"."&amp;A155</f>
        <v>birja.xt_tender_selection</v>
      </c>
      <c r="D155" t="e">
        <f>IFERROR(VLOOKUP(A155,#REF!,1,0),VLOOKUP(C155,#REF!,1,0))</f>
        <v>#REF!</v>
      </c>
      <c r="N155" t="str">
        <f t="shared" si="10"/>
        <v/>
      </c>
      <c r="O155" t="str">
        <f t="shared" si="11"/>
        <v/>
      </c>
      <c r="P155" t="str">
        <f t="shared" si="9"/>
        <v/>
      </c>
    </row>
    <row r="156" spans="1:16" x14ac:dyDescent="0.2">
      <c r="A156" s="61" t="s">
        <v>749</v>
      </c>
      <c r="B156" t="s">
        <v>726</v>
      </c>
      <c r="C156" t="str">
        <f t="shared" si="12"/>
        <v>birja.xt_tender_product</v>
      </c>
      <c r="D156" t="e">
        <f>IFERROR(VLOOKUP(A156,#REF!,1,0),VLOOKUP(C156,#REF!,1,0))</f>
        <v>#REF!</v>
      </c>
      <c r="F156" t="s">
        <v>870</v>
      </c>
      <c r="N156" t="str">
        <f t="shared" si="10"/>
        <v/>
      </c>
      <c r="O156" t="str">
        <f t="shared" si="11"/>
        <v/>
      </c>
      <c r="P156" t="str">
        <f t="shared" ref="P156:P187" si="13">N156&amp;O156</f>
        <v/>
      </c>
    </row>
    <row r="157" spans="1:16" x14ac:dyDescent="0.2">
      <c r="A157" s="61" t="s">
        <v>750</v>
      </c>
      <c r="B157" t="s">
        <v>591</v>
      </c>
      <c r="C157" t="str">
        <f t="shared" si="12"/>
        <v>education.contract</v>
      </c>
      <c r="D157" t="e">
        <f>IFERROR(VLOOKUP(A157,#REF!,1,0),VLOOKUP(C157,#REF!,1,0))</f>
        <v>#REF!</v>
      </c>
      <c r="F157" t="s">
        <v>870</v>
      </c>
      <c r="N157" t="str">
        <f t="shared" si="10"/>
        <v/>
      </c>
      <c r="O157" t="str">
        <f t="shared" si="11"/>
        <v/>
      </c>
      <c r="P157" t="str">
        <f t="shared" si="13"/>
        <v/>
      </c>
    </row>
    <row r="158" spans="1:16" x14ac:dyDescent="0.2">
      <c r="A158" s="61" t="s">
        <v>751</v>
      </c>
      <c r="B158" t="s">
        <v>726</v>
      </c>
      <c r="C158" t="str">
        <f t="shared" si="12"/>
        <v>birja.xt_tender_participants</v>
      </c>
      <c r="D158" t="e">
        <f>IFERROR(VLOOKUP(A158,#REF!,1,0),VLOOKUP(C158,#REF!,1,0))</f>
        <v>#REF!</v>
      </c>
      <c r="F158" t="s">
        <v>870</v>
      </c>
      <c r="N158" t="str">
        <f t="shared" si="10"/>
        <v/>
      </c>
      <c r="O158" t="str">
        <f t="shared" si="11"/>
        <v/>
      </c>
      <c r="P158" t="str">
        <f t="shared" si="13"/>
        <v/>
      </c>
    </row>
    <row r="159" spans="1:16" x14ac:dyDescent="0.2">
      <c r="A159" s="61" t="s">
        <v>752</v>
      </c>
      <c r="B159" t="s">
        <v>709</v>
      </c>
      <c r="C159" t="str">
        <f t="shared" si="12"/>
        <v>gaz_elektr.gaz_main_data</v>
      </c>
      <c r="D159" t="e">
        <f>IFERROR(VLOOKUP(A159,#REF!,1,0),VLOOKUP(C159,#REF!,1,0))</f>
        <v>#REF!</v>
      </c>
      <c r="F159" t="s">
        <v>870</v>
      </c>
      <c r="N159" t="str">
        <f t="shared" si="10"/>
        <v/>
      </c>
      <c r="O159" t="str">
        <f t="shared" si="11"/>
        <v/>
      </c>
      <c r="P159" t="str">
        <f t="shared" si="13"/>
        <v/>
      </c>
    </row>
    <row r="160" spans="1:16" x14ac:dyDescent="0.2">
      <c r="A160" t="s">
        <v>753</v>
      </c>
      <c r="B160" t="s">
        <v>738</v>
      </c>
      <c r="C160" t="str">
        <f t="shared" si="12"/>
        <v>shaffof.sanoat_xavfsizligi</v>
      </c>
      <c r="D160" t="e">
        <f>IFERROR(VLOOKUP(A160,#REF!,1,0),VLOOKUP(C160,#REF!,1,0))</f>
        <v>#REF!</v>
      </c>
      <c r="N160" t="str">
        <f t="shared" si="10"/>
        <v/>
      </c>
      <c r="O160" t="str">
        <f t="shared" si="11"/>
        <v/>
      </c>
      <c r="P160" t="str">
        <f t="shared" si="13"/>
        <v/>
      </c>
    </row>
    <row r="161" spans="1:16" x14ac:dyDescent="0.2">
      <c r="A161" s="61" t="s">
        <v>754</v>
      </c>
      <c r="B161" t="s">
        <v>591</v>
      </c>
      <c r="C161" t="str">
        <f t="shared" si="12"/>
        <v>education.student_nach</v>
      </c>
      <c r="D161" t="e">
        <f>IFERROR(VLOOKUP(A161,#REF!,1,0),VLOOKUP(C161,#REF!,1,0))</f>
        <v>#REF!</v>
      </c>
      <c r="F161" t="s">
        <v>870</v>
      </c>
      <c r="N161" t="str">
        <f t="shared" si="10"/>
        <v/>
      </c>
      <c r="O161" t="str">
        <f t="shared" si="11"/>
        <v/>
      </c>
      <c r="P161" t="str">
        <f t="shared" si="13"/>
        <v/>
      </c>
    </row>
    <row r="162" spans="1:16" x14ac:dyDescent="0.2">
      <c r="A162" t="s">
        <v>755</v>
      </c>
      <c r="B162" t="s">
        <v>756</v>
      </c>
      <c r="C162" t="str">
        <f t="shared" si="12"/>
        <v>qishloq_xojaligi.e_ijara</v>
      </c>
      <c r="D162" t="e">
        <f>IFERROR(VLOOKUP(A162,#REF!,1,0),VLOOKUP(C162,#REF!,1,0))</f>
        <v>#REF!</v>
      </c>
      <c r="N162" t="str">
        <f t="shared" si="10"/>
        <v/>
      </c>
      <c r="O162" t="str">
        <f t="shared" si="11"/>
        <v/>
      </c>
      <c r="P162" t="str">
        <f t="shared" si="13"/>
        <v/>
      </c>
    </row>
    <row r="163" spans="1:16" x14ac:dyDescent="0.2">
      <c r="A163" s="61" t="s">
        <v>757</v>
      </c>
      <c r="B163" t="s">
        <v>687</v>
      </c>
      <c r="C163" t="str">
        <f t="shared" si="12"/>
        <v>soliq.tax_worker</v>
      </c>
      <c r="D163" t="e">
        <f>IFERROR(VLOOKUP(A163,#REF!,1,0),VLOOKUP(C163,#REF!,1,0))</f>
        <v>#REF!</v>
      </c>
      <c r="F163" t="s">
        <v>870</v>
      </c>
      <c r="N163" t="str">
        <f t="shared" si="10"/>
        <v/>
      </c>
      <c r="O163" t="str">
        <f t="shared" si="11"/>
        <v/>
      </c>
      <c r="P163" t="str">
        <f t="shared" si="13"/>
        <v/>
      </c>
    </row>
    <row r="164" spans="1:16" x14ac:dyDescent="0.2">
      <c r="A164" t="s">
        <v>758</v>
      </c>
      <c r="B164" t="s">
        <v>738</v>
      </c>
      <c r="C164" t="str">
        <f t="shared" si="12"/>
        <v>shaffof.ichki_ishlar_yol</v>
      </c>
      <c r="D164" t="e">
        <f>IFERROR(VLOOKUP(A164,#REF!,1,0),VLOOKUP(C164,#REF!,1,0))</f>
        <v>#REF!</v>
      </c>
      <c r="N164" t="str">
        <f t="shared" si="10"/>
        <v/>
      </c>
      <c r="O164" t="str">
        <f t="shared" si="11"/>
        <v/>
      </c>
      <c r="P164" t="str">
        <f t="shared" si="13"/>
        <v/>
      </c>
    </row>
    <row r="165" spans="1:16" x14ac:dyDescent="0.2">
      <c r="A165" s="61" t="s">
        <v>759</v>
      </c>
      <c r="B165" t="s">
        <v>687</v>
      </c>
      <c r="C165" t="str">
        <f t="shared" si="12"/>
        <v>soliq.tax_report_api</v>
      </c>
      <c r="D165" t="e">
        <f>IFERROR(VLOOKUP(A165,#REF!,1,0),VLOOKUP(C165,#REF!,1,0))</f>
        <v>#REF!</v>
      </c>
      <c r="F165" t="s">
        <v>870</v>
      </c>
      <c r="N165" t="str">
        <f t="shared" si="10"/>
        <v/>
      </c>
      <c r="O165" t="str">
        <f t="shared" si="11"/>
        <v/>
      </c>
      <c r="P165" t="str">
        <f t="shared" si="13"/>
        <v/>
      </c>
    </row>
    <row r="166" spans="1:16" x14ac:dyDescent="0.2">
      <c r="A166" s="61" t="s">
        <v>760</v>
      </c>
      <c r="B166" t="s">
        <v>650</v>
      </c>
      <c r="C166" t="str">
        <f t="shared" si="12"/>
        <v>tax.tax_region_sp</v>
      </c>
      <c r="D166" t="e">
        <f>IFERROR(VLOOKUP(A166,#REF!,1,0),VLOOKUP(C166,#REF!,1,0))</f>
        <v>#REF!</v>
      </c>
      <c r="E166" t="s">
        <v>894</v>
      </c>
      <c r="F166" t="s">
        <v>869</v>
      </c>
      <c r="N166" t="str">
        <f t="shared" si="10"/>
        <v/>
      </c>
      <c r="O166" t="str">
        <f t="shared" si="11"/>
        <v/>
      </c>
      <c r="P166" t="str">
        <f t="shared" si="13"/>
        <v/>
      </c>
    </row>
    <row r="167" spans="1:16" x14ac:dyDescent="0.2">
      <c r="A167" t="s">
        <v>761</v>
      </c>
      <c r="B167" t="s">
        <v>597</v>
      </c>
      <c r="C167" t="str">
        <f t="shared" si="12"/>
        <v>employement.hunarmand_shogird</v>
      </c>
      <c r="D167" t="e">
        <f>IFERROR(VLOOKUP(A167,#REF!,1,0),VLOOKUP(C167,#REF!,1,0))</f>
        <v>#REF!</v>
      </c>
      <c r="N167" t="str">
        <f t="shared" si="10"/>
        <v/>
      </c>
      <c r="O167" t="str">
        <f t="shared" si="11"/>
        <v/>
      </c>
      <c r="P167" t="str">
        <f t="shared" si="13"/>
        <v/>
      </c>
    </row>
    <row r="168" spans="1:16" x14ac:dyDescent="0.2">
      <c r="A168" t="s">
        <v>762</v>
      </c>
      <c r="B168" t="s">
        <v>738</v>
      </c>
      <c r="C168" t="str">
        <f t="shared" si="12"/>
        <v>shaffof.organization_detail</v>
      </c>
      <c r="D168" t="e">
        <f>IFERROR(VLOOKUP(A168,#REF!,1,0),VLOOKUP(C168,#REF!,1,0))</f>
        <v>#REF!</v>
      </c>
      <c r="N168" t="str">
        <f t="shared" si="10"/>
        <v/>
      </c>
      <c r="O168" t="str">
        <f t="shared" si="11"/>
        <v/>
      </c>
      <c r="P168" t="str">
        <f t="shared" si="13"/>
        <v/>
      </c>
    </row>
    <row r="169" spans="1:16" x14ac:dyDescent="0.2">
      <c r="A169" t="s">
        <v>750</v>
      </c>
      <c r="B169" t="s">
        <v>734</v>
      </c>
      <c r="C169" t="str">
        <f t="shared" si="12"/>
        <v>cooperation.contract</v>
      </c>
      <c r="D169" t="e">
        <f>IFERROR(VLOOKUP(A169,#REF!,1,0),VLOOKUP(C169,#REF!,1,0))</f>
        <v>#REF!</v>
      </c>
      <c r="N169" t="str">
        <f t="shared" si="10"/>
        <v/>
      </c>
      <c r="O169" t="str">
        <f t="shared" si="11"/>
        <v/>
      </c>
      <c r="P169" t="str">
        <f t="shared" si="13"/>
        <v/>
      </c>
    </row>
    <row r="170" spans="1:16" x14ac:dyDescent="0.2">
      <c r="A170" t="s">
        <v>663</v>
      </c>
      <c r="B170" t="s">
        <v>687</v>
      </c>
      <c r="C170" t="str">
        <f t="shared" si="12"/>
        <v>soliq.tax_report</v>
      </c>
      <c r="D170" t="e">
        <f>IFERROR(VLOOKUP(A170,#REF!,1,0),VLOOKUP(C170,#REF!,1,0))</f>
        <v>#REF!</v>
      </c>
      <c r="N170" t="str">
        <f t="shared" si="10"/>
        <v/>
      </c>
      <c r="O170" t="str">
        <f t="shared" si="11"/>
        <v/>
      </c>
      <c r="P170" t="str">
        <f t="shared" si="13"/>
        <v/>
      </c>
    </row>
    <row r="171" spans="1:16" x14ac:dyDescent="0.2">
      <c r="A171" s="61" t="s">
        <v>763</v>
      </c>
      <c r="B171" t="s">
        <v>662</v>
      </c>
      <c r="C171" t="str">
        <f t="shared" si="12"/>
        <v>uzasbo.sp_budgets</v>
      </c>
      <c r="D171" t="e">
        <f>IFERROR(VLOOKUP(A171,#REF!,1,0),VLOOKUP(C171,#REF!,1,0))</f>
        <v>#REF!</v>
      </c>
      <c r="E171" t="s">
        <v>894</v>
      </c>
      <c r="F171" t="s">
        <v>869</v>
      </c>
      <c r="N171" t="str">
        <f t="shared" si="10"/>
        <v/>
      </c>
      <c r="O171" t="str">
        <f t="shared" si="11"/>
        <v/>
      </c>
      <c r="P171" t="str">
        <f t="shared" si="13"/>
        <v/>
      </c>
    </row>
    <row r="172" spans="1:16" x14ac:dyDescent="0.2">
      <c r="A172" s="61" t="s">
        <v>764</v>
      </c>
      <c r="B172" t="s">
        <v>726</v>
      </c>
      <c r="C172" t="str">
        <f t="shared" si="12"/>
        <v>birja.trade_products</v>
      </c>
      <c r="D172" t="e">
        <f>IFERROR(VLOOKUP(A172,#REF!,1,0),VLOOKUP(C172,#REF!,1,0))</f>
        <v>#REF!</v>
      </c>
      <c r="F172" t="s">
        <v>870</v>
      </c>
      <c r="N172" t="str">
        <f t="shared" si="10"/>
        <v/>
      </c>
      <c r="O172" t="str">
        <f t="shared" si="11"/>
        <v/>
      </c>
      <c r="P172" t="str">
        <f t="shared" si="13"/>
        <v/>
      </c>
    </row>
    <row r="173" spans="1:16" x14ac:dyDescent="0.2">
      <c r="A173" s="61" t="s">
        <v>765</v>
      </c>
      <c r="B173" t="s">
        <v>660</v>
      </c>
      <c r="C173" t="str">
        <f t="shared" si="12"/>
        <v>temp.poisk_01</v>
      </c>
      <c r="D173" t="e">
        <f>IFERROR(VLOOKUP(A173,#REF!,1,0),VLOOKUP(C173,#REF!,1,0))</f>
        <v>#REF!</v>
      </c>
      <c r="E173" t="s">
        <v>894</v>
      </c>
      <c r="F173" t="s">
        <v>869</v>
      </c>
      <c r="N173" t="str">
        <f t="shared" si="10"/>
        <v/>
      </c>
      <c r="O173" t="str">
        <f t="shared" si="11"/>
        <v/>
      </c>
      <c r="P173" t="str">
        <f t="shared" si="13"/>
        <v/>
      </c>
    </row>
    <row r="174" spans="1:16" x14ac:dyDescent="0.2">
      <c r="A174" t="s">
        <v>766</v>
      </c>
      <c r="B174" t="s">
        <v>726</v>
      </c>
      <c r="C174" t="str">
        <f t="shared" si="12"/>
        <v>birja.xt_agreement_members</v>
      </c>
      <c r="D174" t="e">
        <f>IFERROR(VLOOKUP(A174,#REF!,1,0),VLOOKUP(C174,#REF!,1,0))</f>
        <v>#REF!</v>
      </c>
      <c r="N174" t="str">
        <f t="shared" si="10"/>
        <v/>
      </c>
      <c r="O174" t="str">
        <f t="shared" si="11"/>
        <v/>
      </c>
      <c r="P174" t="str">
        <f t="shared" si="13"/>
        <v/>
      </c>
    </row>
    <row r="175" spans="1:16" x14ac:dyDescent="0.2">
      <c r="A175" t="s">
        <v>767</v>
      </c>
      <c r="B175" t="s">
        <v>726</v>
      </c>
      <c r="C175" t="str">
        <f t="shared" si="12"/>
        <v>birja.trades</v>
      </c>
      <c r="D175" t="e">
        <f>IFERROR(VLOOKUP(A175,#REF!,1,0),VLOOKUP(C175,#REF!,1,0))</f>
        <v>#REF!</v>
      </c>
      <c r="N175" t="str">
        <f t="shared" si="10"/>
        <v/>
      </c>
      <c r="O175" t="str">
        <f t="shared" si="11"/>
        <v/>
      </c>
      <c r="P175" t="str">
        <f t="shared" si="13"/>
        <v/>
      </c>
    </row>
    <row r="176" spans="1:16" x14ac:dyDescent="0.2">
      <c r="A176" t="s">
        <v>768</v>
      </c>
      <c r="B176" t="s">
        <v>726</v>
      </c>
      <c r="C176" t="str">
        <f t="shared" si="12"/>
        <v>birja.directs</v>
      </c>
      <c r="D176" t="e">
        <f>IFERROR(VLOOKUP(A176,#REF!,1,0),VLOOKUP(C176,#REF!,1,0))</f>
        <v>#REF!</v>
      </c>
      <c r="N176" t="str">
        <f t="shared" si="10"/>
        <v/>
      </c>
      <c r="O176" t="str">
        <f t="shared" si="11"/>
        <v/>
      </c>
      <c r="P176" t="str">
        <f t="shared" si="13"/>
        <v/>
      </c>
    </row>
    <row r="177" spans="1:16" x14ac:dyDescent="0.2">
      <c r="A177" s="61" t="s">
        <v>769</v>
      </c>
      <c r="B177" t="s">
        <v>726</v>
      </c>
      <c r="C177" t="str">
        <f t="shared" si="12"/>
        <v>birja.directs_products</v>
      </c>
      <c r="D177" t="e">
        <f>IFERROR(VLOOKUP(A177,#REF!,1,0),VLOOKUP(C177,#REF!,1,0))</f>
        <v>#REF!</v>
      </c>
      <c r="F177" t="s">
        <v>870</v>
      </c>
      <c r="N177" t="str">
        <f t="shared" si="10"/>
        <v/>
      </c>
      <c r="O177" t="str">
        <f t="shared" si="11"/>
        <v/>
      </c>
      <c r="P177" t="str">
        <f t="shared" si="13"/>
        <v/>
      </c>
    </row>
    <row r="178" spans="1:16" x14ac:dyDescent="0.2">
      <c r="A178" s="61" t="s">
        <v>770</v>
      </c>
      <c r="B178" t="s">
        <v>709</v>
      </c>
      <c r="C178" t="str">
        <f t="shared" si="12"/>
        <v>gaz_elektr.tuman_code</v>
      </c>
      <c r="D178" t="e">
        <f>IFERROR(VLOOKUP(A178,#REF!,1,0),VLOOKUP(C178,#REF!,1,0))</f>
        <v>#REF!</v>
      </c>
      <c r="E178" t="s">
        <v>894</v>
      </c>
      <c r="F178" t="s">
        <v>870</v>
      </c>
      <c r="N178" t="str">
        <f t="shared" si="10"/>
        <v/>
      </c>
      <c r="O178" t="str">
        <f t="shared" si="11"/>
        <v/>
      </c>
      <c r="P178" t="str">
        <f t="shared" si="13"/>
        <v/>
      </c>
    </row>
    <row r="179" spans="1:16" x14ac:dyDescent="0.2">
      <c r="A179" s="61" t="s">
        <v>771</v>
      </c>
      <c r="B179" t="s">
        <v>734</v>
      </c>
      <c r="C179" t="str">
        <f t="shared" si="12"/>
        <v>cooperation.region_delivery</v>
      </c>
      <c r="D179" t="e">
        <f>IFERROR(VLOOKUP(A179,#REF!,1,0),VLOOKUP(C179,#REF!,1,0))</f>
        <v>#REF!</v>
      </c>
      <c r="F179" t="s">
        <v>870</v>
      </c>
      <c r="N179" t="str">
        <f t="shared" si="10"/>
        <v/>
      </c>
      <c r="O179" t="str">
        <f t="shared" si="11"/>
        <v/>
      </c>
      <c r="P179" t="str">
        <f t="shared" si="13"/>
        <v/>
      </c>
    </row>
    <row r="180" spans="1:16" x14ac:dyDescent="0.2">
      <c r="A180" s="61" t="s">
        <v>772</v>
      </c>
      <c r="B180" t="s">
        <v>734</v>
      </c>
      <c r="C180" t="str">
        <f t="shared" si="12"/>
        <v>cooperation.import_unlock</v>
      </c>
      <c r="D180" t="e">
        <f>IFERROR(VLOOKUP(A180,#REF!,1,0),VLOOKUP(C180,#REF!,1,0))</f>
        <v>#REF!</v>
      </c>
      <c r="F180" t="s">
        <v>870</v>
      </c>
      <c r="N180" t="str">
        <f t="shared" si="10"/>
        <v/>
      </c>
      <c r="O180" t="str">
        <f t="shared" si="11"/>
        <v/>
      </c>
      <c r="P180" t="str">
        <f t="shared" si="13"/>
        <v/>
      </c>
    </row>
    <row r="181" spans="1:16" x14ac:dyDescent="0.2">
      <c r="A181" t="s">
        <v>773</v>
      </c>
      <c r="B181" t="s">
        <v>734</v>
      </c>
      <c r="C181" t="str">
        <f t="shared" si="12"/>
        <v>cooperation.product</v>
      </c>
      <c r="D181" t="e">
        <f>IFERROR(VLOOKUP(A181,#REF!,1,0),VLOOKUP(C181,#REF!,1,0))</f>
        <v>#REF!</v>
      </c>
      <c r="N181" t="str">
        <f t="shared" si="10"/>
        <v/>
      </c>
      <c r="O181" t="str">
        <f t="shared" si="11"/>
        <v/>
      </c>
      <c r="P181" t="str">
        <f t="shared" si="13"/>
        <v/>
      </c>
    </row>
    <row r="182" spans="1:16" x14ac:dyDescent="0.2">
      <c r="A182" s="61" t="s">
        <v>774</v>
      </c>
      <c r="B182" t="s">
        <v>650</v>
      </c>
      <c r="C182" t="str">
        <f t="shared" si="12"/>
        <v>tax.org_info_stat</v>
      </c>
      <c r="D182" t="e">
        <f>IFERROR(VLOOKUP(A182,#REF!,1,0),VLOOKUP(C182,#REF!,1,0))</f>
        <v>#REF!</v>
      </c>
      <c r="E182" t="s">
        <v>897</v>
      </c>
      <c r="F182" t="s">
        <v>870</v>
      </c>
      <c r="G182" t="s">
        <v>900</v>
      </c>
      <c r="N182" t="str">
        <f t="shared" si="10"/>
        <v/>
      </c>
      <c r="O182" t="str">
        <f t="shared" si="11"/>
        <v/>
      </c>
      <c r="P182" t="str">
        <f t="shared" si="13"/>
        <v/>
      </c>
    </row>
    <row r="183" spans="1:16" x14ac:dyDescent="0.2">
      <c r="A183" t="s">
        <v>775</v>
      </c>
      <c r="B183" t="s">
        <v>597</v>
      </c>
      <c r="C183" t="str">
        <f t="shared" si="12"/>
        <v>employement.turists</v>
      </c>
      <c r="D183" t="e">
        <f>IFERROR(VLOOKUP(A183,#REF!,1,0),VLOOKUP(C183,#REF!,1,0))</f>
        <v>#REF!</v>
      </c>
      <c r="N183" t="str">
        <f t="shared" si="10"/>
        <v/>
      </c>
      <c r="O183" t="str">
        <f t="shared" si="11"/>
        <v/>
      </c>
      <c r="P183" t="str">
        <f t="shared" si="13"/>
        <v/>
      </c>
    </row>
    <row r="184" spans="1:16" x14ac:dyDescent="0.2">
      <c r="A184" s="61" t="s">
        <v>776</v>
      </c>
      <c r="B184" t="s">
        <v>650</v>
      </c>
      <c r="C184" t="str">
        <f t="shared" si="12"/>
        <v>tax.org_founder_item</v>
      </c>
      <c r="D184" t="e">
        <f>IFERROR(VLOOKUP(A184,#REF!,1,0),VLOOKUP(C184,#REF!,1,0))</f>
        <v>#REF!</v>
      </c>
      <c r="E184" t="s">
        <v>897</v>
      </c>
      <c r="F184" t="s">
        <v>870</v>
      </c>
      <c r="G184" t="s">
        <v>900</v>
      </c>
      <c r="N184" t="str">
        <f t="shared" si="10"/>
        <v/>
      </c>
      <c r="O184" t="str">
        <f t="shared" si="11"/>
        <v/>
      </c>
      <c r="P184" t="str">
        <f t="shared" si="13"/>
        <v/>
      </c>
    </row>
    <row r="185" spans="1:16" x14ac:dyDescent="0.2">
      <c r="A185" s="61" t="s">
        <v>777</v>
      </c>
      <c r="B185" t="s">
        <v>726</v>
      </c>
      <c r="C185" t="str">
        <f t="shared" si="12"/>
        <v>birja.xt_participants</v>
      </c>
      <c r="D185" t="e">
        <f>IFERROR(VLOOKUP(A185,#REF!,1,0),VLOOKUP(C185,#REF!,1,0))</f>
        <v>#REF!</v>
      </c>
      <c r="E185" t="s">
        <v>898</v>
      </c>
      <c r="F185" t="s">
        <v>870</v>
      </c>
      <c r="N185" t="str">
        <f t="shared" si="10"/>
        <v/>
      </c>
      <c r="O185" t="str">
        <f t="shared" si="11"/>
        <v/>
      </c>
      <c r="P185" t="str">
        <f t="shared" si="13"/>
        <v/>
      </c>
    </row>
    <row r="186" spans="1:16" x14ac:dyDescent="0.2">
      <c r="A186" t="s">
        <v>778</v>
      </c>
      <c r="B186" t="s">
        <v>709</v>
      </c>
      <c r="C186" t="str">
        <f t="shared" si="12"/>
        <v>gaz_elektr.customers_jur</v>
      </c>
      <c r="D186" t="e">
        <f>IFERROR(VLOOKUP(A186,#REF!,1,0),VLOOKUP(C186,#REF!,1,0))</f>
        <v>#REF!</v>
      </c>
      <c r="N186" t="str">
        <f t="shared" si="10"/>
        <v/>
      </c>
      <c r="O186" t="str">
        <f t="shared" si="11"/>
        <v/>
      </c>
      <c r="P186" t="str">
        <f t="shared" si="13"/>
        <v/>
      </c>
    </row>
    <row r="187" spans="1:16" x14ac:dyDescent="0.2">
      <c r="A187" t="s">
        <v>779</v>
      </c>
      <c r="B187" t="s">
        <v>709</v>
      </c>
      <c r="C187" t="str">
        <f t="shared" ref="C187:C218" si="14">B187&amp;"."&amp;A187</f>
        <v>gaz_elektr.customers_phys</v>
      </c>
      <c r="D187" t="e">
        <f>IFERROR(VLOOKUP(A187,#REF!,1,0),VLOOKUP(C187,#REF!,1,0))</f>
        <v>#REF!</v>
      </c>
      <c r="N187" t="str">
        <f t="shared" si="10"/>
        <v/>
      </c>
      <c r="O187" t="str">
        <f t="shared" si="11"/>
        <v/>
      </c>
      <c r="P187" t="str">
        <f t="shared" si="13"/>
        <v/>
      </c>
    </row>
    <row r="188" spans="1:16" x14ac:dyDescent="0.2">
      <c r="A188" s="61" t="s">
        <v>780</v>
      </c>
      <c r="B188" t="s">
        <v>781</v>
      </c>
      <c r="C188" t="str">
        <f t="shared" si="14"/>
        <v>bank.bank_001</v>
      </c>
      <c r="D188" t="e">
        <f>IFERROR(VLOOKUP(A188,#REF!,1,0),VLOOKUP(C188,#REF!,1,0))</f>
        <v>#REF!</v>
      </c>
      <c r="E188" t="s">
        <v>781</v>
      </c>
      <c r="F188" t="s">
        <v>870</v>
      </c>
      <c r="N188" t="str">
        <f t="shared" si="10"/>
        <v/>
      </c>
      <c r="O188" t="str">
        <f t="shared" si="11"/>
        <v/>
      </c>
      <c r="P188" t="str">
        <f t="shared" ref="P188:P219" si="15">N188&amp;O188</f>
        <v/>
      </c>
    </row>
    <row r="189" spans="1:16" x14ac:dyDescent="0.2">
      <c r="A189" t="s">
        <v>782</v>
      </c>
      <c r="B189" t="s">
        <v>687</v>
      </c>
      <c r="C189" t="str">
        <f t="shared" si="14"/>
        <v>soliq.send_tax_worker</v>
      </c>
      <c r="D189" t="e">
        <f>IFERROR(VLOOKUP(A189,#REF!,1,0),VLOOKUP(C189,#REF!,1,0))</f>
        <v>#REF!</v>
      </c>
      <c r="N189" t="str">
        <f t="shared" si="10"/>
        <v/>
      </c>
      <c r="O189" t="str">
        <f t="shared" si="11"/>
        <v/>
      </c>
      <c r="P189" t="str">
        <f t="shared" si="15"/>
        <v/>
      </c>
    </row>
    <row r="190" spans="1:16" x14ac:dyDescent="0.2">
      <c r="A190" t="s">
        <v>783</v>
      </c>
      <c r="B190" t="s">
        <v>597</v>
      </c>
      <c r="C190" t="str">
        <f t="shared" si="14"/>
        <v>employement.mehnat_daftar</v>
      </c>
      <c r="D190" t="e">
        <f>IFERROR(VLOOKUP(A190,#REF!,1,0),VLOOKUP(C190,#REF!,1,0))</f>
        <v>#REF!</v>
      </c>
      <c r="N190" t="str">
        <f t="shared" si="10"/>
        <v/>
      </c>
      <c r="O190" t="str">
        <f t="shared" si="11"/>
        <v/>
      </c>
      <c r="P190" t="str">
        <f t="shared" si="15"/>
        <v/>
      </c>
    </row>
    <row r="191" spans="1:16" x14ac:dyDescent="0.2">
      <c r="A191" s="61" t="s">
        <v>784</v>
      </c>
      <c r="B191" t="s">
        <v>756</v>
      </c>
      <c r="C191" t="str">
        <f t="shared" si="14"/>
        <v>qishloq_xojaligi.subsidiya</v>
      </c>
      <c r="D191" t="e">
        <f>IFERROR(VLOOKUP(A191,#REF!,1,0),VLOOKUP(C191,#REF!,1,0))</f>
        <v>#REF!</v>
      </c>
      <c r="F191" t="s">
        <v>870</v>
      </c>
      <c r="N191" t="str">
        <f t="shared" si="10"/>
        <v/>
      </c>
      <c r="O191" t="str">
        <f t="shared" si="11"/>
        <v/>
      </c>
      <c r="P191" t="str">
        <f t="shared" si="15"/>
        <v/>
      </c>
    </row>
    <row r="192" spans="1:16" x14ac:dyDescent="0.2">
      <c r="A192" t="s">
        <v>785</v>
      </c>
      <c r="B192" t="s">
        <v>786</v>
      </c>
      <c r="C192" t="str">
        <f t="shared" si="14"/>
        <v>tartibga_solish.e_accreditation</v>
      </c>
      <c r="D192" t="e">
        <f>IFERROR(VLOOKUP(A192,#REF!,1,0),VLOOKUP(C192,#REF!,1,0))</f>
        <v>#REF!</v>
      </c>
      <c r="N192" t="str">
        <f t="shared" si="10"/>
        <v/>
      </c>
      <c r="O192" t="str">
        <f t="shared" si="11"/>
        <v/>
      </c>
      <c r="P192" t="str">
        <f t="shared" si="15"/>
        <v/>
      </c>
    </row>
    <row r="193" spans="1:16" x14ac:dyDescent="0.2">
      <c r="A193" t="s">
        <v>787</v>
      </c>
      <c r="B193" t="s">
        <v>726</v>
      </c>
      <c r="C193" t="str">
        <f t="shared" si="14"/>
        <v>birja.xt_request_reduction</v>
      </c>
      <c r="D193" t="e">
        <f>IFERROR(VLOOKUP(A193,#REF!,1,0),VLOOKUP(C193,#REF!,1,0))</f>
        <v>#REF!</v>
      </c>
      <c r="N193" t="str">
        <f t="shared" si="10"/>
        <v/>
      </c>
      <c r="O193" t="str">
        <f t="shared" si="11"/>
        <v/>
      </c>
      <c r="P193" t="str">
        <f t="shared" si="15"/>
        <v/>
      </c>
    </row>
    <row r="194" spans="1:16" x14ac:dyDescent="0.2">
      <c r="A194" s="61" t="s">
        <v>788</v>
      </c>
      <c r="B194" t="s">
        <v>726</v>
      </c>
      <c r="C194" t="str">
        <f t="shared" si="14"/>
        <v>birja.xt_reduction_product</v>
      </c>
      <c r="D194" t="e">
        <f>IFERROR(VLOOKUP(A194,#REF!,1,0),VLOOKUP(C194,#REF!,1,0))</f>
        <v>#REF!</v>
      </c>
      <c r="F194" t="s">
        <v>870</v>
      </c>
      <c r="N194" t="str">
        <f t="shared" ref="N194:N257" si="16">IFERROR(VLOOKUP(H194,A:A,1,0),"")</f>
        <v/>
      </c>
      <c r="O194" t="str">
        <f t="shared" ref="O194:O257" si="17">IFERROR(VLOOKUP(H194,C:C,1,0),"")</f>
        <v/>
      </c>
      <c r="P194" t="str">
        <f t="shared" si="15"/>
        <v/>
      </c>
    </row>
    <row r="195" spans="1:16" x14ac:dyDescent="0.2">
      <c r="A195" s="61" t="s">
        <v>789</v>
      </c>
      <c r="B195" t="s">
        <v>591</v>
      </c>
      <c r="C195" t="str">
        <f t="shared" si="14"/>
        <v>education.phd</v>
      </c>
      <c r="D195" t="e">
        <f>IFERROR(VLOOKUP(A195,#REF!,1,0),VLOOKUP(C195,#REF!,1,0))</f>
        <v>#REF!</v>
      </c>
      <c r="E195" t="s">
        <v>872</v>
      </c>
      <c r="F195" t="s">
        <v>870</v>
      </c>
      <c r="N195" t="str">
        <f t="shared" si="16"/>
        <v/>
      </c>
      <c r="O195" t="str">
        <f t="shared" si="17"/>
        <v/>
      </c>
      <c r="P195" t="str">
        <f t="shared" si="15"/>
        <v/>
      </c>
    </row>
    <row r="196" spans="1:16" x14ac:dyDescent="0.2">
      <c r="A196" s="61" t="s">
        <v>790</v>
      </c>
      <c r="B196" t="s">
        <v>781</v>
      </c>
      <c r="C196" t="str">
        <f t="shared" si="14"/>
        <v>bank.bank_002</v>
      </c>
      <c r="D196" t="e">
        <f>IFERROR(VLOOKUP(A196,#REF!,1,0),VLOOKUP(C196,#REF!,1,0))</f>
        <v>#REF!</v>
      </c>
      <c r="E196" t="s">
        <v>781</v>
      </c>
      <c r="F196" t="s">
        <v>870</v>
      </c>
      <c r="N196" t="str">
        <f t="shared" si="16"/>
        <v/>
      </c>
      <c r="O196" t="str">
        <f t="shared" si="17"/>
        <v/>
      </c>
      <c r="P196" t="str">
        <f t="shared" si="15"/>
        <v/>
      </c>
    </row>
    <row r="197" spans="1:16" x14ac:dyDescent="0.2">
      <c r="A197" s="61" t="s">
        <v>791</v>
      </c>
      <c r="B197" t="s">
        <v>781</v>
      </c>
      <c r="C197" t="str">
        <f t="shared" si="14"/>
        <v>bank.bank_003</v>
      </c>
      <c r="D197" t="e">
        <f>IFERROR(VLOOKUP(A197,#REF!,1,0),VLOOKUP(C197,#REF!,1,0))</f>
        <v>#REF!</v>
      </c>
      <c r="E197" t="s">
        <v>781</v>
      </c>
      <c r="F197" t="s">
        <v>870</v>
      </c>
      <c r="N197" t="str">
        <f t="shared" si="16"/>
        <v/>
      </c>
      <c r="O197" t="str">
        <f t="shared" si="17"/>
        <v/>
      </c>
      <c r="P197" t="str">
        <f t="shared" si="15"/>
        <v/>
      </c>
    </row>
    <row r="198" spans="1:16" x14ac:dyDescent="0.2">
      <c r="A198" s="61" t="s">
        <v>792</v>
      </c>
      <c r="B198" t="s">
        <v>602</v>
      </c>
      <c r="C198" t="str">
        <f t="shared" si="14"/>
        <v>minyust.short_person</v>
      </c>
      <c r="D198" t="e">
        <f>IFERROR(VLOOKUP(A198,#REF!,1,0),VLOOKUP(C198,#REF!,1,0))</f>
        <v>#REF!</v>
      </c>
      <c r="E198" t="s">
        <v>899</v>
      </c>
      <c r="F198" t="s">
        <v>869</v>
      </c>
      <c r="N198" t="str">
        <f t="shared" si="16"/>
        <v/>
      </c>
      <c r="O198" t="str">
        <f t="shared" si="17"/>
        <v/>
      </c>
      <c r="P198" t="str">
        <f t="shared" si="15"/>
        <v/>
      </c>
    </row>
    <row r="199" spans="1:16" x14ac:dyDescent="0.2">
      <c r="A199" s="61" t="s">
        <v>793</v>
      </c>
      <c r="B199" t="s">
        <v>781</v>
      </c>
      <c r="C199" t="str">
        <f t="shared" si="14"/>
        <v>bank.bank_004</v>
      </c>
      <c r="D199" t="e">
        <f>IFERROR(VLOOKUP(A199,#REF!,1,0),VLOOKUP(C199,#REF!,1,0))</f>
        <v>#REF!</v>
      </c>
      <c r="E199" t="s">
        <v>781</v>
      </c>
      <c r="F199" t="s">
        <v>870</v>
      </c>
      <c r="N199" t="str">
        <f t="shared" si="16"/>
        <v/>
      </c>
      <c r="O199" t="str">
        <f t="shared" si="17"/>
        <v/>
      </c>
      <c r="P199" t="str">
        <f t="shared" si="15"/>
        <v/>
      </c>
    </row>
    <row r="200" spans="1:16" x14ac:dyDescent="0.2">
      <c r="A200" s="61" t="s">
        <v>794</v>
      </c>
      <c r="B200" t="s">
        <v>781</v>
      </c>
      <c r="C200" t="str">
        <f t="shared" si="14"/>
        <v>bank.bank_005</v>
      </c>
      <c r="D200" t="e">
        <f>IFERROR(VLOOKUP(A200,#REF!,1,0),VLOOKUP(C200,#REF!,1,0))</f>
        <v>#REF!</v>
      </c>
      <c r="E200" t="s">
        <v>781</v>
      </c>
      <c r="F200" t="s">
        <v>870</v>
      </c>
      <c r="N200" t="str">
        <f t="shared" si="16"/>
        <v/>
      </c>
      <c r="O200" t="str">
        <f t="shared" si="17"/>
        <v/>
      </c>
      <c r="P200" t="str">
        <f t="shared" si="15"/>
        <v/>
      </c>
    </row>
    <row r="201" spans="1:16" x14ac:dyDescent="0.2">
      <c r="A201" s="61" t="s">
        <v>795</v>
      </c>
      <c r="B201" t="s">
        <v>781</v>
      </c>
      <c r="C201" t="str">
        <f t="shared" si="14"/>
        <v>bank.bank_006</v>
      </c>
      <c r="D201" t="e">
        <f>IFERROR(VLOOKUP(A201,#REF!,1,0),VLOOKUP(C201,#REF!,1,0))</f>
        <v>#REF!</v>
      </c>
      <c r="E201" t="s">
        <v>781</v>
      </c>
      <c r="F201" t="s">
        <v>870</v>
      </c>
      <c r="N201" t="str">
        <f t="shared" si="16"/>
        <v/>
      </c>
      <c r="O201" t="str">
        <f t="shared" si="17"/>
        <v/>
      </c>
      <c r="P201" t="str">
        <f t="shared" si="15"/>
        <v/>
      </c>
    </row>
    <row r="202" spans="1:16" x14ac:dyDescent="0.2">
      <c r="A202" s="61" t="s">
        <v>796</v>
      </c>
      <c r="B202" t="s">
        <v>781</v>
      </c>
      <c r="C202" t="str">
        <f t="shared" si="14"/>
        <v>bank.bank_007</v>
      </c>
      <c r="D202" t="e">
        <f>IFERROR(VLOOKUP(A202,#REF!,1,0),VLOOKUP(C202,#REF!,1,0))</f>
        <v>#REF!</v>
      </c>
      <c r="E202" t="s">
        <v>781</v>
      </c>
      <c r="F202" t="s">
        <v>870</v>
      </c>
      <c r="N202" t="str">
        <f t="shared" si="16"/>
        <v/>
      </c>
      <c r="O202" t="str">
        <f t="shared" si="17"/>
        <v/>
      </c>
      <c r="P202" t="str">
        <f t="shared" si="15"/>
        <v/>
      </c>
    </row>
    <row r="203" spans="1:16" x14ac:dyDescent="0.2">
      <c r="A203" s="61" t="s">
        <v>797</v>
      </c>
      <c r="B203" t="s">
        <v>781</v>
      </c>
      <c r="C203" t="str">
        <f t="shared" si="14"/>
        <v>bank.bank_008</v>
      </c>
      <c r="D203" t="e">
        <f>IFERROR(VLOOKUP(A203,#REF!,1,0),VLOOKUP(C203,#REF!,1,0))</f>
        <v>#REF!</v>
      </c>
      <c r="E203" t="s">
        <v>781</v>
      </c>
      <c r="F203" t="s">
        <v>870</v>
      </c>
      <c r="N203" t="str">
        <f t="shared" si="16"/>
        <v/>
      </c>
      <c r="O203" t="str">
        <f t="shared" si="17"/>
        <v/>
      </c>
      <c r="P203" t="str">
        <f t="shared" si="15"/>
        <v/>
      </c>
    </row>
    <row r="204" spans="1:16" x14ac:dyDescent="0.2">
      <c r="A204" s="61" t="s">
        <v>798</v>
      </c>
      <c r="B204" t="s">
        <v>781</v>
      </c>
      <c r="C204" t="str">
        <f t="shared" si="14"/>
        <v>bank.bank_009</v>
      </c>
      <c r="D204" t="e">
        <f>IFERROR(VLOOKUP(A204,#REF!,1,0),VLOOKUP(C204,#REF!,1,0))</f>
        <v>#REF!</v>
      </c>
      <c r="E204" t="s">
        <v>781</v>
      </c>
      <c r="F204" t="s">
        <v>870</v>
      </c>
      <c r="N204" t="str">
        <f t="shared" si="16"/>
        <v/>
      </c>
      <c r="O204" t="str">
        <f t="shared" si="17"/>
        <v/>
      </c>
      <c r="P204" t="str">
        <f t="shared" si="15"/>
        <v/>
      </c>
    </row>
    <row r="205" spans="1:16" x14ac:dyDescent="0.2">
      <c r="A205" s="61" t="s">
        <v>799</v>
      </c>
      <c r="B205" t="s">
        <v>781</v>
      </c>
      <c r="C205" t="str">
        <f t="shared" si="14"/>
        <v>bank.bank_010</v>
      </c>
      <c r="D205" t="e">
        <f>IFERROR(VLOOKUP(A205,#REF!,1,0),VLOOKUP(C205,#REF!,1,0))</f>
        <v>#REF!</v>
      </c>
      <c r="E205" t="s">
        <v>781</v>
      </c>
      <c r="F205" t="s">
        <v>870</v>
      </c>
      <c r="N205" t="str">
        <f t="shared" si="16"/>
        <v/>
      </c>
      <c r="O205" t="str">
        <f t="shared" si="17"/>
        <v/>
      </c>
      <c r="P205" t="str">
        <f t="shared" si="15"/>
        <v/>
      </c>
    </row>
    <row r="206" spans="1:16" x14ac:dyDescent="0.2">
      <c r="A206" s="61" t="s">
        <v>800</v>
      </c>
      <c r="B206" t="s">
        <v>660</v>
      </c>
      <c r="C206" t="str">
        <f t="shared" si="14"/>
        <v>temp.temp1_pinfl</v>
      </c>
      <c r="D206" t="e">
        <f>IFERROR(VLOOKUP(A206,#REF!,1,0),VLOOKUP(C206,#REF!,1,0))</f>
        <v>#REF!</v>
      </c>
      <c r="F206" t="s">
        <v>870</v>
      </c>
      <c r="N206" t="str">
        <f t="shared" si="16"/>
        <v/>
      </c>
      <c r="O206" t="str">
        <f t="shared" si="17"/>
        <v/>
      </c>
      <c r="P206" t="str">
        <f t="shared" si="15"/>
        <v/>
      </c>
    </row>
    <row r="207" spans="1:16" x14ac:dyDescent="0.2">
      <c r="A207" s="61" t="s">
        <v>801</v>
      </c>
      <c r="B207" t="s">
        <v>781</v>
      </c>
      <c r="C207" t="str">
        <f t="shared" si="14"/>
        <v>bank.bank_015</v>
      </c>
      <c r="D207" t="e">
        <f>IFERROR(VLOOKUP(A207,#REF!,1,0),VLOOKUP(C207,#REF!,1,0))</f>
        <v>#REF!</v>
      </c>
      <c r="E207" t="s">
        <v>781</v>
      </c>
      <c r="F207" t="s">
        <v>870</v>
      </c>
      <c r="N207" t="str">
        <f t="shared" si="16"/>
        <v/>
      </c>
      <c r="O207" t="str">
        <f t="shared" si="17"/>
        <v/>
      </c>
      <c r="P207" t="str">
        <f t="shared" si="15"/>
        <v/>
      </c>
    </row>
    <row r="208" spans="1:16" x14ac:dyDescent="0.2">
      <c r="A208" s="61" t="s">
        <v>802</v>
      </c>
      <c r="B208" t="s">
        <v>781</v>
      </c>
      <c r="C208" t="str">
        <f t="shared" si="14"/>
        <v>bank.bank_011</v>
      </c>
      <c r="D208" t="e">
        <f>IFERROR(VLOOKUP(A208,#REF!,1,0),VLOOKUP(C208,#REF!,1,0))</f>
        <v>#REF!</v>
      </c>
      <c r="E208" t="s">
        <v>781</v>
      </c>
      <c r="F208" t="s">
        <v>870</v>
      </c>
      <c r="N208" t="str">
        <f t="shared" si="16"/>
        <v/>
      </c>
      <c r="O208" t="str">
        <f t="shared" si="17"/>
        <v/>
      </c>
      <c r="P208" t="str">
        <f t="shared" si="15"/>
        <v/>
      </c>
    </row>
    <row r="209" spans="1:16" x14ac:dyDescent="0.2">
      <c r="A209" s="61" t="s">
        <v>803</v>
      </c>
      <c r="B209" t="s">
        <v>781</v>
      </c>
      <c r="C209" t="str">
        <f t="shared" si="14"/>
        <v>bank.bank_030</v>
      </c>
      <c r="D209" t="e">
        <f>IFERROR(VLOOKUP(A209,#REF!,1,0),VLOOKUP(C209,#REF!,1,0))</f>
        <v>#REF!</v>
      </c>
      <c r="E209" t="s">
        <v>781</v>
      </c>
      <c r="F209" t="s">
        <v>870</v>
      </c>
      <c r="N209" t="str">
        <f t="shared" si="16"/>
        <v/>
      </c>
      <c r="O209" t="str">
        <f t="shared" si="17"/>
        <v/>
      </c>
      <c r="P209" t="str">
        <f t="shared" si="15"/>
        <v/>
      </c>
    </row>
    <row r="210" spans="1:16" x14ac:dyDescent="0.2">
      <c r="A210" s="61" t="s">
        <v>804</v>
      </c>
      <c r="B210" t="s">
        <v>781</v>
      </c>
      <c r="C210" t="str">
        <f t="shared" si="14"/>
        <v>bank.bank_012</v>
      </c>
      <c r="D210" t="e">
        <f>IFERROR(VLOOKUP(A210,#REF!,1,0),VLOOKUP(C210,#REF!,1,0))</f>
        <v>#REF!</v>
      </c>
      <c r="E210" t="s">
        <v>781</v>
      </c>
      <c r="F210" t="s">
        <v>870</v>
      </c>
      <c r="N210" t="str">
        <f t="shared" si="16"/>
        <v/>
      </c>
      <c r="O210" t="str">
        <f t="shared" si="17"/>
        <v/>
      </c>
      <c r="P210" t="str">
        <f t="shared" si="15"/>
        <v/>
      </c>
    </row>
    <row r="211" spans="1:16" x14ac:dyDescent="0.2">
      <c r="A211" s="61" t="s">
        <v>805</v>
      </c>
      <c r="B211" t="s">
        <v>781</v>
      </c>
      <c r="C211" t="str">
        <f t="shared" si="14"/>
        <v>bank.bank_045</v>
      </c>
      <c r="D211" t="e">
        <f>IFERROR(VLOOKUP(A211,#REF!,1,0),VLOOKUP(C211,#REF!,1,0))</f>
        <v>#REF!</v>
      </c>
      <c r="E211" t="s">
        <v>781</v>
      </c>
      <c r="F211" t="s">
        <v>870</v>
      </c>
      <c r="N211" t="str">
        <f t="shared" si="16"/>
        <v/>
      </c>
      <c r="O211" t="str">
        <f t="shared" si="17"/>
        <v/>
      </c>
      <c r="P211" t="str">
        <f t="shared" si="15"/>
        <v/>
      </c>
    </row>
    <row r="212" spans="1:16" x14ac:dyDescent="0.2">
      <c r="A212" s="61" t="s">
        <v>806</v>
      </c>
      <c r="B212" t="s">
        <v>781</v>
      </c>
      <c r="C212" t="str">
        <f t="shared" si="14"/>
        <v>bank.bank_013</v>
      </c>
      <c r="D212" t="e">
        <f>IFERROR(VLOOKUP(A212,#REF!,1,0),VLOOKUP(C212,#REF!,1,0))</f>
        <v>#REF!</v>
      </c>
      <c r="E212" t="s">
        <v>781</v>
      </c>
      <c r="F212" t="s">
        <v>870</v>
      </c>
      <c r="N212" t="str">
        <f t="shared" si="16"/>
        <v/>
      </c>
      <c r="O212" t="str">
        <f t="shared" si="17"/>
        <v/>
      </c>
      <c r="P212" t="str">
        <f t="shared" si="15"/>
        <v/>
      </c>
    </row>
    <row r="213" spans="1:16" x14ac:dyDescent="0.2">
      <c r="A213" s="61" t="s">
        <v>807</v>
      </c>
      <c r="B213" t="s">
        <v>781</v>
      </c>
      <c r="C213" t="str">
        <f t="shared" si="14"/>
        <v>bank.bank_014</v>
      </c>
      <c r="D213" t="e">
        <f>IFERROR(VLOOKUP(A213,#REF!,1,0),VLOOKUP(C213,#REF!,1,0))</f>
        <v>#REF!</v>
      </c>
      <c r="E213" t="s">
        <v>781</v>
      </c>
      <c r="F213" t="s">
        <v>870</v>
      </c>
      <c r="N213" t="str">
        <f t="shared" si="16"/>
        <v/>
      </c>
      <c r="O213" t="str">
        <f t="shared" si="17"/>
        <v/>
      </c>
      <c r="P213" t="str">
        <f t="shared" si="15"/>
        <v/>
      </c>
    </row>
    <row r="214" spans="1:16" x14ac:dyDescent="0.2">
      <c r="A214" s="61" t="s">
        <v>808</v>
      </c>
      <c r="B214" t="s">
        <v>612</v>
      </c>
      <c r="C214" t="str">
        <f t="shared" si="14"/>
        <v>public.ministries</v>
      </c>
      <c r="D214" t="e">
        <f>IFERROR(VLOOKUP(A214,#REF!,1,0),VLOOKUP(C214,#REF!,1,0))</f>
        <v>#REF!</v>
      </c>
      <c r="E214" t="s">
        <v>894</v>
      </c>
      <c r="F214" t="s">
        <v>869</v>
      </c>
      <c r="N214" t="str">
        <f t="shared" si="16"/>
        <v/>
      </c>
      <c r="O214" t="str">
        <f t="shared" si="17"/>
        <v/>
      </c>
      <c r="P214" t="str">
        <f t="shared" si="15"/>
        <v/>
      </c>
    </row>
    <row r="215" spans="1:16" x14ac:dyDescent="0.2">
      <c r="A215" s="61" t="s">
        <v>809</v>
      </c>
      <c r="B215" t="s">
        <v>684</v>
      </c>
      <c r="C215" t="str">
        <f t="shared" si="14"/>
        <v>bojxona.ombor</v>
      </c>
      <c r="D215" t="e">
        <f>IFERROR(VLOOKUP(A215,#REF!,1,0),VLOOKUP(C215,#REF!,1,0))</f>
        <v>#REF!</v>
      </c>
      <c r="E215" t="s">
        <v>871</v>
      </c>
      <c r="F215" t="s">
        <v>870</v>
      </c>
      <c r="N215" t="str">
        <f t="shared" si="16"/>
        <v/>
      </c>
      <c r="O215" t="str">
        <f t="shared" si="17"/>
        <v/>
      </c>
      <c r="P215" t="str">
        <f t="shared" si="15"/>
        <v/>
      </c>
    </row>
    <row r="216" spans="1:16" x14ac:dyDescent="0.2">
      <c r="A216" s="61" t="s">
        <v>810</v>
      </c>
      <c r="B216" t="s">
        <v>781</v>
      </c>
      <c r="C216" t="str">
        <f t="shared" si="14"/>
        <v>bank.bank_016</v>
      </c>
      <c r="D216" t="e">
        <f>IFERROR(VLOOKUP(A216,#REF!,1,0),VLOOKUP(C216,#REF!,1,0))</f>
        <v>#REF!</v>
      </c>
      <c r="E216" t="s">
        <v>781</v>
      </c>
      <c r="F216" t="s">
        <v>870</v>
      </c>
      <c r="N216" t="str">
        <f t="shared" si="16"/>
        <v/>
      </c>
      <c r="O216" t="str">
        <f t="shared" si="17"/>
        <v/>
      </c>
      <c r="P216" t="str">
        <f t="shared" si="15"/>
        <v/>
      </c>
    </row>
    <row r="217" spans="1:16" x14ac:dyDescent="0.2">
      <c r="A217" s="61" t="s">
        <v>811</v>
      </c>
      <c r="B217" t="s">
        <v>781</v>
      </c>
      <c r="C217" t="str">
        <f t="shared" si="14"/>
        <v>bank.bank_017</v>
      </c>
      <c r="D217" t="e">
        <f>IFERROR(VLOOKUP(A217,#REF!,1,0),VLOOKUP(C217,#REF!,1,0))</f>
        <v>#REF!</v>
      </c>
      <c r="E217" t="s">
        <v>781</v>
      </c>
      <c r="F217" t="s">
        <v>870</v>
      </c>
      <c r="N217" t="str">
        <f t="shared" si="16"/>
        <v/>
      </c>
      <c r="O217" t="str">
        <f t="shared" si="17"/>
        <v/>
      </c>
      <c r="P217" t="str">
        <f t="shared" si="15"/>
        <v/>
      </c>
    </row>
    <row r="218" spans="1:16" x14ac:dyDescent="0.2">
      <c r="A218" s="61" t="s">
        <v>812</v>
      </c>
      <c r="B218" t="s">
        <v>781</v>
      </c>
      <c r="C218" t="str">
        <f t="shared" si="14"/>
        <v>bank.bank_018</v>
      </c>
      <c r="D218" t="e">
        <f>IFERROR(VLOOKUP(A218,#REF!,1,0),VLOOKUP(C218,#REF!,1,0))</f>
        <v>#REF!</v>
      </c>
      <c r="E218" t="s">
        <v>781</v>
      </c>
      <c r="F218" t="s">
        <v>870</v>
      </c>
      <c r="N218" t="str">
        <f t="shared" si="16"/>
        <v/>
      </c>
      <c r="O218" t="str">
        <f t="shared" si="17"/>
        <v/>
      </c>
      <c r="P218" t="str">
        <f t="shared" si="15"/>
        <v/>
      </c>
    </row>
    <row r="219" spans="1:16" x14ac:dyDescent="0.2">
      <c r="A219" s="61" t="s">
        <v>813</v>
      </c>
      <c r="B219" t="s">
        <v>781</v>
      </c>
      <c r="C219" t="str">
        <f t="shared" ref="C219:C250" si="18">B219&amp;"."&amp;A219</f>
        <v>bank.bank_019</v>
      </c>
      <c r="D219" t="e">
        <f>IFERROR(VLOOKUP(A219,#REF!,1,0),VLOOKUP(C219,#REF!,1,0))</f>
        <v>#REF!</v>
      </c>
      <c r="E219" t="s">
        <v>781</v>
      </c>
      <c r="F219" t="s">
        <v>870</v>
      </c>
      <c r="N219" t="str">
        <f t="shared" si="16"/>
        <v/>
      </c>
      <c r="O219" t="str">
        <f t="shared" si="17"/>
        <v/>
      </c>
      <c r="P219" t="str">
        <f t="shared" si="15"/>
        <v/>
      </c>
    </row>
    <row r="220" spans="1:16" x14ac:dyDescent="0.2">
      <c r="A220" s="61" t="s">
        <v>814</v>
      </c>
      <c r="B220" t="s">
        <v>781</v>
      </c>
      <c r="C220" t="str">
        <f t="shared" si="18"/>
        <v>bank.bank_020</v>
      </c>
      <c r="D220" t="e">
        <f>IFERROR(VLOOKUP(A220,#REF!,1,0),VLOOKUP(C220,#REF!,1,0))</f>
        <v>#REF!</v>
      </c>
      <c r="E220" t="s">
        <v>781</v>
      </c>
      <c r="F220" t="s">
        <v>870</v>
      </c>
      <c r="N220" t="str">
        <f t="shared" si="16"/>
        <v/>
      </c>
      <c r="O220" t="str">
        <f t="shared" si="17"/>
        <v/>
      </c>
      <c r="P220" t="str">
        <f t="shared" ref="P220:P251" si="19">N220&amp;O220</f>
        <v/>
      </c>
    </row>
    <row r="221" spans="1:16" x14ac:dyDescent="0.2">
      <c r="A221" s="61" t="s">
        <v>815</v>
      </c>
      <c r="B221" t="s">
        <v>781</v>
      </c>
      <c r="C221" t="str">
        <f t="shared" si="18"/>
        <v>bank.bank_021</v>
      </c>
      <c r="D221" t="e">
        <f>IFERROR(VLOOKUP(A221,#REF!,1,0),VLOOKUP(C221,#REF!,1,0))</f>
        <v>#REF!</v>
      </c>
      <c r="E221" t="s">
        <v>781</v>
      </c>
      <c r="F221" t="s">
        <v>870</v>
      </c>
      <c r="N221" t="str">
        <f t="shared" si="16"/>
        <v/>
      </c>
      <c r="O221" t="str">
        <f t="shared" si="17"/>
        <v/>
      </c>
      <c r="P221" t="str">
        <f t="shared" si="19"/>
        <v/>
      </c>
    </row>
    <row r="222" spans="1:16" x14ac:dyDescent="0.2">
      <c r="A222" s="61" t="s">
        <v>816</v>
      </c>
      <c r="B222" t="s">
        <v>781</v>
      </c>
      <c r="C222" t="str">
        <f t="shared" si="18"/>
        <v>bank.bank_022</v>
      </c>
      <c r="D222" t="e">
        <f>IFERROR(VLOOKUP(A222,#REF!,1,0),VLOOKUP(C222,#REF!,1,0))</f>
        <v>#REF!</v>
      </c>
      <c r="E222" t="s">
        <v>781</v>
      </c>
      <c r="F222" t="s">
        <v>870</v>
      </c>
      <c r="N222" t="str">
        <f t="shared" si="16"/>
        <v/>
      </c>
      <c r="O222" t="str">
        <f t="shared" si="17"/>
        <v/>
      </c>
      <c r="P222" t="str">
        <f t="shared" si="19"/>
        <v/>
      </c>
    </row>
    <row r="223" spans="1:16" x14ac:dyDescent="0.2">
      <c r="A223" s="61" t="s">
        <v>817</v>
      </c>
      <c r="B223" t="s">
        <v>781</v>
      </c>
      <c r="C223" t="str">
        <f t="shared" si="18"/>
        <v>bank.bank_023</v>
      </c>
      <c r="D223" t="e">
        <f>IFERROR(VLOOKUP(A223,#REF!,1,0),VLOOKUP(C223,#REF!,1,0))</f>
        <v>#REF!</v>
      </c>
      <c r="E223" t="s">
        <v>781</v>
      </c>
      <c r="F223" t="s">
        <v>870</v>
      </c>
      <c r="N223" t="str">
        <f t="shared" si="16"/>
        <v/>
      </c>
      <c r="O223" t="str">
        <f t="shared" si="17"/>
        <v/>
      </c>
      <c r="P223" t="str">
        <f t="shared" si="19"/>
        <v/>
      </c>
    </row>
    <row r="224" spans="1:16" x14ac:dyDescent="0.2">
      <c r="A224" s="61" t="s">
        <v>818</v>
      </c>
      <c r="B224" t="s">
        <v>781</v>
      </c>
      <c r="C224" t="str">
        <f t="shared" si="18"/>
        <v>bank.bank_024</v>
      </c>
      <c r="D224" t="e">
        <f>IFERROR(VLOOKUP(A224,#REF!,1,0),VLOOKUP(C224,#REF!,1,0))</f>
        <v>#REF!</v>
      </c>
      <c r="E224" t="s">
        <v>781</v>
      </c>
      <c r="F224" t="s">
        <v>870</v>
      </c>
      <c r="N224" t="str">
        <f t="shared" si="16"/>
        <v/>
      </c>
      <c r="O224" t="str">
        <f t="shared" si="17"/>
        <v/>
      </c>
      <c r="P224" t="str">
        <f t="shared" si="19"/>
        <v/>
      </c>
    </row>
    <row r="225" spans="1:16" x14ac:dyDescent="0.2">
      <c r="A225" s="61" t="s">
        <v>819</v>
      </c>
      <c r="B225" t="s">
        <v>781</v>
      </c>
      <c r="C225" t="str">
        <f t="shared" si="18"/>
        <v>bank.bank_025</v>
      </c>
      <c r="D225" t="e">
        <f>IFERROR(VLOOKUP(A225,#REF!,1,0),VLOOKUP(C225,#REF!,1,0))</f>
        <v>#REF!</v>
      </c>
      <c r="E225" t="s">
        <v>781</v>
      </c>
      <c r="F225" t="s">
        <v>870</v>
      </c>
      <c r="N225" t="str">
        <f t="shared" si="16"/>
        <v/>
      </c>
      <c r="O225" t="str">
        <f t="shared" si="17"/>
        <v/>
      </c>
      <c r="P225" t="str">
        <f t="shared" si="19"/>
        <v/>
      </c>
    </row>
    <row r="226" spans="1:16" x14ac:dyDescent="0.2">
      <c r="A226" s="61" t="s">
        <v>820</v>
      </c>
      <c r="B226" t="s">
        <v>781</v>
      </c>
      <c r="C226" t="str">
        <f t="shared" si="18"/>
        <v>bank.bank_026</v>
      </c>
      <c r="D226" t="e">
        <f>IFERROR(VLOOKUP(A226,#REF!,1,0),VLOOKUP(C226,#REF!,1,0))</f>
        <v>#REF!</v>
      </c>
      <c r="E226" t="s">
        <v>781</v>
      </c>
      <c r="F226" t="s">
        <v>870</v>
      </c>
      <c r="N226" t="str">
        <f t="shared" si="16"/>
        <v/>
      </c>
      <c r="O226" t="str">
        <f t="shared" si="17"/>
        <v/>
      </c>
      <c r="P226" t="str">
        <f t="shared" si="19"/>
        <v/>
      </c>
    </row>
    <row r="227" spans="1:16" x14ac:dyDescent="0.2">
      <c r="A227" s="61" t="s">
        <v>821</v>
      </c>
      <c r="B227" t="s">
        <v>781</v>
      </c>
      <c r="C227" t="str">
        <f t="shared" si="18"/>
        <v>bank.bank_027</v>
      </c>
      <c r="D227" t="e">
        <f>IFERROR(VLOOKUP(A227,#REF!,1,0),VLOOKUP(C227,#REF!,1,0))</f>
        <v>#REF!</v>
      </c>
      <c r="E227" t="s">
        <v>781</v>
      </c>
      <c r="F227" t="s">
        <v>870</v>
      </c>
      <c r="N227" t="str">
        <f t="shared" si="16"/>
        <v/>
      </c>
      <c r="O227" t="str">
        <f t="shared" si="17"/>
        <v/>
      </c>
      <c r="P227" t="str">
        <f t="shared" si="19"/>
        <v/>
      </c>
    </row>
    <row r="228" spans="1:16" x14ac:dyDescent="0.2">
      <c r="A228" s="61" t="s">
        <v>822</v>
      </c>
      <c r="B228" t="s">
        <v>781</v>
      </c>
      <c r="C228" t="str">
        <f t="shared" si="18"/>
        <v>bank.bank_028</v>
      </c>
      <c r="D228" t="e">
        <f>IFERROR(VLOOKUP(A228,#REF!,1,0),VLOOKUP(C228,#REF!,1,0))</f>
        <v>#REF!</v>
      </c>
      <c r="E228" t="s">
        <v>781</v>
      </c>
      <c r="F228" t="s">
        <v>870</v>
      </c>
      <c r="N228" t="str">
        <f t="shared" si="16"/>
        <v/>
      </c>
      <c r="O228" t="str">
        <f t="shared" si="17"/>
        <v/>
      </c>
      <c r="P228" t="str">
        <f t="shared" si="19"/>
        <v/>
      </c>
    </row>
    <row r="229" spans="1:16" x14ac:dyDescent="0.2">
      <c r="A229" s="61" t="s">
        <v>823</v>
      </c>
      <c r="B229" t="s">
        <v>781</v>
      </c>
      <c r="C229" t="str">
        <f t="shared" si="18"/>
        <v>bank.bank_029</v>
      </c>
      <c r="D229" t="e">
        <f>IFERROR(VLOOKUP(A229,#REF!,1,0),VLOOKUP(C229,#REF!,1,0))</f>
        <v>#REF!</v>
      </c>
      <c r="E229" t="s">
        <v>781</v>
      </c>
      <c r="F229" t="s">
        <v>870</v>
      </c>
      <c r="N229" t="str">
        <f t="shared" si="16"/>
        <v/>
      </c>
      <c r="O229" t="str">
        <f t="shared" si="17"/>
        <v/>
      </c>
      <c r="P229" t="str">
        <f t="shared" si="19"/>
        <v/>
      </c>
    </row>
    <row r="230" spans="1:16" x14ac:dyDescent="0.2">
      <c r="A230" s="61" t="s">
        <v>824</v>
      </c>
      <c r="B230" t="s">
        <v>781</v>
      </c>
      <c r="C230" t="str">
        <f t="shared" si="18"/>
        <v>bank.bank_031</v>
      </c>
      <c r="D230" t="e">
        <f>IFERROR(VLOOKUP(A230,#REF!,1,0),VLOOKUP(C230,#REF!,1,0))</f>
        <v>#REF!</v>
      </c>
      <c r="E230" t="s">
        <v>781</v>
      </c>
      <c r="F230" t="s">
        <v>870</v>
      </c>
      <c r="N230" t="str">
        <f t="shared" si="16"/>
        <v/>
      </c>
      <c r="O230" t="str">
        <f t="shared" si="17"/>
        <v/>
      </c>
      <c r="P230" t="str">
        <f t="shared" si="19"/>
        <v/>
      </c>
    </row>
    <row r="231" spans="1:16" x14ac:dyDescent="0.2">
      <c r="A231" s="61" t="s">
        <v>825</v>
      </c>
      <c r="B231" t="s">
        <v>781</v>
      </c>
      <c r="C231" t="str">
        <f t="shared" si="18"/>
        <v>bank.bank_032</v>
      </c>
      <c r="D231" t="e">
        <f>IFERROR(VLOOKUP(A231,#REF!,1,0),VLOOKUP(C231,#REF!,1,0))</f>
        <v>#REF!</v>
      </c>
      <c r="E231" t="s">
        <v>781</v>
      </c>
      <c r="F231" t="s">
        <v>870</v>
      </c>
      <c r="N231" t="str">
        <f t="shared" si="16"/>
        <v/>
      </c>
      <c r="O231" t="str">
        <f t="shared" si="17"/>
        <v/>
      </c>
      <c r="P231" t="str">
        <f t="shared" si="19"/>
        <v/>
      </c>
    </row>
    <row r="232" spans="1:16" x14ac:dyDescent="0.2">
      <c r="A232" s="61" t="s">
        <v>826</v>
      </c>
      <c r="B232" t="s">
        <v>781</v>
      </c>
      <c r="C232" t="str">
        <f t="shared" si="18"/>
        <v>bank.bank_033</v>
      </c>
      <c r="D232" t="e">
        <f>IFERROR(VLOOKUP(A232,#REF!,1,0),VLOOKUP(C232,#REF!,1,0))</f>
        <v>#REF!</v>
      </c>
      <c r="E232" t="s">
        <v>781</v>
      </c>
      <c r="F232" t="s">
        <v>870</v>
      </c>
      <c r="N232" t="str">
        <f t="shared" si="16"/>
        <v/>
      </c>
      <c r="O232" t="str">
        <f t="shared" si="17"/>
        <v/>
      </c>
      <c r="P232" t="str">
        <f t="shared" si="19"/>
        <v/>
      </c>
    </row>
    <row r="233" spans="1:16" x14ac:dyDescent="0.2">
      <c r="A233" s="61" t="s">
        <v>827</v>
      </c>
      <c r="B233" t="s">
        <v>781</v>
      </c>
      <c r="C233" t="str">
        <f t="shared" si="18"/>
        <v>bank.bank_034</v>
      </c>
      <c r="D233" t="e">
        <f>IFERROR(VLOOKUP(A233,#REF!,1,0),VLOOKUP(C233,#REF!,1,0))</f>
        <v>#REF!</v>
      </c>
      <c r="E233" t="s">
        <v>781</v>
      </c>
      <c r="F233" t="s">
        <v>870</v>
      </c>
      <c r="N233" t="str">
        <f t="shared" si="16"/>
        <v/>
      </c>
      <c r="O233" t="str">
        <f t="shared" si="17"/>
        <v/>
      </c>
      <c r="P233" t="str">
        <f t="shared" si="19"/>
        <v/>
      </c>
    </row>
    <row r="234" spans="1:16" x14ac:dyDescent="0.2">
      <c r="A234" s="61" t="s">
        <v>828</v>
      </c>
      <c r="B234" t="s">
        <v>781</v>
      </c>
      <c r="C234" t="str">
        <f t="shared" si="18"/>
        <v>bank.bank_035</v>
      </c>
      <c r="D234" t="e">
        <f>IFERROR(VLOOKUP(A234,#REF!,1,0),VLOOKUP(C234,#REF!,1,0))</f>
        <v>#REF!</v>
      </c>
      <c r="E234" t="s">
        <v>781</v>
      </c>
      <c r="F234" t="s">
        <v>870</v>
      </c>
      <c r="N234" t="str">
        <f t="shared" si="16"/>
        <v/>
      </c>
      <c r="O234" t="str">
        <f t="shared" si="17"/>
        <v/>
      </c>
      <c r="P234" t="str">
        <f t="shared" si="19"/>
        <v/>
      </c>
    </row>
    <row r="235" spans="1:16" x14ac:dyDescent="0.2">
      <c r="A235" s="61" t="s">
        <v>829</v>
      </c>
      <c r="B235" t="s">
        <v>781</v>
      </c>
      <c r="C235" t="str">
        <f t="shared" si="18"/>
        <v>bank.bank_036</v>
      </c>
      <c r="D235" t="e">
        <f>IFERROR(VLOOKUP(A235,#REF!,1,0),VLOOKUP(C235,#REF!,1,0))</f>
        <v>#REF!</v>
      </c>
      <c r="E235" t="s">
        <v>781</v>
      </c>
      <c r="F235" t="s">
        <v>870</v>
      </c>
      <c r="N235" t="str">
        <f t="shared" si="16"/>
        <v/>
      </c>
      <c r="O235" t="str">
        <f t="shared" si="17"/>
        <v/>
      </c>
      <c r="P235" t="str">
        <f t="shared" si="19"/>
        <v/>
      </c>
    </row>
    <row r="236" spans="1:16" x14ac:dyDescent="0.2">
      <c r="A236" s="61" t="s">
        <v>830</v>
      </c>
      <c r="B236" t="s">
        <v>781</v>
      </c>
      <c r="C236" t="str">
        <f t="shared" si="18"/>
        <v>bank.bank_037</v>
      </c>
      <c r="D236" t="e">
        <f>IFERROR(VLOOKUP(A236,#REF!,1,0),VLOOKUP(C236,#REF!,1,0))</f>
        <v>#REF!</v>
      </c>
      <c r="E236" t="s">
        <v>781</v>
      </c>
      <c r="F236" t="s">
        <v>870</v>
      </c>
      <c r="N236" t="str">
        <f t="shared" si="16"/>
        <v/>
      </c>
      <c r="O236" t="str">
        <f t="shared" si="17"/>
        <v/>
      </c>
      <c r="P236" t="str">
        <f t="shared" si="19"/>
        <v/>
      </c>
    </row>
    <row r="237" spans="1:16" x14ac:dyDescent="0.2">
      <c r="A237" s="61" t="s">
        <v>831</v>
      </c>
      <c r="B237" t="s">
        <v>781</v>
      </c>
      <c r="C237" t="str">
        <f t="shared" si="18"/>
        <v>bank.bank_038</v>
      </c>
      <c r="D237" t="e">
        <f>IFERROR(VLOOKUP(A237,#REF!,1,0),VLOOKUP(C237,#REF!,1,0))</f>
        <v>#REF!</v>
      </c>
      <c r="E237" t="s">
        <v>781</v>
      </c>
      <c r="F237" t="s">
        <v>870</v>
      </c>
      <c r="N237" t="str">
        <f t="shared" si="16"/>
        <v/>
      </c>
      <c r="O237" t="str">
        <f t="shared" si="17"/>
        <v/>
      </c>
      <c r="P237" t="str">
        <f t="shared" si="19"/>
        <v/>
      </c>
    </row>
    <row r="238" spans="1:16" x14ac:dyDescent="0.2">
      <c r="A238" s="61" t="s">
        <v>832</v>
      </c>
      <c r="B238" t="s">
        <v>781</v>
      </c>
      <c r="C238" t="str">
        <f t="shared" si="18"/>
        <v>bank.bank_039</v>
      </c>
      <c r="D238" t="e">
        <f>IFERROR(VLOOKUP(A238,#REF!,1,0),VLOOKUP(C238,#REF!,1,0))</f>
        <v>#REF!</v>
      </c>
      <c r="E238" t="s">
        <v>781</v>
      </c>
      <c r="F238" t="s">
        <v>870</v>
      </c>
      <c r="N238" t="str">
        <f t="shared" si="16"/>
        <v/>
      </c>
      <c r="O238" t="str">
        <f t="shared" si="17"/>
        <v/>
      </c>
      <c r="P238" t="str">
        <f t="shared" si="19"/>
        <v/>
      </c>
    </row>
    <row r="239" spans="1:16" x14ac:dyDescent="0.2">
      <c r="A239" s="61" t="s">
        <v>833</v>
      </c>
      <c r="B239" t="s">
        <v>781</v>
      </c>
      <c r="C239" t="str">
        <f t="shared" si="18"/>
        <v>bank.bank_040</v>
      </c>
      <c r="D239" t="e">
        <f>IFERROR(VLOOKUP(A239,#REF!,1,0),VLOOKUP(C239,#REF!,1,0))</f>
        <v>#REF!</v>
      </c>
      <c r="E239" t="s">
        <v>781</v>
      </c>
      <c r="F239" t="s">
        <v>870</v>
      </c>
      <c r="N239" t="str">
        <f t="shared" si="16"/>
        <v/>
      </c>
      <c r="O239" t="str">
        <f t="shared" si="17"/>
        <v/>
      </c>
      <c r="P239" t="str">
        <f t="shared" si="19"/>
        <v/>
      </c>
    </row>
    <row r="240" spans="1:16" x14ac:dyDescent="0.2">
      <c r="A240" s="61" t="s">
        <v>834</v>
      </c>
      <c r="B240" t="s">
        <v>781</v>
      </c>
      <c r="C240" t="str">
        <f t="shared" si="18"/>
        <v>bank.bank_041</v>
      </c>
      <c r="D240" t="e">
        <f>IFERROR(VLOOKUP(A240,#REF!,1,0),VLOOKUP(C240,#REF!,1,0))</f>
        <v>#REF!</v>
      </c>
      <c r="E240" t="s">
        <v>781</v>
      </c>
      <c r="F240" t="s">
        <v>870</v>
      </c>
      <c r="N240" t="str">
        <f t="shared" si="16"/>
        <v/>
      </c>
      <c r="O240" t="str">
        <f t="shared" si="17"/>
        <v/>
      </c>
      <c r="P240" t="str">
        <f t="shared" si="19"/>
        <v/>
      </c>
    </row>
    <row r="241" spans="1:16" x14ac:dyDescent="0.2">
      <c r="A241" s="61" t="s">
        <v>835</v>
      </c>
      <c r="B241" t="s">
        <v>781</v>
      </c>
      <c r="C241" t="str">
        <f t="shared" si="18"/>
        <v>bank.bank_042</v>
      </c>
      <c r="D241" t="e">
        <f>IFERROR(VLOOKUP(A241,#REF!,1,0),VLOOKUP(C241,#REF!,1,0))</f>
        <v>#REF!</v>
      </c>
      <c r="E241" t="s">
        <v>781</v>
      </c>
      <c r="F241" t="s">
        <v>870</v>
      </c>
      <c r="N241" t="str">
        <f t="shared" si="16"/>
        <v/>
      </c>
      <c r="O241" t="str">
        <f t="shared" si="17"/>
        <v/>
      </c>
      <c r="P241" t="str">
        <f t="shared" si="19"/>
        <v/>
      </c>
    </row>
    <row r="242" spans="1:16" x14ac:dyDescent="0.2">
      <c r="A242" s="61" t="s">
        <v>836</v>
      </c>
      <c r="B242" t="s">
        <v>781</v>
      </c>
      <c r="C242" t="str">
        <f t="shared" si="18"/>
        <v>bank.bank_043</v>
      </c>
      <c r="D242" t="e">
        <f>IFERROR(VLOOKUP(A242,#REF!,1,0),VLOOKUP(C242,#REF!,1,0))</f>
        <v>#REF!</v>
      </c>
      <c r="E242" t="s">
        <v>781</v>
      </c>
      <c r="F242" t="s">
        <v>870</v>
      </c>
      <c r="N242" t="str">
        <f t="shared" si="16"/>
        <v/>
      </c>
      <c r="O242" t="str">
        <f t="shared" si="17"/>
        <v/>
      </c>
      <c r="P242" t="str">
        <f t="shared" si="19"/>
        <v/>
      </c>
    </row>
    <row r="243" spans="1:16" x14ac:dyDescent="0.2">
      <c r="A243" s="61" t="s">
        <v>837</v>
      </c>
      <c r="B243" t="s">
        <v>781</v>
      </c>
      <c r="C243" t="str">
        <f t="shared" si="18"/>
        <v>bank.bank_044</v>
      </c>
      <c r="D243" t="e">
        <f>IFERROR(VLOOKUP(A243,#REF!,1,0),VLOOKUP(C243,#REF!,1,0))</f>
        <v>#REF!</v>
      </c>
      <c r="E243" t="s">
        <v>781</v>
      </c>
      <c r="F243" t="s">
        <v>870</v>
      </c>
      <c r="N243" t="str">
        <f t="shared" si="16"/>
        <v/>
      </c>
      <c r="O243" t="str">
        <f t="shared" si="17"/>
        <v/>
      </c>
      <c r="P243" t="str">
        <f t="shared" si="19"/>
        <v/>
      </c>
    </row>
    <row r="244" spans="1:16" x14ac:dyDescent="0.2">
      <c r="A244" s="61" t="s">
        <v>838</v>
      </c>
      <c r="B244" t="s">
        <v>781</v>
      </c>
      <c r="C244" t="str">
        <f t="shared" si="18"/>
        <v>bank.bank_046</v>
      </c>
      <c r="D244" t="e">
        <f>IFERROR(VLOOKUP(A244,#REF!,1,0),VLOOKUP(C244,#REF!,1,0))</f>
        <v>#REF!</v>
      </c>
      <c r="E244" t="s">
        <v>781</v>
      </c>
      <c r="F244" t="s">
        <v>870</v>
      </c>
      <c r="N244" t="str">
        <f t="shared" si="16"/>
        <v/>
      </c>
      <c r="O244" t="str">
        <f t="shared" si="17"/>
        <v/>
      </c>
      <c r="P244" t="str">
        <f t="shared" si="19"/>
        <v/>
      </c>
    </row>
    <row r="245" spans="1:16" x14ac:dyDescent="0.2">
      <c r="A245" s="61" t="s">
        <v>839</v>
      </c>
      <c r="B245" t="s">
        <v>781</v>
      </c>
      <c r="C245" t="str">
        <f t="shared" si="18"/>
        <v>bank.bank_047</v>
      </c>
      <c r="D245" t="e">
        <f>IFERROR(VLOOKUP(A245,#REF!,1,0),VLOOKUP(C245,#REF!,1,0))</f>
        <v>#REF!</v>
      </c>
      <c r="E245" t="s">
        <v>781</v>
      </c>
      <c r="F245" t="s">
        <v>870</v>
      </c>
      <c r="N245" t="str">
        <f t="shared" si="16"/>
        <v/>
      </c>
      <c r="O245" t="str">
        <f t="shared" si="17"/>
        <v/>
      </c>
      <c r="P245" t="str">
        <f t="shared" si="19"/>
        <v/>
      </c>
    </row>
    <row r="246" spans="1:16" x14ac:dyDescent="0.2">
      <c r="A246" s="61" t="s">
        <v>840</v>
      </c>
      <c r="B246" t="s">
        <v>781</v>
      </c>
      <c r="C246" t="str">
        <f t="shared" si="18"/>
        <v>bank.bank_048</v>
      </c>
      <c r="D246" t="e">
        <f>IFERROR(VLOOKUP(A246,#REF!,1,0),VLOOKUP(C246,#REF!,1,0))</f>
        <v>#REF!</v>
      </c>
      <c r="E246" t="s">
        <v>781</v>
      </c>
      <c r="F246" t="s">
        <v>870</v>
      </c>
      <c r="N246" t="str">
        <f t="shared" si="16"/>
        <v/>
      </c>
      <c r="O246" t="str">
        <f t="shared" si="17"/>
        <v/>
      </c>
      <c r="P246" t="str">
        <f t="shared" si="19"/>
        <v/>
      </c>
    </row>
    <row r="247" spans="1:16" x14ac:dyDescent="0.2">
      <c r="A247" s="61" t="s">
        <v>841</v>
      </c>
      <c r="B247" t="s">
        <v>781</v>
      </c>
      <c r="C247" t="str">
        <f t="shared" si="18"/>
        <v>bank.bank_049</v>
      </c>
      <c r="D247" t="e">
        <f>IFERROR(VLOOKUP(A247,#REF!,1,0),VLOOKUP(C247,#REF!,1,0))</f>
        <v>#REF!</v>
      </c>
      <c r="E247" t="s">
        <v>781</v>
      </c>
      <c r="F247" t="s">
        <v>870</v>
      </c>
      <c r="N247" t="str">
        <f t="shared" si="16"/>
        <v/>
      </c>
      <c r="O247" t="str">
        <f t="shared" si="17"/>
        <v/>
      </c>
      <c r="P247" t="str">
        <f t="shared" si="19"/>
        <v/>
      </c>
    </row>
    <row r="248" spans="1:16" x14ac:dyDescent="0.2">
      <c r="A248" s="61" t="s">
        <v>842</v>
      </c>
      <c r="B248" t="s">
        <v>781</v>
      </c>
      <c r="C248" t="str">
        <f t="shared" si="18"/>
        <v>bank.bank_050</v>
      </c>
      <c r="D248" t="e">
        <f>IFERROR(VLOOKUP(A248,#REF!,1,0),VLOOKUP(C248,#REF!,1,0))</f>
        <v>#REF!</v>
      </c>
      <c r="E248" t="s">
        <v>781</v>
      </c>
      <c r="F248" t="s">
        <v>870</v>
      </c>
      <c r="N248" t="str">
        <f t="shared" si="16"/>
        <v/>
      </c>
      <c r="O248" t="str">
        <f t="shared" si="17"/>
        <v/>
      </c>
      <c r="P248" t="str">
        <f t="shared" si="19"/>
        <v/>
      </c>
    </row>
    <row r="249" spans="1:16" x14ac:dyDescent="0.2">
      <c r="A249" s="61" t="s">
        <v>843</v>
      </c>
      <c r="B249" t="s">
        <v>781</v>
      </c>
      <c r="C249" t="str">
        <f t="shared" si="18"/>
        <v>bank.bank_051</v>
      </c>
      <c r="D249" t="e">
        <f>IFERROR(VLOOKUP(A249,#REF!,1,0),VLOOKUP(C249,#REF!,1,0))</f>
        <v>#REF!</v>
      </c>
      <c r="E249" t="s">
        <v>781</v>
      </c>
      <c r="F249" t="s">
        <v>870</v>
      </c>
      <c r="N249" t="str">
        <f t="shared" si="16"/>
        <v/>
      </c>
      <c r="O249" t="str">
        <f t="shared" si="17"/>
        <v/>
      </c>
      <c r="P249" t="str">
        <f t="shared" si="19"/>
        <v/>
      </c>
    </row>
    <row r="250" spans="1:16" x14ac:dyDescent="0.2">
      <c r="A250" s="61" t="s">
        <v>844</v>
      </c>
      <c r="B250" t="s">
        <v>781</v>
      </c>
      <c r="C250" t="str">
        <f t="shared" si="18"/>
        <v>bank.bank_052</v>
      </c>
      <c r="D250" t="e">
        <f>IFERROR(VLOOKUP(A250,#REF!,1,0),VLOOKUP(C250,#REF!,1,0))</f>
        <v>#REF!</v>
      </c>
      <c r="E250" t="s">
        <v>781</v>
      </c>
      <c r="F250" t="s">
        <v>870</v>
      </c>
      <c r="N250" t="str">
        <f t="shared" si="16"/>
        <v/>
      </c>
      <c r="O250" t="str">
        <f t="shared" si="17"/>
        <v/>
      </c>
      <c r="P250" t="str">
        <f t="shared" si="19"/>
        <v/>
      </c>
    </row>
    <row r="251" spans="1:16" x14ac:dyDescent="0.2">
      <c r="A251" s="61" t="s">
        <v>845</v>
      </c>
      <c r="B251" t="s">
        <v>781</v>
      </c>
      <c r="C251" t="str">
        <f t="shared" ref="C251:C259" si="20">B251&amp;"."&amp;A251</f>
        <v>bank.bank_053</v>
      </c>
      <c r="D251" t="e">
        <f>IFERROR(VLOOKUP(A251,#REF!,1,0),VLOOKUP(C251,#REF!,1,0))</f>
        <v>#REF!</v>
      </c>
      <c r="E251" t="s">
        <v>781</v>
      </c>
      <c r="F251" t="s">
        <v>870</v>
      </c>
      <c r="N251" t="str">
        <f t="shared" si="16"/>
        <v/>
      </c>
      <c r="O251" t="str">
        <f t="shared" si="17"/>
        <v/>
      </c>
      <c r="P251" t="str">
        <f t="shared" si="19"/>
        <v/>
      </c>
    </row>
    <row r="252" spans="1:16" x14ac:dyDescent="0.2">
      <c r="A252" s="61" t="s">
        <v>846</v>
      </c>
      <c r="B252" t="s">
        <v>781</v>
      </c>
      <c r="C252" t="str">
        <f t="shared" si="20"/>
        <v>bank.bank_054</v>
      </c>
      <c r="D252" t="e">
        <f>IFERROR(VLOOKUP(A252,#REF!,1,0),VLOOKUP(C252,#REF!,1,0))</f>
        <v>#REF!</v>
      </c>
      <c r="E252" t="s">
        <v>781</v>
      </c>
      <c r="F252" t="s">
        <v>870</v>
      </c>
      <c r="N252" t="str">
        <f t="shared" si="16"/>
        <v/>
      </c>
      <c r="O252" t="str">
        <f t="shared" si="17"/>
        <v/>
      </c>
      <c r="P252" t="str">
        <f t="shared" ref="P252:P259" si="21">N252&amp;O252</f>
        <v/>
      </c>
    </row>
    <row r="253" spans="1:16" x14ac:dyDescent="0.2">
      <c r="A253" s="61" t="s">
        <v>847</v>
      </c>
      <c r="B253" t="s">
        <v>781</v>
      </c>
      <c r="C253" t="str">
        <f t="shared" si="20"/>
        <v>bank.bank_055</v>
      </c>
      <c r="D253" t="e">
        <f>IFERROR(VLOOKUP(A253,#REF!,1,0),VLOOKUP(C253,#REF!,1,0))</f>
        <v>#REF!</v>
      </c>
      <c r="E253" t="s">
        <v>781</v>
      </c>
      <c r="F253" t="s">
        <v>870</v>
      </c>
      <c r="N253" t="str">
        <f t="shared" si="16"/>
        <v/>
      </c>
      <c r="O253" t="str">
        <f t="shared" si="17"/>
        <v/>
      </c>
      <c r="P253" t="str">
        <f t="shared" si="21"/>
        <v/>
      </c>
    </row>
    <row r="254" spans="1:16" x14ac:dyDescent="0.2">
      <c r="A254" s="61" t="s">
        <v>848</v>
      </c>
      <c r="B254" t="s">
        <v>781</v>
      </c>
      <c r="C254" t="str">
        <f t="shared" si="20"/>
        <v>bank.bank_056</v>
      </c>
      <c r="D254" t="e">
        <f>IFERROR(VLOOKUP(A254,#REF!,1,0),VLOOKUP(C254,#REF!,1,0))</f>
        <v>#REF!</v>
      </c>
      <c r="E254" t="s">
        <v>781</v>
      </c>
      <c r="F254" t="s">
        <v>870</v>
      </c>
      <c r="N254" t="str">
        <f t="shared" si="16"/>
        <v/>
      </c>
      <c r="O254" t="str">
        <f t="shared" si="17"/>
        <v/>
      </c>
      <c r="P254" t="str">
        <f t="shared" si="21"/>
        <v/>
      </c>
    </row>
    <row r="255" spans="1:16" x14ac:dyDescent="0.2">
      <c r="A255" s="61" t="s">
        <v>849</v>
      </c>
      <c r="B255" t="s">
        <v>781</v>
      </c>
      <c r="C255" t="str">
        <f t="shared" si="20"/>
        <v>bank.bank_057</v>
      </c>
      <c r="D255" t="e">
        <f>IFERROR(VLOOKUP(A255,#REF!,1,0),VLOOKUP(C255,#REF!,1,0))</f>
        <v>#REF!</v>
      </c>
      <c r="E255" t="s">
        <v>781</v>
      </c>
      <c r="F255" t="s">
        <v>870</v>
      </c>
      <c r="N255" t="str">
        <f t="shared" si="16"/>
        <v/>
      </c>
      <c r="O255" t="str">
        <f t="shared" si="17"/>
        <v/>
      </c>
      <c r="P255" t="str">
        <f t="shared" si="21"/>
        <v/>
      </c>
    </row>
    <row r="256" spans="1:16" x14ac:dyDescent="0.2">
      <c r="A256" s="61" t="s">
        <v>850</v>
      </c>
      <c r="B256" t="s">
        <v>781</v>
      </c>
      <c r="C256" t="str">
        <f t="shared" si="20"/>
        <v>bank.bank_058</v>
      </c>
      <c r="D256" t="e">
        <f>IFERROR(VLOOKUP(A256,#REF!,1,0),VLOOKUP(C256,#REF!,1,0))</f>
        <v>#REF!</v>
      </c>
      <c r="E256" t="s">
        <v>781</v>
      </c>
      <c r="F256" t="s">
        <v>870</v>
      </c>
      <c r="N256" t="str">
        <f t="shared" si="16"/>
        <v/>
      </c>
      <c r="O256" t="str">
        <f t="shared" si="17"/>
        <v/>
      </c>
      <c r="P256" t="str">
        <f t="shared" si="21"/>
        <v/>
      </c>
    </row>
    <row r="257" spans="1:16" x14ac:dyDescent="0.2">
      <c r="A257" s="61" t="s">
        <v>851</v>
      </c>
      <c r="B257" t="s">
        <v>781</v>
      </c>
      <c r="C257" t="str">
        <f t="shared" si="20"/>
        <v>bank.bank_059</v>
      </c>
      <c r="D257" t="e">
        <f>IFERROR(VLOOKUP(A257,#REF!,1,0),VLOOKUP(C257,#REF!,1,0))</f>
        <v>#REF!</v>
      </c>
      <c r="E257" t="s">
        <v>781</v>
      </c>
      <c r="F257" t="s">
        <v>870</v>
      </c>
      <c r="N257" t="str">
        <f t="shared" si="16"/>
        <v/>
      </c>
      <c r="O257" t="str">
        <f t="shared" si="17"/>
        <v/>
      </c>
      <c r="P257" t="str">
        <f t="shared" si="21"/>
        <v/>
      </c>
    </row>
    <row r="258" spans="1:16" x14ac:dyDescent="0.2">
      <c r="A258" s="61" t="s">
        <v>852</v>
      </c>
      <c r="B258" t="s">
        <v>781</v>
      </c>
      <c r="C258" t="str">
        <f t="shared" si="20"/>
        <v>bank.information</v>
      </c>
      <c r="D258" t="e">
        <f>IFERROR(VLOOKUP(A258,#REF!,1,0),VLOOKUP(C258,#REF!,1,0))</f>
        <v>#REF!</v>
      </c>
      <c r="E258" t="s">
        <v>781</v>
      </c>
      <c r="F258" t="s">
        <v>870</v>
      </c>
      <c r="N258" t="str">
        <f t="shared" ref="N258:N301" si="22">IFERROR(VLOOKUP(H258,A:A,1,0),"")</f>
        <v/>
      </c>
      <c r="O258" t="str">
        <f t="shared" ref="O258:O301" si="23">IFERROR(VLOOKUP(H258,C:C,1,0),"")</f>
        <v/>
      </c>
      <c r="P258" t="str">
        <f t="shared" si="21"/>
        <v/>
      </c>
    </row>
    <row r="259" spans="1:16" x14ac:dyDescent="0.2">
      <c r="A259" s="61" t="s">
        <v>853</v>
      </c>
      <c r="B259" t="s">
        <v>781</v>
      </c>
      <c r="C259" t="str">
        <f t="shared" si="20"/>
        <v>bank.bank_list</v>
      </c>
      <c r="D259" t="e">
        <f>IFERROR(VLOOKUP(A259,#REF!,1,0),VLOOKUP(C259,#REF!,1,0))</f>
        <v>#REF!</v>
      </c>
      <c r="E259" t="s">
        <v>781</v>
      </c>
      <c r="F259" t="s">
        <v>870</v>
      </c>
      <c r="N259" t="str">
        <f t="shared" si="22"/>
        <v/>
      </c>
      <c r="O259" t="str">
        <f t="shared" si="23"/>
        <v/>
      </c>
      <c r="P259" t="str">
        <f t="shared" si="21"/>
        <v/>
      </c>
    </row>
    <row r="260" spans="1:16" x14ac:dyDescent="0.2">
      <c r="N260" t="str">
        <f t="shared" si="22"/>
        <v/>
      </c>
      <c r="O260" t="str">
        <f t="shared" si="23"/>
        <v/>
      </c>
      <c r="P260" t="str">
        <f t="shared" si="3"/>
        <v/>
      </c>
    </row>
    <row r="261" spans="1:16" x14ac:dyDescent="0.2">
      <c r="H261" t="s">
        <v>318</v>
      </c>
      <c r="N261" t="str">
        <f t="shared" si="22"/>
        <v>agricultures</v>
      </c>
      <c r="O261" t="str">
        <f t="shared" si="23"/>
        <v/>
      </c>
      <c r="P261" t="str">
        <f t="shared" si="3"/>
        <v>agricultures</v>
      </c>
    </row>
    <row r="262" spans="1:16" x14ac:dyDescent="0.2">
      <c r="N262" t="str">
        <f t="shared" si="22"/>
        <v/>
      </c>
      <c r="O262" t="str">
        <f t="shared" si="23"/>
        <v/>
      </c>
      <c r="P262" t="str">
        <f t="shared" ref="P262:P298" si="24">N262&amp;O262</f>
        <v/>
      </c>
    </row>
    <row r="263" spans="1:16" x14ac:dyDescent="0.2">
      <c r="H263" t="s">
        <v>562</v>
      </c>
      <c r="N263" t="str">
        <f t="shared" si="22"/>
        <v/>
      </c>
      <c r="O263" t="str">
        <f t="shared" si="23"/>
        <v>qishloq_xojaligi.e_ijara</v>
      </c>
      <c r="P263" t="str">
        <f t="shared" si="24"/>
        <v>qishloq_xojaligi.e_ijara</v>
      </c>
    </row>
    <row r="264" spans="1:16" x14ac:dyDescent="0.2">
      <c r="N264" t="str">
        <f t="shared" si="22"/>
        <v/>
      </c>
      <c r="O264" t="str">
        <f t="shared" si="23"/>
        <v/>
      </c>
      <c r="P264" t="str">
        <f t="shared" si="24"/>
        <v/>
      </c>
    </row>
    <row r="265" spans="1:16" x14ac:dyDescent="0.2">
      <c r="N265" t="str">
        <f t="shared" si="22"/>
        <v/>
      </c>
      <c r="O265" t="str">
        <f t="shared" si="23"/>
        <v/>
      </c>
      <c r="P265" t="str">
        <f t="shared" si="24"/>
        <v/>
      </c>
    </row>
    <row r="266" spans="1:16" x14ac:dyDescent="0.2">
      <c r="N266" t="str">
        <f t="shared" si="22"/>
        <v/>
      </c>
      <c r="O266" t="str">
        <f t="shared" si="23"/>
        <v/>
      </c>
      <c r="P266" t="str">
        <f t="shared" si="24"/>
        <v/>
      </c>
    </row>
    <row r="267" spans="1:16" x14ac:dyDescent="0.2">
      <c r="H267" t="s">
        <v>683</v>
      </c>
      <c r="I267" t="s">
        <v>685</v>
      </c>
      <c r="N267" t="str">
        <f t="shared" si="22"/>
        <v>export</v>
      </c>
      <c r="O267" t="str">
        <f t="shared" si="23"/>
        <v/>
      </c>
      <c r="P267" t="str">
        <f t="shared" si="24"/>
        <v>export</v>
      </c>
    </row>
    <row r="268" spans="1:16" x14ac:dyDescent="0.2">
      <c r="N268" t="str">
        <f t="shared" si="22"/>
        <v/>
      </c>
      <c r="O268" t="str">
        <f t="shared" si="23"/>
        <v/>
      </c>
      <c r="P268" t="str">
        <f t="shared" si="24"/>
        <v/>
      </c>
    </row>
    <row r="269" spans="1:16" x14ac:dyDescent="0.2">
      <c r="N269" t="str">
        <f t="shared" si="22"/>
        <v/>
      </c>
      <c r="O269" t="str">
        <f t="shared" si="23"/>
        <v/>
      </c>
      <c r="P269" t="str">
        <f t="shared" si="24"/>
        <v/>
      </c>
    </row>
    <row r="270" spans="1:16" x14ac:dyDescent="0.2">
      <c r="N270" t="str">
        <f t="shared" si="22"/>
        <v/>
      </c>
      <c r="O270" t="str">
        <f t="shared" si="23"/>
        <v/>
      </c>
      <c r="P270" t="str">
        <f t="shared" si="24"/>
        <v/>
      </c>
    </row>
    <row r="271" spans="1:16" x14ac:dyDescent="0.2">
      <c r="N271" t="str">
        <f t="shared" si="22"/>
        <v/>
      </c>
      <c r="O271" t="str">
        <f t="shared" si="23"/>
        <v/>
      </c>
      <c r="P271" t="str">
        <f t="shared" si="24"/>
        <v/>
      </c>
    </row>
    <row r="272" spans="1:16" x14ac:dyDescent="0.2">
      <c r="H272" t="s">
        <v>571</v>
      </c>
      <c r="N272" t="str">
        <f t="shared" si="22"/>
        <v/>
      </c>
      <c r="O272" t="str">
        <f t="shared" si="23"/>
        <v>soliq.tax_report</v>
      </c>
      <c r="P272" t="str">
        <f t="shared" si="24"/>
        <v>soliq.tax_report</v>
      </c>
    </row>
    <row r="273" spans="8:16" x14ac:dyDescent="0.2">
      <c r="H273" t="s">
        <v>857</v>
      </c>
      <c r="N273" t="str">
        <f t="shared" si="22"/>
        <v/>
      </c>
      <c r="O273" t="str">
        <f t="shared" si="23"/>
        <v>soliq.send_tax_worker</v>
      </c>
      <c r="P273" t="str">
        <f t="shared" si="24"/>
        <v>soliq.send_tax_worker</v>
      </c>
    </row>
    <row r="274" spans="8:16" x14ac:dyDescent="0.2">
      <c r="N274" t="str">
        <f t="shared" si="22"/>
        <v/>
      </c>
      <c r="O274" t="str">
        <f t="shared" si="23"/>
        <v/>
      </c>
      <c r="P274" t="str">
        <f t="shared" si="24"/>
        <v/>
      </c>
    </row>
    <row r="275" spans="8:16" x14ac:dyDescent="0.2">
      <c r="H275" t="s">
        <v>320</v>
      </c>
      <c r="N275" t="str">
        <f t="shared" si="22"/>
        <v/>
      </c>
      <c r="O275" t="str">
        <f t="shared" si="23"/>
        <v/>
      </c>
      <c r="P275" t="str">
        <f t="shared" si="24"/>
        <v/>
      </c>
    </row>
    <row r="276" spans="8:16" x14ac:dyDescent="0.2">
      <c r="N276" t="str">
        <f t="shared" si="22"/>
        <v/>
      </c>
      <c r="O276" t="str">
        <f t="shared" si="23"/>
        <v/>
      </c>
      <c r="P276" t="str">
        <f t="shared" si="24"/>
        <v/>
      </c>
    </row>
    <row r="277" spans="8:16" x14ac:dyDescent="0.2">
      <c r="N277" t="str">
        <f t="shared" si="22"/>
        <v/>
      </c>
      <c r="O277" t="str">
        <f t="shared" si="23"/>
        <v/>
      </c>
      <c r="P277" t="str">
        <f t="shared" si="24"/>
        <v/>
      </c>
    </row>
    <row r="278" spans="8:16" x14ac:dyDescent="0.2">
      <c r="N278" t="str">
        <f t="shared" si="22"/>
        <v/>
      </c>
      <c r="O278" t="str">
        <f t="shared" si="23"/>
        <v/>
      </c>
      <c r="P278" t="str">
        <f t="shared" si="24"/>
        <v/>
      </c>
    </row>
    <row r="279" spans="8:16" x14ac:dyDescent="0.2">
      <c r="N279" t="str">
        <f t="shared" si="22"/>
        <v/>
      </c>
      <c r="O279" t="str">
        <f t="shared" si="23"/>
        <v/>
      </c>
      <c r="P279" t="str">
        <f t="shared" si="24"/>
        <v/>
      </c>
    </row>
    <row r="280" spans="8:16" x14ac:dyDescent="0.2">
      <c r="H280" t="s">
        <v>577</v>
      </c>
      <c r="N280" t="str">
        <f t="shared" si="22"/>
        <v/>
      </c>
      <c r="O280" t="str">
        <f t="shared" si="23"/>
        <v>gayi.cars</v>
      </c>
      <c r="P280" t="str">
        <f t="shared" si="24"/>
        <v>gayi.cars</v>
      </c>
    </row>
    <row r="281" spans="8:16" x14ac:dyDescent="0.2">
      <c r="H281" t="s">
        <v>578</v>
      </c>
      <c r="N281" t="str">
        <f t="shared" si="22"/>
        <v/>
      </c>
      <c r="O281" t="str">
        <f t="shared" si="23"/>
        <v>gayi.haydovchilik_guvohnomasi</v>
      </c>
      <c r="P281" t="str">
        <f t="shared" si="24"/>
        <v>gayi.haydovchilik_guvohnomasi</v>
      </c>
    </row>
    <row r="282" spans="8:16" x14ac:dyDescent="0.2">
      <c r="N282" t="str">
        <f t="shared" si="22"/>
        <v/>
      </c>
      <c r="O282" t="str">
        <f t="shared" si="23"/>
        <v/>
      </c>
      <c r="P282" t="str">
        <f t="shared" si="24"/>
        <v/>
      </c>
    </row>
    <row r="283" spans="8:16" x14ac:dyDescent="0.2">
      <c r="H283" t="s">
        <v>859</v>
      </c>
      <c r="N283" t="str">
        <f t="shared" si="22"/>
        <v/>
      </c>
      <c r="O283" t="str">
        <f t="shared" si="23"/>
        <v>employement.hunarmand_shogird</v>
      </c>
      <c r="P283" t="str">
        <f t="shared" si="24"/>
        <v>employement.hunarmand_shogird</v>
      </c>
    </row>
    <row r="284" spans="8:16" x14ac:dyDescent="0.2">
      <c r="N284" t="str">
        <f t="shared" si="22"/>
        <v/>
      </c>
      <c r="O284" t="str">
        <f t="shared" si="23"/>
        <v/>
      </c>
      <c r="P284" t="str">
        <f t="shared" si="24"/>
        <v/>
      </c>
    </row>
    <row r="285" spans="8:16" x14ac:dyDescent="0.2">
      <c r="H285" t="s">
        <v>552</v>
      </c>
      <c r="N285" t="str">
        <f t="shared" si="22"/>
        <v/>
      </c>
      <c r="O285" t="str">
        <f t="shared" si="23"/>
        <v>sport.organization_info</v>
      </c>
      <c r="P285" t="str">
        <f t="shared" si="24"/>
        <v>sport.organization_info</v>
      </c>
    </row>
    <row r="286" spans="8:16" x14ac:dyDescent="0.2">
      <c r="H286" t="s">
        <v>556</v>
      </c>
      <c r="N286" t="str">
        <f t="shared" si="22"/>
        <v/>
      </c>
      <c r="O286" t="str">
        <f t="shared" si="23"/>
        <v>sport.employee_info</v>
      </c>
      <c r="P286" t="str">
        <f t="shared" si="24"/>
        <v>sport.employee_info</v>
      </c>
    </row>
    <row r="287" spans="8:16" x14ac:dyDescent="0.2">
      <c r="H287" t="s">
        <v>580</v>
      </c>
      <c r="N287" t="str">
        <f t="shared" si="22"/>
        <v/>
      </c>
      <c r="O287" t="str">
        <f t="shared" si="23"/>
        <v>sport.trener_info</v>
      </c>
      <c r="P287" t="str">
        <f t="shared" si="24"/>
        <v>sport.trener_info</v>
      </c>
    </row>
    <row r="288" spans="8:16" x14ac:dyDescent="0.2">
      <c r="H288" t="s">
        <v>553</v>
      </c>
      <c r="N288" t="str">
        <f t="shared" si="22"/>
        <v/>
      </c>
      <c r="O288" t="str">
        <f t="shared" si="23"/>
        <v>sport.trener_app_qual_category</v>
      </c>
      <c r="P288" t="str">
        <f t="shared" si="24"/>
        <v>sport.trener_app_qual_category</v>
      </c>
    </row>
    <row r="289" spans="8:16" x14ac:dyDescent="0.2">
      <c r="H289" t="s">
        <v>554</v>
      </c>
      <c r="N289" t="str">
        <f t="shared" si="22"/>
        <v/>
      </c>
      <c r="O289" t="str">
        <f t="shared" si="23"/>
        <v>sport.instructor_app_qual_category</v>
      </c>
      <c r="P289" t="str">
        <f t="shared" si="24"/>
        <v>sport.instructor_app_qual_category</v>
      </c>
    </row>
    <row r="290" spans="8:16" x14ac:dyDescent="0.2">
      <c r="H290" t="s">
        <v>555</v>
      </c>
      <c r="N290" t="str">
        <f t="shared" si="22"/>
        <v/>
      </c>
      <c r="O290" t="str">
        <f t="shared" si="23"/>
        <v>sport.jury_app_qual_category</v>
      </c>
      <c r="P290" t="str">
        <f t="shared" si="24"/>
        <v>sport.jury_app_qual_category</v>
      </c>
    </row>
    <row r="291" spans="8:16" x14ac:dyDescent="0.2">
      <c r="H291" t="s">
        <v>556</v>
      </c>
      <c r="N291" t="str">
        <f t="shared" si="22"/>
        <v/>
      </c>
      <c r="O291" t="str">
        <f t="shared" si="23"/>
        <v>sport.employee_info</v>
      </c>
      <c r="P291" t="str">
        <f t="shared" si="24"/>
        <v>sport.employee_info</v>
      </c>
    </row>
    <row r="292" spans="8:16" x14ac:dyDescent="0.2">
      <c r="H292" t="s">
        <v>323</v>
      </c>
      <c r="N292" t="str">
        <f t="shared" si="22"/>
        <v/>
      </c>
      <c r="O292" t="str">
        <f t="shared" si="23"/>
        <v>subsidy.younger_note_book</v>
      </c>
      <c r="P292" t="str">
        <f t="shared" si="24"/>
        <v>subsidy.younger_note_book</v>
      </c>
    </row>
    <row r="293" spans="8:16" x14ac:dyDescent="0.2">
      <c r="H293" t="s">
        <v>321</v>
      </c>
      <c r="N293" t="str">
        <f t="shared" si="22"/>
        <v/>
      </c>
      <c r="O293" t="str">
        <f t="shared" si="23"/>
        <v>subsidy.younger_help</v>
      </c>
      <c r="P293" t="str">
        <f t="shared" si="24"/>
        <v>subsidy.younger_help</v>
      </c>
    </row>
    <row r="294" spans="8:16" x14ac:dyDescent="0.2">
      <c r="H294" t="s">
        <v>322</v>
      </c>
      <c r="N294" t="str">
        <f t="shared" si="22"/>
        <v/>
      </c>
      <c r="O294" t="str">
        <f t="shared" si="23"/>
        <v>subsidy.yuonger_all_report</v>
      </c>
      <c r="P294" t="str">
        <f t="shared" si="24"/>
        <v>subsidy.yuonger_all_report</v>
      </c>
    </row>
    <row r="295" spans="8:16" x14ac:dyDescent="0.2">
      <c r="N295" t="str">
        <f t="shared" si="22"/>
        <v/>
      </c>
      <c r="O295" t="str">
        <f t="shared" si="23"/>
        <v/>
      </c>
      <c r="P295" t="str">
        <f t="shared" si="24"/>
        <v/>
      </c>
    </row>
    <row r="296" spans="8:16" x14ac:dyDescent="0.2">
      <c r="N296" t="str">
        <f t="shared" si="22"/>
        <v/>
      </c>
      <c r="O296" t="str">
        <f t="shared" si="23"/>
        <v/>
      </c>
      <c r="P296" t="str">
        <f t="shared" si="24"/>
        <v/>
      </c>
    </row>
    <row r="297" spans="8:16" x14ac:dyDescent="0.2">
      <c r="N297" t="str">
        <f t="shared" si="22"/>
        <v/>
      </c>
      <c r="O297" t="str">
        <f t="shared" si="23"/>
        <v/>
      </c>
      <c r="P297" t="str">
        <f t="shared" si="24"/>
        <v/>
      </c>
    </row>
    <row r="298" spans="8:16" x14ac:dyDescent="0.2">
      <c r="N298" t="str">
        <f t="shared" si="22"/>
        <v/>
      </c>
      <c r="O298" t="str">
        <f t="shared" si="23"/>
        <v/>
      </c>
      <c r="P298" t="str">
        <f t="shared" si="24"/>
        <v/>
      </c>
    </row>
    <row r="299" spans="8:16" x14ac:dyDescent="0.2">
      <c r="N299" t="str">
        <f t="shared" si="22"/>
        <v/>
      </c>
      <c r="O299" t="str">
        <f t="shared" si="23"/>
        <v/>
      </c>
      <c r="P299" t="str">
        <f t="shared" ref="P299" si="25">N299&amp;O299</f>
        <v/>
      </c>
    </row>
    <row r="300" spans="8:16" x14ac:dyDescent="0.2">
      <c r="N300" t="str">
        <f t="shared" si="22"/>
        <v/>
      </c>
      <c r="O300" t="str">
        <f t="shared" si="23"/>
        <v/>
      </c>
      <c r="P300" t="str">
        <f>N300&amp;O300</f>
        <v/>
      </c>
    </row>
    <row r="301" spans="8:16" x14ac:dyDescent="0.2">
      <c r="N301" t="str">
        <f t="shared" si="22"/>
        <v/>
      </c>
      <c r="O301" t="str">
        <f t="shared" si="23"/>
        <v/>
      </c>
      <c r="P301" t="str">
        <f t="shared" ref="P301" si="26">N301&amp;O301</f>
        <v/>
      </c>
    </row>
  </sheetData>
  <autoFilter ref="A1:P301" xr:uid="{621D5A32-9CEC-E148-B97B-DEFD7856BFE9}"/>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398FF-0225-4C43-B077-365D382B5F87}">
  <sheetPr>
    <pageSetUpPr fitToPage="1"/>
  </sheetPr>
  <dimension ref="A1:N135"/>
  <sheetViews>
    <sheetView view="pageBreakPreview" zoomScale="70" zoomScaleNormal="130" zoomScaleSheetLayoutView="70" workbookViewId="0">
      <pane xSplit="1" ySplit="3" topLeftCell="B4" activePane="bottomRight" state="frozen"/>
      <selection activeCell="A4" sqref="A4:E4"/>
      <selection pane="topRight" activeCell="A4" sqref="A4:E4"/>
      <selection pane="bottomLeft" activeCell="A4" sqref="A4:E4"/>
      <selection pane="bottomRight" activeCell="A4" sqref="A4:E6"/>
    </sheetView>
  </sheetViews>
  <sheetFormatPr baseColWidth="10" defaultColWidth="9.1640625" defaultRowHeight="18" x14ac:dyDescent="0.15"/>
  <cols>
    <col min="1" max="1" width="9.1640625" style="6"/>
    <col min="2" max="2" width="81.83203125" style="1" customWidth="1"/>
    <col min="3" max="3" width="25" style="100" hidden="1" customWidth="1"/>
    <col min="4" max="4" width="13.1640625" style="6" hidden="1" customWidth="1"/>
    <col min="5" max="5" width="16.5" style="107" customWidth="1"/>
    <col min="6" max="6" width="18.1640625" style="20" customWidth="1"/>
    <col min="7" max="7" width="44.5" style="78" customWidth="1"/>
    <col min="8" max="8" width="34" style="92" customWidth="1"/>
    <col min="9" max="9" width="15.5" style="20" customWidth="1"/>
    <col min="10" max="16384" width="9.1640625" style="20"/>
  </cols>
  <sheetData>
    <row r="1" spans="1:14" x14ac:dyDescent="0.15">
      <c r="A1" s="214" t="s">
        <v>164</v>
      </c>
      <c r="B1" s="214"/>
      <c r="C1" s="214"/>
      <c r="D1" s="214"/>
      <c r="E1" s="214"/>
    </row>
    <row r="2" spans="1:14" x14ac:dyDescent="0.15">
      <c r="J2" s="58"/>
    </row>
    <row r="3" spans="1:14" ht="68" x14ac:dyDescent="0.15">
      <c r="A3" s="12" t="s">
        <v>272</v>
      </c>
      <c r="B3" s="12" t="s">
        <v>136</v>
      </c>
      <c r="C3" s="101" t="s">
        <v>940</v>
      </c>
      <c r="D3" s="12" t="s">
        <v>166</v>
      </c>
      <c r="E3" s="106" t="s">
        <v>1799</v>
      </c>
      <c r="F3" s="33" t="s">
        <v>304</v>
      </c>
      <c r="G3" s="79" t="s">
        <v>1101</v>
      </c>
      <c r="H3" s="33" t="s">
        <v>939</v>
      </c>
      <c r="I3" s="88"/>
      <c r="J3" s="88" t="s">
        <v>1326</v>
      </c>
      <c r="K3" s="88" t="s">
        <v>1327</v>
      </c>
      <c r="L3" s="88" t="s">
        <v>1328</v>
      </c>
      <c r="M3" s="88" t="s">
        <v>1329</v>
      </c>
      <c r="N3" s="88" t="s">
        <v>1330</v>
      </c>
    </row>
    <row r="4" spans="1:14" ht="19" x14ac:dyDescent="0.2">
      <c r="A4" s="12"/>
      <c r="B4" s="102" t="s">
        <v>1331</v>
      </c>
      <c r="C4" s="101"/>
      <c r="D4" s="12"/>
      <c r="E4" s="108"/>
      <c r="F4" s="33"/>
      <c r="G4" s="79"/>
      <c r="H4" s="79"/>
      <c r="I4" s="89"/>
      <c r="J4" s="89"/>
      <c r="K4" s="89"/>
      <c r="L4" s="89"/>
      <c r="M4" s="89"/>
      <c r="N4" s="89"/>
    </row>
    <row r="5" spans="1:14" ht="20" x14ac:dyDescent="0.2">
      <c r="A5" s="103">
        <f>MAX(A$2:A4)+1</f>
        <v>1</v>
      </c>
      <c r="B5" s="104" t="s">
        <v>1332</v>
      </c>
      <c r="C5" s="8"/>
      <c r="D5" s="105">
        <v>1</v>
      </c>
      <c r="E5" s="52" t="s">
        <v>180</v>
      </c>
      <c r="F5" s="63"/>
      <c r="G5" s="63"/>
      <c r="H5" s="91" t="s">
        <v>324</v>
      </c>
      <c r="I5" s="63"/>
      <c r="J5" s="63"/>
      <c r="K5" s="63"/>
      <c r="L5" s="63"/>
      <c r="M5" s="63"/>
      <c r="N5" s="63"/>
    </row>
    <row r="6" spans="1:14" ht="20" x14ac:dyDescent="0.2">
      <c r="A6" s="103">
        <f>MAX(A$2:A5)+1</f>
        <v>2</v>
      </c>
      <c r="B6" s="104" t="s">
        <v>1333</v>
      </c>
      <c r="C6" s="8"/>
      <c r="D6" s="105">
        <v>1</v>
      </c>
      <c r="E6" s="52" t="s">
        <v>180</v>
      </c>
      <c r="F6" s="63"/>
      <c r="G6" s="63"/>
      <c r="H6" s="91" t="s">
        <v>324</v>
      </c>
      <c r="I6" s="63"/>
      <c r="J6" s="63"/>
      <c r="K6" s="63"/>
      <c r="L6" s="63"/>
      <c r="M6" s="63"/>
      <c r="N6" s="63"/>
    </row>
    <row r="7" spans="1:14" ht="19" x14ac:dyDescent="0.2">
      <c r="A7" s="12"/>
      <c r="B7" s="102" t="s">
        <v>1334</v>
      </c>
      <c r="C7" s="101"/>
      <c r="D7" s="12"/>
      <c r="E7" s="52"/>
      <c r="F7" s="33"/>
      <c r="G7" s="79"/>
      <c r="H7" s="79"/>
      <c r="I7" s="89"/>
      <c r="J7" s="63"/>
      <c r="K7" s="63"/>
      <c r="L7" s="63"/>
      <c r="M7" s="63"/>
      <c r="N7" s="63"/>
    </row>
    <row r="8" spans="1:14" ht="20" x14ac:dyDescent="0.2">
      <c r="A8" s="103">
        <f>MAX(A$2:A7)+1</f>
        <v>3</v>
      </c>
      <c r="B8" s="104" t="s">
        <v>1335</v>
      </c>
      <c r="C8" s="8"/>
      <c r="D8" s="105">
        <v>1</v>
      </c>
      <c r="E8" s="52" t="s">
        <v>179</v>
      </c>
      <c r="F8" s="63"/>
      <c r="G8" s="63"/>
      <c r="H8" s="91" t="s">
        <v>1336</v>
      </c>
      <c r="I8" s="63"/>
      <c r="J8" s="63"/>
      <c r="K8" s="63"/>
      <c r="L8" s="63"/>
      <c r="M8" s="63"/>
      <c r="N8" s="63"/>
    </row>
    <row r="9" spans="1:14" ht="20" x14ac:dyDescent="0.2">
      <c r="A9" s="103">
        <f>MAX(A$2:A8)+1</f>
        <v>4</v>
      </c>
      <c r="B9" s="104" t="s">
        <v>1337</v>
      </c>
      <c r="C9" s="8"/>
      <c r="D9" s="105">
        <v>1</v>
      </c>
      <c r="E9" s="52" t="s">
        <v>180</v>
      </c>
      <c r="F9" s="63"/>
      <c r="G9" s="63"/>
      <c r="H9" s="91" t="s">
        <v>1338</v>
      </c>
      <c r="I9" s="63"/>
      <c r="J9" s="90" t="s">
        <v>1339</v>
      </c>
      <c r="K9" s="63"/>
      <c r="L9" s="63"/>
      <c r="M9" s="63"/>
      <c r="N9" s="63"/>
    </row>
    <row r="10" spans="1:14" ht="20" x14ac:dyDescent="0.2">
      <c r="A10" s="103">
        <f>MAX(A$2:A9)+1</f>
        <v>5</v>
      </c>
      <c r="B10" s="104" t="s">
        <v>1340</v>
      </c>
      <c r="C10" s="8"/>
      <c r="D10" s="105">
        <v>1</v>
      </c>
      <c r="E10" s="52" t="s">
        <v>180</v>
      </c>
      <c r="F10" s="63"/>
      <c r="G10" s="63"/>
      <c r="H10" s="91" t="s">
        <v>1341</v>
      </c>
      <c r="I10" s="63"/>
      <c r="J10" s="63"/>
      <c r="K10" s="63"/>
      <c r="L10" s="63"/>
      <c r="M10" s="63"/>
      <c r="N10" s="63"/>
    </row>
    <row r="11" spans="1:14" ht="38" x14ac:dyDescent="0.2">
      <c r="A11" s="103">
        <f>MAX(A$2:A10)+1</f>
        <v>6</v>
      </c>
      <c r="B11" s="104" t="s">
        <v>1342</v>
      </c>
      <c r="C11" s="8"/>
      <c r="D11" s="105">
        <v>1</v>
      </c>
      <c r="E11" s="52" t="s">
        <v>182</v>
      </c>
      <c r="F11" s="63"/>
      <c r="G11" s="63"/>
      <c r="H11" s="91" t="s">
        <v>1343</v>
      </c>
      <c r="I11" s="63"/>
      <c r="J11" s="90" t="s">
        <v>1339</v>
      </c>
      <c r="K11" s="63"/>
      <c r="L11" s="63"/>
      <c r="M11" s="63"/>
      <c r="N11" s="63"/>
    </row>
    <row r="12" spans="1:14" ht="20" x14ac:dyDescent="0.2">
      <c r="A12" s="103">
        <f>MAX(A$2:A11)+1</f>
        <v>7</v>
      </c>
      <c r="B12" s="104" t="s">
        <v>1344</v>
      </c>
      <c r="C12" s="8"/>
      <c r="D12" s="105">
        <v>1</v>
      </c>
      <c r="E12" s="52" t="s">
        <v>179</v>
      </c>
      <c r="F12" s="63"/>
      <c r="G12" s="63"/>
      <c r="H12" s="91" t="s">
        <v>1345</v>
      </c>
      <c r="I12" s="63"/>
      <c r="J12" s="63"/>
      <c r="K12" s="63"/>
      <c r="L12" s="63"/>
      <c r="M12" s="63"/>
      <c r="N12" s="63"/>
    </row>
    <row r="13" spans="1:14" ht="20" x14ac:dyDescent="0.2">
      <c r="A13" s="103">
        <f>MAX(A$2:A12)+1</f>
        <v>8</v>
      </c>
      <c r="B13" s="104" t="s">
        <v>1346</v>
      </c>
      <c r="C13" s="8"/>
      <c r="D13" s="105">
        <v>1</v>
      </c>
      <c r="E13" s="52" t="s">
        <v>180</v>
      </c>
      <c r="F13" s="63"/>
      <c r="G13" s="63"/>
      <c r="H13" s="91" t="s">
        <v>1347</v>
      </c>
      <c r="I13" s="63"/>
      <c r="J13" s="63"/>
      <c r="K13" s="63"/>
      <c r="L13" s="63"/>
      <c r="M13" s="63"/>
      <c r="N13" s="63"/>
    </row>
    <row r="14" spans="1:14" ht="38" x14ac:dyDescent="0.2">
      <c r="A14" s="103">
        <f>MAX(A$2:A13)+1</f>
        <v>9</v>
      </c>
      <c r="B14" s="104" t="s">
        <v>1348</v>
      </c>
      <c r="C14" s="8"/>
      <c r="D14" s="105">
        <v>1</v>
      </c>
      <c r="E14" s="52" t="s">
        <v>182</v>
      </c>
      <c r="F14" s="63"/>
      <c r="G14" s="63"/>
      <c r="H14" s="91" t="s">
        <v>1349</v>
      </c>
      <c r="I14" s="63"/>
      <c r="J14" s="90" t="s">
        <v>1339</v>
      </c>
      <c r="K14" s="63"/>
      <c r="L14" s="63"/>
      <c r="M14" s="63"/>
      <c r="N14" s="63"/>
    </row>
    <row r="15" spans="1:14" ht="20" x14ac:dyDescent="0.2">
      <c r="A15" s="103">
        <f>MAX(A$2:A14)+1</f>
        <v>10</v>
      </c>
      <c r="B15" s="104" t="s">
        <v>1350</v>
      </c>
      <c r="C15" s="8"/>
      <c r="D15" s="105">
        <v>1</v>
      </c>
      <c r="E15" s="52" t="s">
        <v>179</v>
      </c>
      <c r="F15" s="63"/>
      <c r="G15" s="63"/>
      <c r="H15" s="91" t="s">
        <v>1351</v>
      </c>
      <c r="I15" s="63"/>
      <c r="J15" s="63"/>
      <c r="K15" s="63"/>
      <c r="L15" s="63"/>
      <c r="M15" s="63"/>
      <c r="N15" s="63"/>
    </row>
    <row r="16" spans="1:14" ht="20" x14ac:dyDescent="0.2">
      <c r="A16" s="103">
        <f>MAX(A$2:A15)+1</f>
        <v>11</v>
      </c>
      <c r="B16" s="104" t="s">
        <v>1352</v>
      </c>
      <c r="C16" s="8"/>
      <c r="D16" s="105">
        <v>1</v>
      </c>
      <c r="E16" s="52" t="s">
        <v>180</v>
      </c>
      <c r="F16" s="63"/>
      <c r="G16" s="63"/>
      <c r="H16" s="91" t="s">
        <v>1353</v>
      </c>
      <c r="I16" s="63"/>
      <c r="J16" s="63" t="s">
        <v>1339</v>
      </c>
      <c r="K16" s="63"/>
      <c r="L16" s="63"/>
      <c r="M16" s="63"/>
      <c r="N16" s="63"/>
    </row>
    <row r="17" spans="1:14" ht="20" x14ac:dyDescent="0.2">
      <c r="A17" s="103">
        <f>MAX(A$2:A16)+1</f>
        <v>12</v>
      </c>
      <c r="B17" s="104" t="s">
        <v>1354</v>
      </c>
      <c r="C17" s="8"/>
      <c r="D17" s="105">
        <v>1</v>
      </c>
      <c r="E17" s="52" t="s">
        <v>180</v>
      </c>
      <c r="F17" s="63"/>
      <c r="G17" s="63"/>
      <c r="H17" s="91" t="s">
        <v>1355</v>
      </c>
      <c r="I17" s="63"/>
      <c r="J17" s="63"/>
      <c r="K17" s="63"/>
      <c r="L17" s="63"/>
      <c r="M17" s="63"/>
      <c r="N17" s="63"/>
    </row>
    <row r="18" spans="1:14" ht="38" x14ac:dyDescent="0.2">
      <c r="A18" s="103">
        <f>MAX(A$2:A17)+1</f>
        <v>13</v>
      </c>
      <c r="B18" s="104" t="s">
        <v>1356</v>
      </c>
      <c r="C18" s="8"/>
      <c r="D18" s="105">
        <v>1</v>
      </c>
      <c r="E18" s="52" t="s">
        <v>182</v>
      </c>
      <c r="F18" s="63"/>
      <c r="G18" s="63"/>
      <c r="H18" s="91" t="s">
        <v>1343</v>
      </c>
      <c r="I18" s="63"/>
      <c r="J18" s="90" t="s">
        <v>1339</v>
      </c>
      <c r="K18" s="63"/>
      <c r="L18" s="63"/>
      <c r="M18" s="63"/>
      <c r="N18" s="63"/>
    </row>
    <row r="19" spans="1:14" ht="38" x14ac:dyDescent="0.2">
      <c r="A19" s="103">
        <f>MAX(A$2:A18)+1</f>
        <v>14</v>
      </c>
      <c r="B19" s="104" t="s">
        <v>1357</v>
      </c>
      <c r="C19" s="8"/>
      <c r="D19" s="105">
        <v>1</v>
      </c>
      <c r="E19" s="52" t="s">
        <v>182</v>
      </c>
      <c r="F19" s="63"/>
      <c r="G19" s="63"/>
      <c r="H19" s="91" t="s">
        <v>1358</v>
      </c>
      <c r="I19" s="63"/>
      <c r="J19" s="63"/>
      <c r="K19" s="63"/>
      <c r="L19" s="63"/>
      <c r="M19" s="63"/>
      <c r="N19" s="63"/>
    </row>
    <row r="20" spans="1:14" ht="19" x14ac:dyDescent="0.2">
      <c r="A20" s="12"/>
      <c r="B20" s="102" t="s">
        <v>1359</v>
      </c>
      <c r="C20" s="101"/>
      <c r="D20" s="12"/>
      <c r="E20" s="52"/>
      <c r="F20" s="33"/>
      <c r="G20" s="79"/>
      <c r="H20" s="79"/>
      <c r="I20" s="89"/>
      <c r="J20" s="63"/>
      <c r="K20" s="63"/>
      <c r="L20" s="63"/>
      <c r="M20" s="63"/>
      <c r="N20" s="63"/>
    </row>
    <row r="21" spans="1:14" ht="20" x14ac:dyDescent="0.2">
      <c r="A21" s="103">
        <f>MAX(A$2:A20)+1</f>
        <v>15</v>
      </c>
      <c r="B21" s="104" t="s">
        <v>1284</v>
      </c>
      <c r="C21" s="8"/>
      <c r="D21" s="105">
        <v>1</v>
      </c>
      <c r="E21" s="52" t="s">
        <v>179</v>
      </c>
      <c r="F21" s="63"/>
      <c r="G21" s="63"/>
      <c r="H21" s="91" t="s">
        <v>1360</v>
      </c>
      <c r="I21" s="63"/>
      <c r="J21" s="63" t="s">
        <v>1141</v>
      </c>
      <c r="K21" s="63" t="s">
        <v>1361</v>
      </c>
      <c r="L21" s="63" t="s">
        <v>1053</v>
      </c>
      <c r="M21" s="63" t="s">
        <v>1362</v>
      </c>
      <c r="N21" s="63" t="s">
        <v>1363</v>
      </c>
    </row>
    <row r="22" spans="1:14" ht="20" x14ac:dyDescent="0.2">
      <c r="A22" s="103">
        <f>MAX(A$2:A21)+1</f>
        <v>16</v>
      </c>
      <c r="B22" s="104" t="s">
        <v>1364</v>
      </c>
      <c r="C22" s="8"/>
      <c r="D22" s="105">
        <v>1</v>
      </c>
      <c r="E22" s="52" t="s">
        <v>179</v>
      </c>
      <c r="F22" s="63"/>
      <c r="G22" s="63"/>
      <c r="H22" s="91" t="s">
        <v>1365</v>
      </c>
      <c r="I22" s="63"/>
      <c r="J22" s="63" t="s">
        <v>1143</v>
      </c>
      <c r="K22" s="63" t="s">
        <v>1361</v>
      </c>
      <c r="L22" s="63" t="s">
        <v>1055</v>
      </c>
      <c r="M22" s="63" t="s">
        <v>1055</v>
      </c>
      <c r="N22" s="63" t="s">
        <v>1366</v>
      </c>
    </row>
    <row r="23" spans="1:14" ht="20" x14ac:dyDescent="0.2">
      <c r="A23" s="103">
        <f>MAX(A$2:A22)+1</f>
        <v>17</v>
      </c>
      <c r="B23" s="104" t="s">
        <v>1367</v>
      </c>
      <c r="C23" s="8"/>
      <c r="D23" s="105">
        <v>1</v>
      </c>
      <c r="E23" s="52" t="s">
        <v>179</v>
      </c>
      <c r="F23" s="63"/>
      <c r="G23" s="63"/>
      <c r="H23" s="91" t="s">
        <v>1368</v>
      </c>
      <c r="I23" s="63"/>
      <c r="J23" s="63" t="s">
        <v>1142</v>
      </c>
      <c r="K23" s="63" t="s">
        <v>1361</v>
      </c>
      <c r="L23" s="63" t="s">
        <v>1054</v>
      </c>
      <c r="M23" s="63" t="s">
        <v>1054</v>
      </c>
      <c r="N23" s="63" t="s">
        <v>1366</v>
      </c>
    </row>
    <row r="24" spans="1:14" ht="38" x14ac:dyDescent="0.2">
      <c r="A24" s="103">
        <f>MAX(A$2:A23)+1</f>
        <v>18</v>
      </c>
      <c r="B24" s="104" t="s">
        <v>1369</v>
      </c>
      <c r="C24" s="8"/>
      <c r="D24" s="105">
        <v>1</v>
      </c>
      <c r="E24" s="52" t="s">
        <v>179</v>
      </c>
      <c r="F24" s="63"/>
      <c r="G24" s="63"/>
      <c r="H24" s="91" t="s">
        <v>576</v>
      </c>
      <c r="I24" s="63"/>
      <c r="J24" s="63" t="s">
        <v>1132</v>
      </c>
      <c r="K24" s="63" t="s">
        <v>1361</v>
      </c>
      <c r="L24" s="63" t="s">
        <v>1044</v>
      </c>
      <c r="M24" s="63" t="s">
        <v>1044</v>
      </c>
      <c r="N24" s="63" t="s">
        <v>1370</v>
      </c>
    </row>
    <row r="25" spans="1:14" ht="20" x14ac:dyDescent="0.2">
      <c r="A25" s="103">
        <f>MAX(A$2:A24)+1</f>
        <v>19</v>
      </c>
      <c r="B25" s="104" t="s">
        <v>1371</v>
      </c>
      <c r="C25" s="8"/>
      <c r="D25" s="105">
        <v>1</v>
      </c>
      <c r="E25" s="52" t="s">
        <v>179</v>
      </c>
      <c r="F25" s="63"/>
      <c r="G25" s="63"/>
      <c r="H25" s="91" t="s">
        <v>1372</v>
      </c>
      <c r="I25" s="63"/>
      <c r="J25" s="63" t="s">
        <v>1126</v>
      </c>
      <c r="K25" s="63" t="s">
        <v>1361</v>
      </c>
      <c r="L25" s="63" t="s">
        <v>1036</v>
      </c>
      <c r="M25" s="63" t="s">
        <v>1373</v>
      </c>
      <c r="N25" s="63" t="s">
        <v>1374</v>
      </c>
    </row>
    <row r="26" spans="1:14" ht="20" x14ac:dyDescent="0.2">
      <c r="A26" s="103">
        <f>MAX(A$2:A25)+1</f>
        <v>20</v>
      </c>
      <c r="B26" s="104" t="s">
        <v>1375</v>
      </c>
      <c r="C26" s="8"/>
      <c r="D26" s="105">
        <v>1</v>
      </c>
      <c r="E26" s="52" t="s">
        <v>179</v>
      </c>
      <c r="F26" s="63"/>
      <c r="G26" s="63"/>
      <c r="H26" s="91" t="s">
        <v>1376</v>
      </c>
      <c r="I26" s="63"/>
      <c r="J26" s="63" t="s">
        <v>1128</v>
      </c>
      <c r="K26" s="63" t="s">
        <v>1361</v>
      </c>
      <c r="L26" s="63" t="s">
        <v>1040</v>
      </c>
      <c r="M26" s="63" t="s">
        <v>1040</v>
      </c>
      <c r="N26" s="63" t="s">
        <v>1377</v>
      </c>
    </row>
    <row r="27" spans="1:14" ht="20" x14ac:dyDescent="0.2">
      <c r="A27" s="103">
        <f>MAX(A$2:A26)+1</f>
        <v>21</v>
      </c>
      <c r="B27" s="104" t="s">
        <v>1378</v>
      </c>
      <c r="C27" s="8"/>
      <c r="D27" s="105">
        <v>1</v>
      </c>
      <c r="E27" s="52" t="s">
        <v>179</v>
      </c>
      <c r="F27" s="63"/>
      <c r="G27" s="63"/>
      <c r="H27" s="91" t="s">
        <v>1379</v>
      </c>
      <c r="I27" s="63"/>
      <c r="J27" s="63" t="s">
        <v>1139</v>
      </c>
      <c r="K27" s="63" t="s">
        <v>1361</v>
      </c>
      <c r="L27" s="63" t="s">
        <v>1051</v>
      </c>
      <c r="M27" s="63" t="s">
        <v>1051</v>
      </c>
      <c r="N27" s="63" t="s">
        <v>1380</v>
      </c>
    </row>
    <row r="28" spans="1:14" ht="20" x14ac:dyDescent="0.2">
      <c r="A28" s="103">
        <f>MAX(A$2:A27)+1</f>
        <v>22</v>
      </c>
      <c r="B28" s="104" t="s">
        <v>1381</v>
      </c>
      <c r="C28" s="8"/>
      <c r="D28" s="105">
        <v>1</v>
      </c>
      <c r="E28" s="52" t="s">
        <v>179</v>
      </c>
      <c r="F28" s="63"/>
      <c r="G28" s="63"/>
      <c r="H28" s="91" t="s">
        <v>1382</v>
      </c>
      <c r="I28" s="63"/>
      <c r="J28" s="63" t="s">
        <v>1138</v>
      </c>
      <c r="K28" s="63" t="s">
        <v>1361</v>
      </c>
      <c r="L28" s="63" t="s">
        <v>1383</v>
      </c>
      <c r="M28" s="63" t="s">
        <v>1383</v>
      </c>
      <c r="N28" s="63" t="s">
        <v>1384</v>
      </c>
    </row>
    <row r="29" spans="1:14" ht="20" x14ac:dyDescent="0.2">
      <c r="A29" s="103">
        <f>MAX(A$2:A28)+1</f>
        <v>23</v>
      </c>
      <c r="B29" s="104" t="s">
        <v>1385</v>
      </c>
      <c r="C29" s="8"/>
      <c r="D29" s="105">
        <v>1</v>
      </c>
      <c r="E29" s="52" t="s">
        <v>179</v>
      </c>
      <c r="F29" s="63"/>
      <c r="G29" s="63"/>
      <c r="H29" s="91" t="s">
        <v>1386</v>
      </c>
      <c r="I29" s="63"/>
      <c r="J29" s="63" t="s">
        <v>1145</v>
      </c>
      <c r="K29" s="63" t="s">
        <v>1361</v>
      </c>
      <c r="L29" s="63" t="s">
        <v>1057</v>
      </c>
      <c r="M29" s="63" t="s">
        <v>1057</v>
      </c>
      <c r="N29" s="63" t="s">
        <v>1366</v>
      </c>
    </row>
    <row r="30" spans="1:14" ht="20" x14ac:dyDescent="0.2">
      <c r="A30" s="103">
        <f>MAX(A$2:A29)+1</f>
        <v>24</v>
      </c>
      <c r="B30" s="104" t="s">
        <v>1387</v>
      </c>
      <c r="C30" s="8"/>
      <c r="D30" s="105">
        <v>1</v>
      </c>
      <c r="E30" s="52" t="s">
        <v>179</v>
      </c>
      <c r="F30" s="63"/>
      <c r="G30" s="63"/>
      <c r="H30" s="91" t="s">
        <v>1388</v>
      </c>
      <c r="I30" s="63"/>
      <c r="J30" s="63" t="s">
        <v>1144</v>
      </c>
      <c r="K30" s="63" t="s">
        <v>1361</v>
      </c>
      <c r="L30" s="63" t="s">
        <v>1056</v>
      </c>
      <c r="M30" s="63" t="s">
        <v>1056</v>
      </c>
      <c r="N30" s="63" t="s">
        <v>1366</v>
      </c>
    </row>
    <row r="31" spans="1:14" ht="38" x14ac:dyDescent="0.2">
      <c r="A31" s="103">
        <f>MAX(A$2:A30)+1</f>
        <v>25</v>
      </c>
      <c r="B31" s="104" t="s">
        <v>1039</v>
      </c>
      <c r="C31" s="8"/>
      <c r="D31" s="105">
        <v>1</v>
      </c>
      <c r="E31" s="52" t="s">
        <v>179</v>
      </c>
      <c r="F31" s="63"/>
      <c r="G31" s="63"/>
      <c r="H31" s="91" t="s">
        <v>1389</v>
      </c>
      <c r="I31" s="63"/>
      <c r="J31" s="63" t="s">
        <v>1127</v>
      </c>
      <c r="K31" s="63" t="s">
        <v>1361</v>
      </c>
      <c r="L31" s="63" t="s">
        <v>1039</v>
      </c>
      <c r="M31" s="63" t="s">
        <v>1039</v>
      </c>
      <c r="N31" s="63" t="s">
        <v>1390</v>
      </c>
    </row>
    <row r="32" spans="1:14" ht="38" x14ac:dyDescent="0.2">
      <c r="A32" s="103">
        <f>MAX(A$2:A31)+1</f>
        <v>26</v>
      </c>
      <c r="B32" s="104" t="s">
        <v>1391</v>
      </c>
      <c r="C32" s="8"/>
      <c r="D32" s="105">
        <v>1</v>
      </c>
      <c r="E32" s="52" t="s">
        <v>180</v>
      </c>
      <c r="F32" s="63"/>
      <c r="G32" s="63"/>
      <c r="H32" s="91" t="s">
        <v>585</v>
      </c>
      <c r="I32" s="63"/>
      <c r="J32" s="63" t="s">
        <v>1146</v>
      </c>
      <c r="K32" s="63" t="s">
        <v>1361</v>
      </c>
      <c r="L32" s="63" t="s">
        <v>1058</v>
      </c>
      <c r="M32" s="63" t="s">
        <v>1058</v>
      </c>
      <c r="N32" s="63" t="s">
        <v>1392</v>
      </c>
    </row>
    <row r="33" spans="1:14" ht="38" x14ac:dyDescent="0.2">
      <c r="A33" s="103">
        <f>MAX(A$2:A32)+1</f>
        <v>27</v>
      </c>
      <c r="B33" s="104" t="s">
        <v>1049</v>
      </c>
      <c r="C33" s="8"/>
      <c r="D33" s="105">
        <v>1</v>
      </c>
      <c r="E33" s="52" t="s">
        <v>179</v>
      </c>
      <c r="F33" s="63"/>
      <c r="G33" s="63"/>
      <c r="H33" s="91" t="s">
        <v>1393</v>
      </c>
      <c r="I33" s="63"/>
      <c r="J33" s="63" t="s">
        <v>1137</v>
      </c>
      <c r="K33" s="63" t="s">
        <v>1361</v>
      </c>
      <c r="L33" s="63" t="s">
        <v>1049</v>
      </c>
      <c r="M33" s="63" t="s">
        <v>1049</v>
      </c>
      <c r="N33" s="63" t="s">
        <v>1390</v>
      </c>
    </row>
    <row r="34" spans="1:14" ht="20" x14ac:dyDescent="0.2">
      <c r="A34" s="103">
        <f>MAX(A$2:A33)+1</f>
        <v>28</v>
      </c>
      <c r="B34" s="104" t="s">
        <v>1394</v>
      </c>
      <c r="C34" s="8"/>
      <c r="D34" s="105">
        <v>1</v>
      </c>
      <c r="E34" s="52" t="s">
        <v>179</v>
      </c>
      <c r="F34" s="63"/>
      <c r="G34" s="63"/>
      <c r="H34" s="91" t="s">
        <v>1395</v>
      </c>
      <c r="I34" s="63"/>
      <c r="J34" s="63" t="s">
        <v>1150</v>
      </c>
      <c r="K34" s="63" t="s">
        <v>1361</v>
      </c>
      <c r="L34" s="63" t="s">
        <v>1062</v>
      </c>
      <c r="M34" s="63" t="s">
        <v>1062</v>
      </c>
      <c r="N34" s="63" t="s">
        <v>1390</v>
      </c>
    </row>
    <row r="35" spans="1:14" ht="38" x14ac:dyDescent="0.2">
      <c r="A35" s="103">
        <f>MAX(A$2:A34)+1</f>
        <v>29</v>
      </c>
      <c r="B35" s="104" t="s">
        <v>1042</v>
      </c>
      <c r="C35" s="8"/>
      <c r="D35" s="105">
        <v>1</v>
      </c>
      <c r="E35" s="52" t="s">
        <v>179</v>
      </c>
      <c r="F35" s="63"/>
      <c r="G35" s="63"/>
      <c r="H35" s="91" t="s">
        <v>1396</v>
      </c>
      <c r="I35" s="63"/>
      <c r="J35" s="63" t="s">
        <v>1130</v>
      </c>
      <c r="K35" s="63" t="s">
        <v>1361</v>
      </c>
      <c r="L35" s="63" t="s">
        <v>1042</v>
      </c>
      <c r="M35" s="63" t="s">
        <v>1042</v>
      </c>
      <c r="N35" s="63" t="s">
        <v>1390</v>
      </c>
    </row>
    <row r="36" spans="1:14" ht="38" x14ac:dyDescent="0.2">
      <c r="A36" s="103">
        <f>MAX(A$2:A35)+1</f>
        <v>30</v>
      </c>
      <c r="B36" s="104" t="s">
        <v>1035</v>
      </c>
      <c r="C36" s="8"/>
      <c r="D36" s="105">
        <v>1</v>
      </c>
      <c r="E36" s="52" t="s">
        <v>179</v>
      </c>
      <c r="F36" s="63"/>
      <c r="G36" s="63"/>
      <c r="H36" s="91" t="s">
        <v>1397</v>
      </c>
      <c r="I36" s="63"/>
      <c r="J36" s="63" t="s">
        <v>1125</v>
      </c>
      <c r="K36" s="63" t="s">
        <v>1361</v>
      </c>
      <c r="L36" s="63" t="s">
        <v>1035</v>
      </c>
      <c r="M36" s="63" t="s">
        <v>1035</v>
      </c>
      <c r="N36" s="63" t="s">
        <v>1398</v>
      </c>
    </row>
    <row r="37" spans="1:14" ht="38" x14ac:dyDescent="0.2">
      <c r="A37" s="103">
        <f>MAX(A$2:A36)+1</f>
        <v>31</v>
      </c>
      <c r="B37" s="104" t="s">
        <v>1048</v>
      </c>
      <c r="C37" s="8"/>
      <c r="D37" s="105">
        <v>1</v>
      </c>
      <c r="E37" s="52" t="s">
        <v>179</v>
      </c>
      <c r="F37" s="63"/>
      <c r="G37" s="63"/>
      <c r="H37" s="91" t="s">
        <v>1399</v>
      </c>
      <c r="I37" s="63"/>
      <c r="J37" s="63" t="s">
        <v>1136</v>
      </c>
      <c r="K37" s="63" t="s">
        <v>1361</v>
      </c>
      <c r="L37" s="63" t="s">
        <v>1048</v>
      </c>
      <c r="M37" s="63" t="s">
        <v>1048</v>
      </c>
      <c r="N37" s="63" t="s">
        <v>1398</v>
      </c>
    </row>
    <row r="38" spans="1:14" ht="38" x14ac:dyDescent="0.2">
      <c r="A38" s="103">
        <f>MAX(A$2:A37)+1</f>
        <v>32</v>
      </c>
      <c r="B38" s="104" t="s">
        <v>1041</v>
      </c>
      <c r="C38" s="8"/>
      <c r="D38" s="105">
        <v>1</v>
      </c>
      <c r="E38" s="52" t="s">
        <v>179</v>
      </c>
      <c r="F38" s="63"/>
      <c r="G38" s="63"/>
      <c r="H38" s="91" t="s">
        <v>1400</v>
      </c>
      <c r="I38" s="63"/>
      <c r="J38" s="63" t="s">
        <v>1129</v>
      </c>
      <c r="K38" s="63" t="s">
        <v>1361</v>
      </c>
      <c r="L38" s="63" t="s">
        <v>1041</v>
      </c>
      <c r="M38" s="63" t="s">
        <v>1041</v>
      </c>
      <c r="N38" s="63" t="s">
        <v>1398</v>
      </c>
    </row>
    <row r="39" spans="1:14" ht="20" x14ac:dyDescent="0.2">
      <c r="A39" s="103">
        <f>MAX(A$2:A38)+1</f>
        <v>33</v>
      </c>
      <c r="B39" s="104" t="s">
        <v>1045</v>
      </c>
      <c r="C39" s="8"/>
      <c r="D39" s="105">
        <v>1</v>
      </c>
      <c r="E39" s="52" t="s">
        <v>179</v>
      </c>
      <c r="F39" s="63"/>
      <c r="G39" s="63"/>
      <c r="H39" s="91" t="s">
        <v>1401</v>
      </c>
      <c r="I39" s="63"/>
      <c r="J39" s="63" t="s">
        <v>1133</v>
      </c>
      <c r="K39" s="63" t="s">
        <v>1361</v>
      </c>
      <c r="L39" s="63" t="s">
        <v>1045</v>
      </c>
      <c r="M39" s="63" t="s">
        <v>1045</v>
      </c>
      <c r="N39" s="63" t="s">
        <v>1398</v>
      </c>
    </row>
    <row r="40" spans="1:14" ht="38" x14ac:dyDescent="0.2">
      <c r="A40" s="103">
        <f>MAX(A$2:A39)+1</f>
        <v>34</v>
      </c>
      <c r="B40" s="104" t="s">
        <v>1060</v>
      </c>
      <c r="C40" s="8"/>
      <c r="D40" s="105">
        <v>1</v>
      </c>
      <c r="E40" s="52" t="s">
        <v>179</v>
      </c>
      <c r="F40" s="63"/>
      <c r="G40" s="63"/>
      <c r="H40" s="91" t="s">
        <v>1402</v>
      </c>
      <c r="I40" s="63"/>
      <c r="J40" s="63" t="s">
        <v>1148</v>
      </c>
      <c r="K40" s="63" t="s">
        <v>1361</v>
      </c>
      <c r="L40" s="63" t="s">
        <v>1060</v>
      </c>
      <c r="M40" s="63" t="s">
        <v>1060</v>
      </c>
      <c r="N40" s="63" t="s">
        <v>1398</v>
      </c>
    </row>
    <row r="41" spans="1:14" ht="38" x14ac:dyDescent="0.2">
      <c r="A41" s="103">
        <f>MAX(A$2:A40)+1</f>
        <v>35</v>
      </c>
      <c r="B41" s="104" t="s">
        <v>1052</v>
      </c>
      <c r="C41" s="8"/>
      <c r="D41" s="105">
        <v>1</v>
      </c>
      <c r="E41" s="52" t="s">
        <v>179</v>
      </c>
      <c r="F41" s="63"/>
      <c r="G41" s="63"/>
      <c r="H41" s="91" t="s">
        <v>1403</v>
      </c>
      <c r="I41" s="63"/>
      <c r="J41" s="63" t="s">
        <v>1140</v>
      </c>
      <c r="K41" s="63" t="s">
        <v>1361</v>
      </c>
      <c r="L41" s="63" t="s">
        <v>1052</v>
      </c>
      <c r="M41" s="63" t="s">
        <v>1052</v>
      </c>
      <c r="N41" s="63" t="s">
        <v>1390</v>
      </c>
    </row>
    <row r="42" spans="1:14" ht="20" x14ac:dyDescent="0.2">
      <c r="A42" s="103">
        <f>MAX(A$2:A41)+1</f>
        <v>36</v>
      </c>
      <c r="B42" s="104" t="s">
        <v>1043</v>
      </c>
      <c r="C42" s="8"/>
      <c r="D42" s="105">
        <v>1</v>
      </c>
      <c r="E42" s="52" t="s">
        <v>179</v>
      </c>
      <c r="F42" s="63"/>
      <c r="G42" s="63"/>
      <c r="H42" s="91" t="s">
        <v>1404</v>
      </c>
      <c r="I42" s="63"/>
      <c r="J42" s="63" t="s">
        <v>1131</v>
      </c>
      <c r="K42" s="63" t="s">
        <v>1361</v>
      </c>
      <c r="L42" s="63" t="s">
        <v>1043</v>
      </c>
      <c r="M42" s="63" t="s">
        <v>1043</v>
      </c>
      <c r="N42" s="63" t="s">
        <v>1398</v>
      </c>
    </row>
    <row r="43" spans="1:14" ht="38" x14ac:dyDescent="0.2">
      <c r="A43" s="103">
        <f>MAX(A$2:A42)+1</f>
        <v>37</v>
      </c>
      <c r="B43" s="104" t="s">
        <v>1059</v>
      </c>
      <c r="C43" s="8"/>
      <c r="D43" s="105">
        <v>1</v>
      </c>
      <c r="E43" s="52" t="s">
        <v>179</v>
      </c>
      <c r="F43" s="63"/>
      <c r="G43" s="63"/>
      <c r="H43" s="91" t="s">
        <v>1405</v>
      </c>
      <c r="I43" s="63"/>
      <c r="J43" s="63" t="s">
        <v>1147</v>
      </c>
      <c r="K43" s="63" t="s">
        <v>1361</v>
      </c>
      <c r="L43" s="63" t="s">
        <v>1059</v>
      </c>
      <c r="M43" s="63" t="s">
        <v>1059</v>
      </c>
      <c r="N43" s="63" t="s">
        <v>1398</v>
      </c>
    </row>
    <row r="44" spans="1:14" ht="20" x14ac:dyDescent="0.2">
      <c r="A44" s="103">
        <f>MAX(A$2:A43)+1</f>
        <v>38</v>
      </c>
      <c r="B44" s="104" t="s">
        <v>1406</v>
      </c>
      <c r="C44" s="8"/>
      <c r="D44" s="105">
        <v>1</v>
      </c>
      <c r="E44" s="52" t="s">
        <v>180</v>
      </c>
      <c r="F44" s="63"/>
      <c r="G44" s="63"/>
      <c r="H44" s="91" t="s">
        <v>323</v>
      </c>
      <c r="I44" s="63"/>
      <c r="J44" s="63" t="s">
        <v>1103</v>
      </c>
      <c r="K44" s="63" t="s">
        <v>1407</v>
      </c>
      <c r="L44" s="63" t="s">
        <v>1408</v>
      </c>
      <c r="M44" s="63" t="s">
        <v>1408</v>
      </c>
      <c r="N44" s="63" t="s">
        <v>1409</v>
      </c>
    </row>
    <row r="45" spans="1:14" ht="38" x14ac:dyDescent="0.2">
      <c r="A45" s="103">
        <f>MAX(A$2:A44)+1</f>
        <v>39</v>
      </c>
      <c r="B45" s="104" t="s">
        <v>1410</v>
      </c>
      <c r="C45" s="8"/>
      <c r="D45" s="105">
        <v>1</v>
      </c>
      <c r="E45" s="52" t="s">
        <v>180</v>
      </c>
      <c r="F45" s="63"/>
      <c r="G45" s="63"/>
      <c r="H45" s="91" t="s">
        <v>322</v>
      </c>
      <c r="I45" s="63"/>
      <c r="J45" s="63" t="s">
        <v>1105</v>
      </c>
      <c r="K45" s="63" t="s">
        <v>1407</v>
      </c>
      <c r="L45" s="63" t="s">
        <v>1411</v>
      </c>
      <c r="M45" s="63" t="s">
        <v>1411</v>
      </c>
      <c r="N45" s="63" t="s">
        <v>1412</v>
      </c>
    </row>
    <row r="46" spans="1:14" ht="38" x14ac:dyDescent="0.2">
      <c r="A46" s="103">
        <f>MAX(A$2:A45)+1</f>
        <v>40</v>
      </c>
      <c r="B46" s="104" t="s">
        <v>1413</v>
      </c>
      <c r="C46" s="8"/>
      <c r="D46" s="105">
        <v>1</v>
      </c>
      <c r="E46" s="52" t="s">
        <v>179</v>
      </c>
      <c r="F46" s="63"/>
      <c r="G46" s="63"/>
      <c r="H46" s="91" t="s">
        <v>1414</v>
      </c>
      <c r="I46" s="63" t="s">
        <v>1415</v>
      </c>
      <c r="J46" s="90" t="s">
        <v>1416</v>
      </c>
      <c r="K46" s="63"/>
      <c r="L46" s="63"/>
      <c r="M46" s="63"/>
      <c r="N46" s="63"/>
    </row>
    <row r="47" spans="1:14" ht="38" x14ac:dyDescent="0.2">
      <c r="A47" s="103">
        <f>MAX(A$2:A46)+1</f>
        <v>41</v>
      </c>
      <c r="B47" s="104" t="s">
        <v>1061</v>
      </c>
      <c r="C47" s="8"/>
      <c r="D47" s="105">
        <v>1</v>
      </c>
      <c r="E47" s="52" t="s">
        <v>179</v>
      </c>
      <c r="F47" s="63"/>
      <c r="G47" s="63"/>
      <c r="H47" s="91" t="s">
        <v>1417</v>
      </c>
      <c r="I47" s="63"/>
      <c r="J47" s="63" t="s">
        <v>1149</v>
      </c>
      <c r="K47" s="63" t="s">
        <v>1361</v>
      </c>
      <c r="L47" s="63" t="s">
        <v>1061</v>
      </c>
      <c r="M47" s="63" t="s">
        <v>1061</v>
      </c>
      <c r="N47" s="63" t="s">
        <v>1398</v>
      </c>
    </row>
    <row r="48" spans="1:14" ht="38" x14ac:dyDescent="0.2">
      <c r="A48" s="103">
        <f>MAX(A$2:A47)+1</f>
        <v>42</v>
      </c>
      <c r="B48" s="104" t="s">
        <v>240</v>
      </c>
      <c r="C48" s="8"/>
      <c r="D48" s="105">
        <v>1</v>
      </c>
      <c r="E48" s="52" t="s">
        <v>180</v>
      </c>
      <c r="F48" s="63"/>
      <c r="G48" s="63"/>
      <c r="H48" s="91" t="s">
        <v>1418</v>
      </c>
      <c r="I48" s="63"/>
      <c r="J48" s="63" t="s">
        <v>1153</v>
      </c>
      <c r="K48" s="63" t="s">
        <v>399</v>
      </c>
      <c r="L48" s="63" t="s">
        <v>240</v>
      </c>
      <c r="M48" s="63" t="s">
        <v>240</v>
      </c>
      <c r="N48" s="63" t="s">
        <v>1419</v>
      </c>
    </row>
    <row r="49" spans="1:14" ht="38" x14ac:dyDescent="0.2">
      <c r="A49" s="103">
        <f>MAX(A$2:A48)+1</f>
        <v>43</v>
      </c>
      <c r="B49" s="104" t="s">
        <v>1260</v>
      </c>
      <c r="C49" s="8"/>
      <c r="D49" s="105">
        <v>1</v>
      </c>
      <c r="E49" s="52" t="s">
        <v>180</v>
      </c>
      <c r="F49" s="63"/>
      <c r="G49" s="63"/>
      <c r="H49" s="91" t="s">
        <v>321</v>
      </c>
      <c r="I49" s="63"/>
      <c r="J49" s="63" t="s">
        <v>1104</v>
      </c>
      <c r="K49" s="63" t="s">
        <v>1407</v>
      </c>
      <c r="L49" s="63" t="s">
        <v>1420</v>
      </c>
      <c r="M49" s="63" t="s">
        <v>1420</v>
      </c>
      <c r="N49" s="63" t="s">
        <v>1421</v>
      </c>
    </row>
    <row r="50" spans="1:14" ht="19" x14ac:dyDescent="0.2">
      <c r="A50" s="12"/>
      <c r="B50" s="102" t="s">
        <v>1422</v>
      </c>
      <c r="C50" s="101"/>
      <c r="D50" s="12"/>
      <c r="E50" s="52"/>
      <c r="F50" s="33"/>
      <c r="G50" s="79"/>
      <c r="H50" s="79"/>
      <c r="I50" s="89"/>
      <c r="J50" s="63"/>
      <c r="K50" s="63"/>
      <c r="L50" s="63"/>
      <c r="M50" s="63"/>
      <c r="N50" s="63"/>
    </row>
    <row r="51" spans="1:14" ht="38" x14ac:dyDescent="0.2">
      <c r="A51" s="103">
        <f>MAX(A$2:A50)+1</f>
        <v>44</v>
      </c>
      <c r="B51" s="104" t="s">
        <v>1423</v>
      </c>
      <c r="C51" s="8"/>
      <c r="D51" s="105">
        <v>1</v>
      </c>
      <c r="E51" s="52" t="s">
        <v>180</v>
      </c>
      <c r="F51" s="63"/>
      <c r="G51" s="63"/>
      <c r="H51" s="91" t="s">
        <v>333</v>
      </c>
      <c r="I51" s="63" t="s">
        <v>1424</v>
      </c>
      <c r="J51" s="63" t="s">
        <v>1425</v>
      </c>
      <c r="K51" s="63" t="s">
        <v>412</v>
      </c>
      <c r="L51" s="63" t="s">
        <v>1015</v>
      </c>
      <c r="M51" s="63" t="s">
        <v>1426</v>
      </c>
      <c r="N51" s="63" t="s">
        <v>1427</v>
      </c>
    </row>
    <row r="52" spans="1:14" ht="20" x14ac:dyDescent="0.2">
      <c r="A52" s="103">
        <f>MAX(A$2:A51)+1</f>
        <v>45</v>
      </c>
      <c r="B52" s="104" t="s">
        <v>1428</v>
      </c>
      <c r="C52" s="8"/>
      <c r="D52" s="105">
        <v>1</v>
      </c>
      <c r="E52" s="52" t="s">
        <v>1643</v>
      </c>
      <c r="F52" s="63"/>
      <c r="G52" s="63"/>
      <c r="H52" s="91" t="s">
        <v>1429</v>
      </c>
      <c r="I52" s="63" t="s">
        <v>1424</v>
      </c>
      <c r="J52" s="90" t="s">
        <v>1430</v>
      </c>
      <c r="K52" s="63" t="s">
        <v>412</v>
      </c>
      <c r="L52" s="63" t="s">
        <v>284</v>
      </c>
      <c r="M52" s="63" t="s">
        <v>1431</v>
      </c>
      <c r="N52" s="63" t="s">
        <v>1432</v>
      </c>
    </row>
    <row r="53" spans="1:14" ht="19" x14ac:dyDescent="0.2">
      <c r="A53" s="12"/>
      <c r="B53" s="102" t="s">
        <v>1433</v>
      </c>
      <c r="C53" s="101"/>
      <c r="D53" s="12"/>
      <c r="E53" s="52"/>
      <c r="F53" s="33"/>
      <c r="G53" s="79"/>
      <c r="H53" s="79"/>
      <c r="I53" s="89"/>
      <c r="J53" s="63"/>
      <c r="K53" s="63"/>
      <c r="L53" s="63"/>
      <c r="M53" s="63"/>
      <c r="N53" s="63"/>
    </row>
    <row r="54" spans="1:14" ht="20" x14ac:dyDescent="0.2">
      <c r="A54" s="103">
        <f>MAX(A$2:A53)+1</f>
        <v>46</v>
      </c>
      <c r="B54" s="104" t="s">
        <v>1434</v>
      </c>
      <c r="C54" s="8"/>
      <c r="D54" s="105">
        <v>1</v>
      </c>
      <c r="E54" s="52" t="s">
        <v>180</v>
      </c>
      <c r="F54" s="63"/>
      <c r="G54" s="63"/>
      <c r="H54" s="91" t="s">
        <v>1435</v>
      </c>
      <c r="I54" s="63" t="s">
        <v>1436</v>
      </c>
      <c r="J54" s="90" t="s">
        <v>1437</v>
      </c>
      <c r="K54" s="63"/>
      <c r="L54" s="63"/>
      <c r="M54" s="63"/>
      <c r="N54" s="63"/>
    </row>
    <row r="55" spans="1:14" ht="20" x14ac:dyDescent="0.2">
      <c r="A55" s="103">
        <f>MAX(A$2:A54)+1</f>
        <v>47</v>
      </c>
      <c r="B55" s="104" t="s">
        <v>1438</v>
      </c>
      <c r="C55" s="8"/>
      <c r="D55" s="105">
        <v>1</v>
      </c>
      <c r="E55" s="52" t="s">
        <v>180</v>
      </c>
      <c r="F55" s="63"/>
      <c r="G55" s="63"/>
      <c r="H55" s="91" t="s">
        <v>676</v>
      </c>
      <c r="I55" s="63" t="s">
        <v>1436</v>
      </c>
      <c r="J55" s="90" t="s">
        <v>1339</v>
      </c>
      <c r="K55" s="63"/>
      <c r="L55" s="63"/>
      <c r="M55" s="63"/>
      <c r="N55" s="63"/>
    </row>
    <row r="56" spans="1:14" ht="19" x14ac:dyDescent="0.2">
      <c r="A56" s="12"/>
      <c r="B56" s="102" t="s">
        <v>1439</v>
      </c>
      <c r="C56" s="101"/>
      <c r="D56" s="12"/>
      <c r="E56" s="52"/>
      <c r="F56" s="33"/>
      <c r="G56" s="79"/>
      <c r="H56" s="79"/>
      <c r="I56" s="89"/>
      <c r="J56" s="63"/>
      <c r="K56" s="63"/>
      <c r="L56" s="63"/>
      <c r="M56" s="63"/>
      <c r="N56" s="63"/>
    </row>
    <row r="57" spans="1:14" ht="20" x14ac:dyDescent="0.2">
      <c r="A57" s="103">
        <f>MAX(A$2:A56)+1</f>
        <v>48</v>
      </c>
      <c r="B57" s="104" t="s">
        <v>1440</v>
      </c>
      <c r="C57" s="8"/>
      <c r="D57" s="105">
        <v>1</v>
      </c>
      <c r="E57" s="52" t="s">
        <v>180</v>
      </c>
      <c r="F57" s="63"/>
      <c r="G57" s="63"/>
      <c r="H57" s="91" t="s">
        <v>1441</v>
      </c>
      <c r="I57" s="63"/>
      <c r="J57" s="90" t="s">
        <v>1442</v>
      </c>
      <c r="K57" s="63"/>
      <c r="L57" s="63"/>
      <c r="M57" s="63"/>
      <c r="N57" s="63"/>
    </row>
    <row r="58" spans="1:14" ht="20" x14ac:dyDescent="0.2">
      <c r="A58" s="103">
        <f>MAX(A$2:A57)+1</f>
        <v>49</v>
      </c>
      <c r="B58" s="104" t="s">
        <v>1443</v>
      </c>
      <c r="C58" s="8"/>
      <c r="D58" s="105">
        <v>1</v>
      </c>
      <c r="E58" s="52" t="s">
        <v>180</v>
      </c>
      <c r="F58" s="63"/>
      <c r="G58" s="63"/>
      <c r="H58" s="91" t="s">
        <v>1444</v>
      </c>
      <c r="I58" s="63"/>
      <c r="J58" s="90" t="s">
        <v>1442</v>
      </c>
      <c r="K58" s="63"/>
      <c r="L58" s="63"/>
      <c r="M58" s="63"/>
      <c r="N58" s="63"/>
    </row>
    <row r="59" spans="1:14" ht="20" x14ac:dyDescent="0.2">
      <c r="A59" s="103">
        <f>MAX(A$2:A58)+1</f>
        <v>50</v>
      </c>
      <c r="B59" s="104" t="s">
        <v>1445</v>
      </c>
      <c r="C59" s="8"/>
      <c r="D59" s="105">
        <v>1</v>
      </c>
      <c r="E59" s="52" t="s">
        <v>180</v>
      </c>
      <c r="F59" s="63"/>
      <c r="G59" s="63"/>
      <c r="H59" s="91" t="s">
        <v>1446</v>
      </c>
      <c r="I59" s="63"/>
      <c r="J59" s="90" t="s">
        <v>1442</v>
      </c>
      <c r="K59" s="63"/>
      <c r="L59" s="63"/>
      <c r="M59" s="63"/>
      <c r="N59" s="63"/>
    </row>
    <row r="60" spans="1:14" ht="20" x14ac:dyDescent="0.2">
      <c r="A60" s="103">
        <f>MAX(A$2:A59)+1</f>
        <v>51</v>
      </c>
      <c r="B60" s="104" t="s">
        <v>1447</v>
      </c>
      <c r="C60" s="8"/>
      <c r="D60" s="105">
        <v>1</v>
      </c>
      <c r="E60" s="52" t="s">
        <v>180</v>
      </c>
      <c r="F60" s="63"/>
      <c r="G60" s="63"/>
      <c r="H60" s="91" t="s">
        <v>1448</v>
      </c>
      <c r="I60" s="63"/>
      <c r="J60" s="90" t="s">
        <v>1449</v>
      </c>
      <c r="K60" s="63"/>
      <c r="L60" s="63"/>
      <c r="M60" s="63"/>
      <c r="N60" s="63"/>
    </row>
    <row r="61" spans="1:14" ht="20" x14ac:dyDescent="0.2">
      <c r="A61" s="103">
        <f>MAX(A$2:A60)+1</f>
        <v>52</v>
      </c>
      <c r="B61" s="104" t="s">
        <v>1450</v>
      </c>
      <c r="C61" s="8"/>
      <c r="D61" s="105">
        <v>1</v>
      </c>
      <c r="E61" s="52" t="s">
        <v>180</v>
      </c>
      <c r="F61" s="63"/>
      <c r="G61" s="63"/>
      <c r="H61" s="91" t="s">
        <v>1451</v>
      </c>
      <c r="I61" s="63"/>
      <c r="J61" s="90" t="s">
        <v>1442</v>
      </c>
      <c r="K61" s="63"/>
      <c r="L61" s="63"/>
      <c r="M61" s="63"/>
      <c r="N61" s="63"/>
    </row>
    <row r="62" spans="1:14" ht="20" x14ac:dyDescent="0.2">
      <c r="A62" s="103">
        <f>MAX(A$2:A61)+1</f>
        <v>53</v>
      </c>
      <c r="B62" s="104" t="s">
        <v>877</v>
      </c>
      <c r="C62" s="8"/>
      <c r="D62" s="105">
        <v>1</v>
      </c>
      <c r="E62" s="52" t="s">
        <v>180</v>
      </c>
      <c r="F62" s="63"/>
      <c r="G62" s="63"/>
      <c r="H62" s="91" t="s">
        <v>557</v>
      </c>
      <c r="I62" s="63"/>
      <c r="J62" s="90" t="s">
        <v>1442</v>
      </c>
      <c r="K62" s="63"/>
      <c r="L62" s="63"/>
      <c r="M62" s="63"/>
      <c r="N62" s="63"/>
    </row>
    <row r="63" spans="1:14" ht="19" x14ac:dyDescent="0.2">
      <c r="A63" s="12"/>
      <c r="B63" s="102" t="s">
        <v>1452</v>
      </c>
      <c r="C63" s="101"/>
      <c r="D63" s="12"/>
      <c r="E63" s="52"/>
      <c r="F63" s="33"/>
      <c r="G63" s="79"/>
      <c r="H63" s="79"/>
      <c r="I63" s="89"/>
      <c r="J63" s="63"/>
      <c r="K63" s="63"/>
      <c r="L63" s="63"/>
      <c r="M63" s="63"/>
      <c r="N63" s="63"/>
    </row>
    <row r="64" spans="1:14" ht="20" x14ac:dyDescent="0.2">
      <c r="A64" s="103">
        <f>MAX(A$2:A63)+1</f>
        <v>54</v>
      </c>
      <c r="B64" s="104" t="s">
        <v>1453</v>
      </c>
      <c r="C64" s="8"/>
      <c r="D64" s="105">
        <v>1</v>
      </c>
      <c r="E64" s="52" t="s">
        <v>180</v>
      </c>
      <c r="F64" s="63"/>
      <c r="G64" s="63"/>
      <c r="H64" s="91" t="s">
        <v>552</v>
      </c>
      <c r="I64" s="63"/>
      <c r="J64" s="90" t="s">
        <v>1102</v>
      </c>
      <c r="K64" s="63" t="s">
        <v>1454</v>
      </c>
      <c r="L64" s="63" t="s">
        <v>1016</v>
      </c>
      <c r="M64" s="63" t="s">
        <v>1016</v>
      </c>
      <c r="N64" s="63" t="s">
        <v>1455</v>
      </c>
    </row>
    <row r="65" spans="1:14" ht="20" x14ac:dyDescent="0.2">
      <c r="A65" s="103">
        <f>MAX(A$2:A64)+1</f>
        <v>55</v>
      </c>
      <c r="B65" s="104" t="s">
        <v>1456</v>
      </c>
      <c r="C65" s="8"/>
      <c r="D65" s="105">
        <v>1</v>
      </c>
      <c r="E65" s="52" t="s">
        <v>180</v>
      </c>
      <c r="F65" s="63"/>
      <c r="G65" s="63"/>
      <c r="H65" s="91" t="s">
        <v>556</v>
      </c>
      <c r="I65" s="63"/>
      <c r="J65" s="90" t="s">
        <v>1106</v>
      </c>
      <c r="K65" s="63" t="s">
        <v>1454</v>
      </c>
      <c r="L65" s="63" t="s">
        <v>1457</v>
      </c>
      <c r="M65" s="63" t="s">
        <v>1457</v>
      </c>
      <c r="N65" s="63" t="s">
        <v>1458</v>
      </c>
    </row>
    <row r="66" spans="1:14" ht="20" x14ac:dyDescent="0.2">
      <c r="A66" s="103">
        <f>MAX(A$2:A65)+1</f>
        <v>56</v>
      </c>
      <c r="B66" s="104" t="s">
        <v>1459</v>
      </c>
      <c r="C66" s="8"/>
      <c r="D66" s="105">
        <v>1</v>
      </c>
      <c r="E66" s="52" t="s">
        <v>180</v>
      </c>
      <c r="F66" s="63"/>
      <c r="G66" s="63"/>
      <c r="H66" s="91" t="s">
        <v>553</v>
      </c>
      <c r="I66" s="63"/>
      <c r="J66" s="90" t="s">
        <v>1110</v>
      </c>
      <c r="K66" s="63" t="s">
        <v>1454</v>
      </c>
      <c r="L66" s="63" t="s">
        <v>1460</v>
      </c>
      <c r="M66" s="63" t="s">
        <v>1460</v>
      </c>
      <c r="N66" s="63" t="s">
        <v>1461</v>
      </c>
    </row>
    <row r="67" spans="1:14" ht="20" x14ac:dyDescent="0.2">
      <c r="A67" s="103">
        <f>MAX(A$2:A66)+1</f>
        <v>57</v>
      </c>
      <c r="B67" s="104" t="s">
        <v>1462</v>
      </c>
      <c r="C67" s="8"/>
      <c r="D67" s="105">
        <v>1</v>
      </c>
      <c r="E67" s="52" t="s">
        <v>180</v>
      </c>
      <c r="F67" s="63"/>
      <c r="G67" s="63"/>
      <c r="H67" s="91" t="s">
        <v>555</v>
      </c>
      <c r="I67" s="63"/>
      <c r="J67" s="90" t="s">
        <v>1109</v>
      </c>
      <c r="K67" s="63" t="s">
        <v>1454</v>
      </c>
      <c r="L67" s="63" t="s">
        <v>1017</v>
      </c>
      <c r="M67" s="63" t="s">
        <v>1017</v>
      </c>
      <c r="N67" s="63" t="s">
        <v>1461</v>
      </c>
    </row>
    <row r="68" spans="1:14" ht="40" x14ac:dyDescent="0.2">
      <c r="A68" s="103">
        <f>MAX(A$2:A67)+1</f>
        <v>58</v>
      </c>
      <c r="B68" s="104" t="s">
        <v>1463</v>
      </c>
      <c r="C68" s="8"/>
      <c r="D68" s="105">
        <v>1</v>
      </c>
      <c r="E68" s="52" t="s">
        <v>180</v>
      </c>
      <c r="F68" s="63"/>
      <c r="G68" s="63"/>
      <c r="H68" s="91" t="s">
        <v>554</v>
      </c>
      <c r="I68" s="63"/>
      <c r="J68" s="90" t="s">
        <v>1107</v>
      </c>
      <c r="K68" s="63" t="s">
        <v>1454</v>
      </c>
      <c r="L68" s="63" t="s">
        <v>1464</v>
      </c>
      <c r="M68" s="63" t="s">
        <v>1464</v>
      </c>
      <c r="N68" s="63" t="s">
        <v>1461</v>
      </c>
    </row>
    <row r="69" spans="1:14" ht="20" x14ac:dyDescent="0.2">
      <c r="A69" s="103">
        <f>MAX(A$2:A68)+1</f>
        <v>59</v>
      </c>
      <c r="B69" s="104" t="s">
        <v>1465</v>
      </c>
      <c r="C69" s="8"/>
      <c r="D69" s="105">
        <v>1</v>
      </c>
      <c r="E69" s="52" t="s">
        <v>180</v>
      </c>
      <c r="F69" s="63"/>
      <c r="G69" s="63"/>
      <c r="H69" s="91" t="s">
        <v>580</v>
      </c>
      <c r="I69" s="63"/>
      <c r="J69" s="90" t="s">
        <v>1108</v>
      </c>
      <c r="K69" s="63" t="s">
        <v>1454</v>
      </c>
      <c r="L69" s="63" t="s">
        <v>1466</v>
      </c>
      <c r="M69" s="63" t="s">
        <v>1466</v>
      </c>
      <c r="N69" s="63" t="s">
        <v>1467</v>
      </c>
    </row>
    <row r="70" spans="1:14" ht="19" x14ac:dyDescent="0.2">
      <c r="A70" s="12"/>
      <c r="B70" s="102" t="s">
        <v>1468</v>
      </c>
      <c r="C70" s="101"/>
      <c r="D70" s="12"/>
      <c r="E70" s="52"/>
      <c r="F70" s="33"/>
      <c r="G70" s="79"/>
      <c r="H70" s="79"/>
      <c r="I70" s="89"/>
      <c r="J70" s="63"/>
      <c r="K70" s="63"/>
      <c r="L70" s="63"/>
      <c r="M70" s="63"/>
      <c r="N70" s="63"/>
    </row>
    <row r="71" spans="1:14" ht="20" x14ac:dyDescent="0.2">
      <c r="A71" s="103">
        <f>MAX(A$2:A70)+1</f>
        <v>60</v>
      </c>
      <c r="B71" s="104" t="s">
        <v>1469</v>
      </c>
      <c r="C71" s="8"/>
      <c r="D71" s="105">
        <v>1</v>
      </c>
      <c r="E71" s="52" t="s">
        <v>179</v>
      </c>
      <c r="F71" s="63"/>
      <c r="G71" s="63"/>
      <c r="H71" s="91" t="s">
        <v>1470</v>
      </c>
      <c r="I71" s="63"/>
      <c r="J71" s="63"/>
      <c r="K71" s="63"/>
      <c r="L71" s="63"/>
      <c r="M71" s="63"/>
      <c r="N71" s="63"/>
    </row>
    <row r="72" spans="1:14" ht="20" x14ac:dyDescent="0.2">
      <c r="A72" s="103">
        <f>MAX(A$2:A71)+1</f>
        <v>61</v>
      </c>
      <c r="B72" s="104" t="s">
        <v>1471</v>
      </c>
      <c r="C72" s="8"/>
      <c r="D72" s="105">
        <v>1</v>
      </c>
      <c r="E72" s="52" t="s">
        <v>180</v>
      </c>
      <c r="F72" s="63"/>
      <c r="G72" s="63"/>
      <c r="H72" s="91" t="s">
        <v>1472</v>
      </c>
      <c r="I72" s="63"/>
      <c r="J72" s="63" t="s">
        <v>1473</v>
      </c>
      <c r="K72" s="63"/>
      <c r="L72" s="63"/>
      <c r="M72" s="63"/>
      <c r="N72" s="63"/>
    </row>
    <row r="73" spans="1:14" ht="20" x14ac:dyDescent="0.2">
      <c r="A73" s="103">
        <f>MAX(A$2:A72)+1</f>
        <v>62</v>
      </c>
      <c r="B73" s="104" t="s">
        <v>1474</v>
      </c>
      <c r="C73" s="8"/>
      <c r="D73" s="105">
        <v>1</v>
      </c>
      <c r="E73" s="52" t="s">
        <v>180</v>
      </c>
      <c r="F73" s="63"/>
      <c r="G73" s="63"/>
      <c r="H73" s="91" t="s">
        <v>1475</v>
      </c>
      <c r="I73" s="63"/>
      <c r="J73" s="63" t="s">
        <v>1476</v>
      </c>
      <c r="K73" s="63"/>
      <c r="L73" s="63"/>
      <c r="M73" s="63"/>
      <c r="N73" s="63"/>
    </row>
    <row r="74" spans="1:14" ht="19" x14ac:dyDescent="0.2">
      <c r="A74" s="12"/>
      <c r="B74" s="102" t="s">
        <v>1477</v>
      </c>
      <c r="C74" s="101"/>
      <c r="D74" s="12"/>
      <c r="E74" s="52"/>
      <c r="F74" s="33"/>
      <c r="G74" s="79"/>
      <c r="H74" s="79"/>
      <c r="I74" s="89"/>
      <c r="J74" s="63"/>
      <c r="K74" s="63"/>
      <c r="L74" s="63"/>
      <c r="M74" s="63"/>
      <c r="N74" s="63"/>
    </row>
    <row r="75" spans="1:14" ht="38" x14ac:dyDescent="0.2">
      <c r="A75" s="103">
        <f>MAX(A$2:A74)+1</f>
        <v>63</v>
      </c>
      <c r="B75" s="104" t="s">
        <v>1478</v>
      </c>
      <c r="C75" s="8"/>
      <c r="D75" s="105">
        <v>1</v>
      </c>
      <c r="E75" s="52" t="s">
        <v>180</v>
      </c>
      <c r="F75" s="63"/>
      <c r="G75" s="63"/>
      <c r="H75" s="91" t="s">
        <v>1479</v>
      </c>
      <c r="I75" s="63"/>
      <c r="J75" s="63" t="s">
        <v>1480</v>
      </c>
      <c r="K75" s="63"/>
      <c r="L75" s="63"/>
      <c r="M75" s="63"/>
      <c r="N75" s="63"/>
    </row>
    <row r="76" spans="1:14" ht="40" x14ac:dyDescent="0.2">
      <c r="A76" s="103">
        <f>MAX(A$2:A75)+1</f>
        <v>64</v>
      </c>
      <c r="B76" s="104" t="s">
        <v>1481</v>
      </c>
      <c r="C76" s="8"/>
      <c r="D76" s="105">
        <v>1</v>
      </c>
      <c r="E76" s="52" t="s">
        <v>180</v>
      </c>
      <c r="F76" s="63"/>
      <c r="G76" s="63"/>
      <c r="H76" s="91" t="s">
        <v>1482</v>
      </c>
      <c r="I76" s="63"/>
      <c r="J76" s="63" t="s">
        <v>1483</v>
      </c>
      <c r="K76" s="63"/>
      <c r="L76" s="63"/>
      <c r="M76" s="63"/>
      <c r="N76" s="63"/>
    </row>
    <row r="77" spans="1:14" ht="38" x14ac:dyDescent="0.2">
      <c r="A77" s="103">
        <f>MAX(A$2:A76)+1</f>
        <v>65</v>
      </c>
      <c r="B77" s="104" t="s">
        <v>1484</v>
      </c>
      <c r="C77" s="8"/>
      <c r="D77" s="105">
        <v>1</v>
      </c>
      <c r="E77" s="52" t="s">
        <v>180</v>
      </c>
      <c r="F77" s="63"/>
      <c r="G77" s="63"/>
      <c r="H77" s="91" t="s">
        <v>1485</v>
      </c>
      <c r="I77" s="63"/>
      <c r="J77" s="90" t="s">
        <v>1486</v>
      </c>
      <c r="K77" s="63"/>
      <c r="L77" s="63"/>
      <c r="M77" s="63"/>
      <c r="N77" s="63"/>
    </row>
    <row r="78" spans="1:14" ht="20" x14ac:dyDescent="0.2">
      <c r="A78" s="103">
        <f>MAX(A$2:A77)+1</f>
        <v>66</v>
      </c>
      <c r="B78" s="104" t="s">
        <v>1487</v>
      </c>
      <c r="C78" s="8"/>
      <c r="D78" s="105">
        <v>1</v>
      </c>
      <c r="E78" s="52" t="s">
        <v>180</v>
      </c>
      <c r="F78" s="63"/>
      <c r="G78" s="63"/>
      <c r="H78" s="91" t="s">
        <v>1488</v>
      </c>
      <c r="I78" s="63"/>
      <c r="J78" s="90" t="s">
        <v>1489</v>
      </c>
      <c r="K78" s="63"/>
      <c r="L78" s="63"/>
      <c r="M78" s="63"/>
      <c r="N78" s="63"/>
    </row>
    <row r="79" spans="1:14" ht="20" x14ac:dyDescent="0.2">
      <c r="A79" s="103">
        <f>MAX(A$2:A78)+1</f>
        <v>67</v>
      </c>
      <c r="B79" s="104" t="s">
        <v>1490</v>
      </c>
      <c r="C79" s="8"/>
      <c r="D79" s="105">
        <v>1</v>
      </c>
      <c r="E79" s="52" t="s">
        <v>180</v>
      </c>
      <c r="F79" s="63"/>
      <c r="G79" s="63"/>
      <c r="H79" s="91" t="s">
        <v>1491</v>
      </c>
      <c r="I79" s="63"/>
      <c r="J79" s="90" t="s">
        <v>1486</v>
      </c>
      <c r="K79" s="63"/>
      <c r="L79" s="63"/>
      <c r="M79" s="63"/>
      <c r="N79" s="63"/>
    </row>
    <row r="80" spans="1:14" ht="19" x14ac:dyDescent="0.2">
      <c r="A80" s="12"/>
      <c r="B80" s="102" t="s">
        <v>1492</v>
      </c>
      <c r="C80" s="101"/>
      <c r="D80" s="12"/>
      <c r="E80" s="52"/>
      <c r="F80" s="33"/>
      <c r="G80" s="79"/>
      <c r="H80" s="79"/>
      <c r="I80" s="89"/>
      <c r="J80" s="63"/>
      <c r="K80" s="63"/>
      <c r="L80" s="63"/>
      <c r="M80" s="63"/>
      <c r="N80" s="63"/>
    </row>
    <row r="81" spans="1:14" ht="20" x14ac:dyDescent="0.2">
      <c r="A81" s="103">
        <f>MAX(A$2:A80)+1</f>
        <v>68</v>
      </c>
      <c r="B81" s="104" t="s">
        <v>1493</v>
      </c>
      <c r="C81" s="8"/>
      <c r="D81" s="105">
        <v>1</v>
      </c>
      <c r="E81" s="52" t="s">
        <v>179</v>
      </c>
      <c r="F81" s="63"/>
      <c r="G81" s="63"/>
      <c r="H81" s="91" t="s">
        <v>1494</v>
      </c>
      <c r="I81" s="63"/>
      <c r="J81" s="63" t="s">
        <v>1495</v>
      </c>
      <c r="K81" s="63" t="s">
        <v>396</v>
      </c>
      <c r="L81" s="63" t="s">
        <v>1012</v>
      </c>
      <c r="M81" s="63" t="s">
        <v>1496</v>
      </c>
      <c r="N81" s="63" t="s">
        <v>1497</v>
      </c>
    </row>
    <row r="82" spans="1:14" ht="20" x14ac:dyDescent="0.2">
      <c r="A82" s="103">
        <f>MAX(A$2:A81)+1</f>
        <v>69</v>
      </c>
      <c r="B82" s="104" t="s">
        <v>1498</v>
      </c>
      <c r="C82" s="8"/>
      <c r="D82" s="105">
        <v>1</v>
      </c>
      <c r="E82" s="52" t="s">
        <v>179</v>
      </c>
      <c r="F82" s="63"/>
      <c r="G82" s="63"/>
      <c r="H82" s="91" t="s">
        <v>1499</v>
      </c>
      <c r="I82" s="63"/>
      <c r="J82" s="63" t="s">
        <v>1500</v>
      </c>
      <c r="K82" s="63" t="s">
        <v>396</v>
      </c>
      <c r="L82" s="63" t="s">
        <v>1007</v>
      </c>
      <c r="M82" s="63" t="s">
        <v>1496</v>
      </c>
      <c r="N82" s="63" t="s">
        <v>1501</v>
      </c>
    </row>
    <row r="83" spans="1:14" ht="20" x14ac:dyDescent="0.2">
      <c r="A83" s="103">
        <f>MAX(A$2:A82)+1</f>
        <v>70</v>
      </c>
      <c r="B83" s="104" t="s">
        <v>871</v>
      </c>
      <c r="C83" s="8"/>
      <c r="D83" s="105">
        <v>1</v>
      </c>
      <c r="E83" s="52" t="s">
        <v>179</v>
      </c>
      <c r="F83" s="63"/>
      <c r="G83" s="63"/>
      <c r="H83" s="91" t="s">
        <v>1502</v>
      </c>
      <c r="I83" s="63"/>
      <c r="J83" s="63" t="s">
        <v>1503</v>
      </c>
      <c r="K83" s="63" t="s">
        <v>396</v>
      </c>
      <c r="L83" s="63" t="s">
        <v>1014</v>
      </c>
      <c r="M83" s="63" t="s">
        <v>1496</v>
      </c>
      <c r="N83" s="63" t="s">
        <v>1504</v>
      </c>
    </row>
    <row r="84" spans="1:14" ht="20" x14ac:dyDescent="0.2">
      <c r="A84" s="103">
        <f>MAX(A$2:A83)+1</f>
        <v>71</v>
      </c>
      <c r="B84" s="104" t="s">
        <v>1505</v>
      </c>
      <c r="C84" s="8"/>
      <c r="D84" s="105">
        <v>1</v>
      </c>
      <c r="E84" s="52" t="s">
        <v>179</v>
      </c>
      <c r="F84" s="63"/>
      <c r="G84" s="63"/>
      <c r="H84" s="91" t="s">
        <v>1506</v>
      </c>
      <c r="I84" s="63"/>
      <c r="J84" s="63" t="s">
        <v>1507</v>
      </c>
      <c r="K84" s="63" t="s">
        <v>396</v>
      </c>
      <c r="L84" s="63" t="s">
        <v>1010</v>
      </c>
      <c r="M84" s="63" t="s">
        <v>1496</v>
      </c>
      <c r="N84" s="63" t="s">
        <v>1508</v>
      </c>
    </row>
    <row r="85" spans="1:14" ht="19" x14ac:dyDescent="0.2">
      <c r="A85" s="12"/>
      <c r="B85" s="102" t="s">
        <v>1509</v>
      </c>
      <c r="C85" s="101"/>
      <c r="D85" s="12"/>
      <c r="E85" s="52"/>
      <c r="F85" s="33"/>
      <c r="G85" s="79"/>
      <c r="H85" s="79"/>
      <c r="I85" s="89"/>
      <c r="J85" s="63"/>
      <c r="K85" s="63"/>
      <c r="L85" s="63"/>
      <c r="M85" s="63"/>
      <c r="N85" s="63"/>
    </row>
    <row r="86" spans="1:14" ht="20" x14ac:dyDescent="0.2">
      <c r="A86" s="103">
        <f>MAX(A$2:A85)+1</f>
        <v>72</v>
      </c>
      <c r="B86" s="104" t="s">
        <v>1510</v>
      </c>
      <c r="C86" s="8"/>
      <c r="D86" s="105">
        <v>1</v>
      </c>
      <c r="E86" s="52" t="s">
        <v>180</v>
      </c>
      <c r="F86" s="63"/>
      <c r="G86" s="63"/>
      <c r="H86" s="91" t="s">
        <v>1511</v>
      </c>
      <c r="I86" s="63"/>
      <c r="J86" s="63"/>
      <c r="K86" s="63"/>
      <c r="L86" s="63"/>
      <c r="M86" s="63"/>
      <c r="N86" s="63"/>
    </row>
    <row r="87" spans="1:14" ht="20" x14ac:dyDescent="0.2">
      <c r="A87" s="103">
        <f>MAX(A$2:A86)+1</f>
        <v>73</v>
      </c>
      <c r="B87" s="104" t="s">
        <v>1512</v>
      </c>
      <c r="C87" s="8"/>
      <c r="D87" s="105">
        <v>1</v>
      </c>
      <c r="E87" s="52" t="s">
        <v>180</v>
      </c>
      <c r="F87" s="63"/>
      <c r="G87" s="63"/>
      <c r="H87" s="91" t="s">
        <v>1513</v>
      </c>
      <c r="I87" s="63"/>
      <c r="J87" s="63" t="s">
        <v>1134</v>
      </c>
      <c r="K87" s="63" t="s">
        <v>1361</v>
      </c>
      <c r="L87" s="63" t="s">
        <v>1046</v>
      </c>
      <c r="M87" s="63" t="s">
        <v>1514</v>
      </c>
      <c r="N87" s="63" t="s">
        <v>1515</v>
      </c>
    </row>
    <row r="88" spans="1:14" ht="20" x14ac:dyDescent="0.2">
      <c r="A88" s="103">
        <f>MAX(A$2:A87)+1</f>
        <v>74</v>
      </c>
      <c r="B88" s="104" t="s">
        <v>1516</v>
      </c>
      <c r="C88" s="8"/>
      <c r="D88" s="105">
        <v>1</v>
      </c>
      <c r="E88" s="52" t="s">
        <v>180</v>
      </c>
      <c r="F88" s="63"/>
      <c r="G88" s="63"/>
      <c r="H88" s="91" t="s">
        <v>858</v>
      </c>
      <c r="I88" s="63"/>
      <c r="J88" s="63" t="s">
        <v>1517</v>
      </c>
      <c r="K88" s="63" t="s">
        <v>1518</v>
      </c>
      <c r="L88" s="63" t="s">
        <v>1076</v>
      </c>
      <c r="M88" s="63" t="s">
        <v>1076</v>
      </c>
      <c r="N88" s="63" t="s">
        <v>1519</v>
      </c>
    </row>
    <row r="89" spans="1:14" ht="40" x14ac:dyDescent="0.2">
      <c r="A89" s="103">
        <f>MAX(A$2:A88)+1</f>
        <v>75</v>
      </c>
      <c r="B89" s="104" t="s">
        <v>1520</v>
      </c>
      <c r="C89" s="8"/>
      <c r="D89" s="105">
        <v>1</v>
      </c>
      <c r="E89" s="52" t="s">
        <v>180</v>
      </c>
      <c r="F89" s="63"/>
      <c r="G89" s="63"/>
      <c r="H89" s="91" t="s">
        <v>859</v>
      </c>
      <c r="I89" s="63"/>
      <c r="J89" s="63" t="s">
        <v>1521</v>
      </c>
      <c r="K89" s="63" t="s">
        <v>1518</v>
      </c>
      <c r="L89" s="63" t="s">
        <v>1522</v>
      </c>
      <c r="M89" s="63" t="s">
        <v>1522</v>
      </c>
      <c r="N89" s="63" t="s">
        <v>1523</v>
      </c>
    </row>
    <row r="90" spans="1:14" ht="20" x14ac:dyDescent="0.2">
      <c r="A90" s="103">
        <f>MAX(A$2:A89)+1</f>
        <v>76</v>
      </c>
      <c r="B90" s="104" t="s">
        <v>1524</v>
      </c>
      <c r="C90" s="8"/>
      <c r="D90" s="105">
        <v>1</v>
      </c>
      <c r="E90" s="52" t="s">
        <v>180</v>
      </c>
      <c r="F90" s="63"/>
      <c r="G90" s="63"/>
      <c r="H90" s="91" t="s">
        <v>865</v>
      </c>
      <c r="I90" s="63"/>
      <c r="J90" s="63" t="s">
        <v>1525</v>
      </c>
      <c r="K90" s="63" t="s">
        <v>1361</v>
      </c>
      <c r="L90" s="63" t="s">
        <v>1037</v>
      </c>
      <c r="M90" s="63" t="s">
        <v>1037</v>
      </c>
      <c r="N90" s="63" t="s">
        <v>1526</v>
      </c>
    </row>
    <row r="91" spans="1:14" ht="20" x14ac:dyDescent="0.2">
      <c r="A91" s="103">
        <f>MAX(A$2:A90)+1</f>
        <v>77</v>
      </c>
      <c r="B91" s="104" t="s">
        <v>1527</v>
      </c>
      <c r="C91" s="8"/>
      <c r="D91" s="105">
        <v>1</v>
      </c>
      <c r="E91" s="52" t="s">
        <v>180</v>
      </c>
      <c r="F91" s="63"/>
      <c r="G91" s="63"/>
      <c r="H91" s="91" t="s">
        <v>579</v>
      </c>
      <c r="I91" s="63"/>
      <c r="J91" s="63" t="s">
        <v>1528</v>
      </c>
      <c r="K91" s="63" t="s">
        <v>1518</v>
      </c>
      <c r="L91" s="63" t="s">
        <v>1075</v>
      </c>
      <c r="M91" s="63" t="s">
        <v>1075</v>
      </c>
      <c r="N91" s="63" t="s">
        <v>1529</v>
      </c>
    </row>
    <row r="92" spans="1:14" ht="19" x14ac:dyDescent="0.2">
      <c r="A92" s="12"/>
      <c r="B92" s="102" t="s">
        <v>1530</v>
      </c>
      <c r="C92" s="101"/>
      <c r="D92" s="12"/>
      <c r="E92" s="52"/>
      <c r="F92" s="33"/>
      <c r="G92" s="79"/>
      <c r="H92" s="79"/>
      <c r="I92" s="89"/>
      <c r="J92" s="63"/>
      <c r="K92" s="63"/>
      <c r="L92" s="63"/>
      <c r="M92" s="63"/>
      <c r="N92" s="63"/>
    </row>
    <row r="93" spans="1:14" ht="20" x14ac:dyDescent="0.2">
      <c r="A93" s="103">
        <f>MAX(A$2:A92)+1</f>
        <v>78</v>
      </c>
      <c r="B93" s="104" t="s">
        <v>1531</v>
      </c>
      <c r="C93" s="8"/>
      <c r="D93" s="105">
        <v>1</v>
      </c>
      <c r="E93" s="52" t="s">
        <v>180</v>
      </c>
      <c r="F93" s="63"/>
      <c r="G93" s="63"/>
      <c r="H93" s="91" t="s">
        <v>1532</v>
      </c>
      <c r="I93" s="63"/>
      <c r="J93" s="90" t="s">
        <v>1533</v>
      </c>
      <c r="K93" s="63" t="s">
        <v>1534</v>
      </c>
      <c r="L93" s="63" t="s">
        <v>1083</v>
      </c>
      <c r="M93" s="63" t="s">
        <v>1535</v>
      </c>
      <c r="N93" s="63" t="s">
        <v>1536</v>
      </c>
    </row>
    <row r="94" spans="1:14" ht="38" x14ac:dyDescent="0.2">
      <c r="A94" s="103">
        <f>MAX(A$2:A93)+1</f>
        <v>79</v>
      </c>
      <c r="B94" s="104" t="s">
        <v>1315</v>
      </c>
      <c r="C94" s="8"/>
      <c r="D94" s="105">
        <v>1</v>
      </c>
      <c r="E94" s="52" t="s">
        <v>179</v>
      </c>
      <c r="F94" s="63"/>
      <c r="G94" s="63"/>
      <c r="H94" s="91" t="s">
        <v>1537</v>
      </c>
      <c r="I94" s="63"/>
      <c r="J94" s="63" t="s">
        <v>1538</v>
      </c>
      <c r="K94" s="63" t="s">
        <v>1539</v>
      </c>
      <c r="L94" s="63" t="s">
        <v>1540</v>
      </c>
      <c r="M94" s="63" t="s">
        <v>1540</v>
      </c>
      <c r="N94" s="63" t="s">
        <v>1541</v>
      </c>
    </row>
    <row r="95" spans="1:14" ht="38" x14ac:dyDescent="0.2">
      <c r="A95" s="103">
        <f>MAX(A$2:A94)+1</f>
        <v>80</v>
      </c>
      <c r="B95" s="104" t="s">
        <v>1542</v>
      </c>
      <c r="C95" s="8"/>
      <c r="D95" s="105">
        <v>1</v>
      </c>
      <c r="E95" s="52" t="s">
        <v>180</v>
      </c>
      <c r="F95" s="63"/>
      <c r="G95" s="63"/>
      <c r="H95" s="91" t="s">
        <v>1543</v>
      </c>
      <c r="I95" s="63"/>
      <c r="J95" s="63" t="s">
        <v>1544</v>
      </c>
      <c r="K95" s="63"/>
      <c r="L95" s="63"/>
      <c r="M95" s="63"/>
      <c r="N95" s="63"/>
    </row>
    <row r="96" spans="1:14" ht="38" x14ac:dyDescent="0.2">
      <c r="A96" s="103">
        <f>MAX(A$2:A95)+1</f>
        <v>81</v>
      </c>
      <c r="B96" s="104" t="s">
        <v>1545</v>
      </c>
      <c r="C96" s="8"/>
      <c r="D96" s="105">
        <v>1</v>
      </c>
      <c r="E96" s="52" t="s">
        <v>182</v>
      </c>
      <c r="F96" s="63"/>
      <c r="G96" s="63"/>
      <c r="H96" s="91" t="s">
        <v>1546</v>
      </c>
      <c r="I96" s="63"/>
      <c r="J96" s="63" t="s">
        <v>1547</v>
      </c>
      <c r="K96" s="63"/>
      <c r="L96" s="63"/>
      <c r="M96" s="63"/>
      <c r="N96" s="63"/>
    </row>
    <row r="97" spans="1:14" ht="19" x14ac:dyDescent="0.2">
      <c r="A97" s="12"/>
      <c r="B97" s="102" t="s">
        <v>1548</v>
      </c>
      <c r="C97" s="101"/>
      <c r="D97" s="12"/>
      <c r="E97" s="52"/>
      <c r="F97" s="33"/>
      <c r="G97" s="79"/>
      <c r="H97" s="79"/>
      <c r="I97" s="89"/>
      <c r="J97" s="63"/>
      <c r="K97" s="63"/>
      <c r="L97" s="63"/>
      <c r="M97" s="63"/>
      <c r="N97" s="63"/>
    </row>
    <row r="98" spans="1:14" ht="38" x14ac:dyDescent="0.2">
      <c r="A98" s="103">
        <f>MAX(A$2:A97)+1</f>
        <v>82</v>
      </c>
      <c r="B98" s="104" t="s">
        <v>1549</v>
      </c>
      <c r="C98" s="8"/>
      <c r="D98" s="105">
        <v>1</v>
      </c>
      <c r="E98" s="52" t="s">
        <v>180</v>
      </c>
      <c r="F98" s="63"/>
      <c r="G98" s="63"/>
      <c r="H98" s="91" t="s">
        <v>332</v>
      </c>
      <c r="I98" s="63"/>
      <c r="J98" s="90" t="s">
        <v>1550</v>
      </c>
      <c r="K98" s="63" t="s">
        <v>1551</v>
      </c>
      <c r="L98" s="63" t="s">
        <v>1552</v>
      </c>
      <c r="M98" s="63" t="s">
        <v>1301</v>
      </c>
      <c r="N98" s="63" t="s">
        <v>1553</v>
      </c>
    </row>
    <row r="99" spans="1:14" ht="38" x14ac:dyDescent="0.2">
      <c r="A99" s="103">
        <f>MAX(A$2:A98)+1</f>
        <v>83</v>
      </c>
      <c r="B99" s="104" t="s">
        <v>1554</v>
      </c>
      <c r="C99" s="8"/>
      <c r="D99" s="105">
        <v>1</v>
      </c>
      <c r="E99" s="52" t="s">
        <v>180</v>
      </c>
      <c r="F99" s="63"/>
      <c r="G99" s="63"/>
      <c r="H99" s="91" t="s">
        <v>328</v>
      </c>
      <c r="I99" s="63"/>
      <c r="J99" s="90" t="s">
        <v>1555</v>
      </c>
      <c r="K99" s="63" t="s">
        <v>1551</v>
      </c>
      <c r="L99" s="63" t="s">
        <v>1556</v>
      </c>
      <c r="M99" s="63" t="s">
        <v>1557</v>
      </c>
      <c r="N99" s="63" t="s">
        <v>1558</v>
      </c>
    </row>
    <row r="100" spans="1:14" ht="20" x14ac:dyDescent="0.2">
      <c r="A100" s="103">
        <f>MAX(A$2:A99)+1</f>
        <v>84</v>
      </c>
      <c r="B100" s="104" t="s">
        <v>1559</v>
      </c>
      <c r="C100" s="8"/>
      <c r="D100" s="105">
        <v>1</v>
      </c>
      <c r="E100" s="52" t="s">
        <v>180</v>
      </c>
      <c r="F100" s="63"/>
      <c r="G100" s="63"/>
      <c r="H100" s="91" t="s">
        <v>1560</v>
      </c>
      <c r="I100" s="63"/>
      <c r="J100" s="63"/>
      <c r="K100" s="63"/>
      <c r="L100" s="63"/>
      <c r="M100" s="63"/>
      <c r="N100" s="63"/>
    </row>
    <row r="101" spans="1:14" ht="38" x14ac:dyDescent="0.2">
      <c r="A101" s="103">
        <f>MAX(A$2:A100)+1</f>
        <v>85</v>
      </c>
      <c r="B101" s="104" t="s">
        <v>1561</v>
      </c>
      <c r="C101" s="8"/>
      <c r="D101" s="105">
        <v>1</v>
      </c>
      <c r="E101" s="52" t="s">
        <v>180</v>
      </c>
      <c r="F101" s="63"/>
      <c r="G101" s="63"/>
      <c r="H101" s="91" t="s">
        <v>330</v>
      </c>
      <c r="I101" s="63"/>
      <c r="J101" s="90" t="s">
        <v>1562</v>
      </c>
      <c r="K101" s="63" t="s">
        <v>1551</v>
      </c>
      <c r="L101" s="63" t="s">
        <v>1563</v>
      </c>
      <c r="M101" s="63" t="s">
        <v>1564</v>
      </c>
      <c r="N101" s="63" t="s">
        <v>1565</v>
      </c>
    </row>
    <row r="102" spans="1:14" ht="38" x14ac:dyDescent="0.2">
      <c r="A102" s="103">
        <f>MAX(A$2:A101)+1</f>
        <v>86</v>
      </c>
      <c r="B102" s="104" t="s">
        <v>1566</v>
      </c>
      <c r="C102" s="8"/>
      <c r="D102" s="105">
        <v>1</v>
      </c>
      <c r="E102" s="52" t="s">
        <v>180</v>
      </c>
      <c r="F102" s="63"/>
      <c r="G102" s="63"/>
      <c r="H102" s="91" t="s">
        <v>326</v>
      </c>
      <c r="I102" s="63"/>
      <c r="J102" s="90" t="s">
        <v>1567</v>
      </c>
      <c r="K102" s="63" t="s">
        <v>1551</v>
      </c>
      <c r="L102" s="63" t="s">
        <v>325</v>
      </c>
      <c r="M102" s="63" t="s">
        <v>1568</v>
      </c>
      <c r="N102" s="63" t="s">
        <v>1569</v>
      </c>
    </row>
    <row r="103" spans="1:14" ht="19" x14ac:dyDescent="0.2">
      <c r="A103" s="12"/>
      <c r="B103" s="102" t="s">
        <v>1570</v>
      </c>
      <c r="C103" s="101"/>
      <c r="D103" s="12"/>
      <c r="E103" s="52"/>
      <c r="F103" s="33"/>
      <c r="G103" s="79"/>
      <c r="H103" s="79"/>
      <c r="I103" s="89"/>
      <c r="J103" s="63"/>
      <c r="K103" s="63"/>
      <c r="L103" s="63"/>
      <c r="M103" s="63"/>
      <c r="N103" s="63"/>
    </row>
    <row r="104" spans="1:14" ht="20" x14ac:dyDescent="0.2">
      <c r="A104" s="103">
        <f>MAX(A$2:A103)+1</f>
        <v>87</v>
      </c>
      <c r="B104" s="104" t="s">
        <v>1571</v>
      </c>
      <c r="C104" s="8"/>
      <c r="D104" s="105">
        <v>1</v>
      </c>
      <c r="E104" s="52" t="s">
        <v>180</v>
      </c>
      <c r="F104" s="63"/>
      <c r="G104" s="63"/>
      <c r="H104" s="91" t="s">
        <v>1572</v>
      </c>
      <c r="I104" s="63"/>
      <c r="J104" s="63" t="s">
        <v>1573</v>
      </c>
      <c r="K104" s="63"/>
      <c r="L104" s="63"/>
      <c r="M104" s="63"/>
      <c r="N104" s="63"/>
    </row>
    <row r="105" spans="1:14" ht="20" x14ac:dyDescent="0.2">
      <c r="A105" s="103">
        <f>MAX(A$2:A104)+1</f>
        <v>88</v>
      </c>
      <c r="B105" s="104" t="s">
        <v>1574</v>
      </c>
      <c r="C105" s="8"/>
      <c r="D105" s="105">
        <v>1</v>
      </c>
      <c r="E105" s="52" t="s">
        <v>180</v>
      </c>
      <c r="F105" s="63"/>
      <c r="G105" s="63"/>
      <c r="H105" s="91" t="s">
        <v>1575</v>
      </c>
      <c r="I105" s="63"/>
      <c r="J105" s="63" t="s">
        <v>1576</v>
      </c>
      <c r="K105" s="63" t="s">
        <v>420</v>
      </c>
      <c r="L105" s="63" t="s">
        <v>1577</v>
      </c>
      <c r="M105" s="63" t="s">
        <v>1577</v>
      </c>
      <c r="N105" s="63" t="s">
        <v>1578</v>
      </c>
    </row>
    <row r="106" spans="1:14" ht="19" x14ac:dyDescent="0.2">
      <c r="A106" s="12"/>
      <c r="B106" s="102" t="s">
        <v>1579</v>
      </c>
      <c r="C106" s="101"/>
      <c r="D106" s="12"/>
      <c r="E106" s="52"/>
      <c r="F106" s="33"/>
      <c r="G106" s="79"/>
      <c r="H106" s="79"/>
      <c r="I106" s="89"/>
      <c r="J106" s="63"/>
      <c r="K106" s="63"/>
      <c r="L106" s="63"/>
      <c r="M106" s="63"/>
      <c r="N106" s="63"/>
    </row>
    <row r="107" spans="1:14" ht="20" x14ac:dyDescent="0.2">
      <c r="A107" s="103">
        <f>MAX(A$2:A106)+1</f>
        <v>89</v>
      </c>
      <c r="B107" s="104" t="s">
        <v>1580</v>
      </c>
      <c r="C107" s="8"/>
      <c r="D107" s="105">
        <v>1</v>
      </c>
      <c r="E107" s="52" t="s">
        <v>179</v>
      </c>
      <c r="F107" s="63"/>
      <c r="G107" s="63"/>
      <c r="H107" s="91" t="s">
        <v>1581</v>
      </c>
      <c r="I107" s="63"/>
      <c r="J107" s="63"/>
      <c r="K107" s="63"/>
      <c r="L107" s="63"/>
      <c r="M107" s="63"/>
      <c r="N107" s="63"/>
    </row>
    <row r="108" spans="1:14" ht="19" x14ac:dyDescent="0.2">
      <c r="A108" s="12"/>
      <c r="B108" s="102" t="s">
        <v>1582</v>
      </c>
      <c r="C108" s="101"/>
      <c r="D108" s="12"/>
      <c r="E108" s="52"/>
      <c r="F108" s="33"/>
      <c r="G108" s="79"/>
      <c r="H108" s="79"/>
      <c r="I108" s="89"/>
      <c r="J108" s="63"/>
      <c r="K108" s="63"/>
      <c r="L108" s="63"/>
      <c r="M108" s="63"/>
      <c r="N108" s="63"/>
    </row>
    <row r="109" spans="1:14" ht="20" x14ac:dyDescent="0.2">
      <c r="A109" s="103">
        <f>MAX(A$2:A108)+1</f>
        <v>90</v>
      </c>
      <c r="B109" s="104" t="s">
        <v>1583</v>
      </c>
      <c r="C109" s="8"/>
      <c r="D109" s="105">
        <v>1</v>
      </c>
      <c r="E109" s="52" t="s">
        <v>180</v>
      </c>
      <c r="F109" s="63"/>
      <c r="G109" s="63"/>
      <c r="H109" s="91" t="s">
        <v>1584</v>
      </c>
      <c r="I109" s="63"/>
      <c r="J109" s="63" t="s">
        <v>1585</v>
      </c>
      <c r="K109" s="63"/>
      <c r="L109" s="63"/>
      <c r="M109" s="63"/>
      <c r="N109" s="63"/>
    </row>
    <row r="110" spans="1:14" ht="19" x14ac:dyDescent="0.2">
      <c r="A110" s="12"/>
      <c r="B110" s="102" t="s">
        <v>1586</v>
      </c>
      <c r="C110" s="101"/>
      <c r="D110" s="12"/>
      <c r="E110" s="52"/>
      <c r="F110" s="33"/>
      <c r="G110" s="79"/>
      <c r="H110" s="79"/>
      <c r="I110" s="89"/>
      <c r="J110" s="63"/>
      <c r="K110" s="63"/>
      <c r="L110" s="63"/>
      <c r="M110" s="63"/>
      <c r="N110" s="63"/>
    </row>
    <row r="111" spans="1:14" ht="38" x14ac:dyDescent="0.2">
      <c r="A111" s="103">
        <f>MAX(A$2:A110)+1</f>
        <v>91</v>
      </c>
      <c r="B111" s="104" t="s">
        <v>1587</v>
      </c>
      <c r="C111" s="8"/>
      <c r="D111" s="105">
        <v>1</v>
      </c>
      <c r="E111" s="52" t="s">
        <v>180</v>
      </c>
      <c r="F111" s="63"/>
      <c r="G111" s="63"/>
      <c r="H111" s="91" t="s">
        <v>1588</v>
      </c>
      <c r="I111" s="63"/>
      <c r="J111" s="90" t="s">
        <v>1589</v>
      </c>
      <c r="K111" s="63"/>
      <c r="L111" s="63"/>
      <c r="M111" s="63"/>
      <c r="N111" s="63"/>
    </row>
    <row r="112" spans="1:14" ht="20" x14ac:dyDescent="0.2">
      <c r="A112" s="103">
        <f>MAX(A$2:A111)+1</f>
        <v>92</v>
      </c>
      <c r="B112" s="104" t="s">
        <v>1590</v>
      </c>
      <c r="C112" s="8"/>
      <c r="D112" s="105">
        <v>1</v>
      </c>
      <c r="E112" s="52" t="s">
        <v>180</v>
      </c>
      <c r="F112" s="63"/>
      <c r="G112" s="63"/>
      <c r="H112" s="91" t="s">
        <v>562</v>
      </c>
      <c r="I112" s="63"/>
      <c r="J112" s="63" t="s">
        <v>1152</v>
      </c>
      <c r="K112" s="63" t="s">
        <v>399</v>
      </c>
      <c r="L112" s="63" t="s">
        <v>1064</v>
      </c>
      <c r="M112" s="63" t="s">
        <v>1064</v>
      </c>
      <c r="N112" s="63" t="s">
        <v>1591</v>
      </c>
    </row>
    <row r="113" spans="1:14" ht="20" x14ac:dyDescent="0.2">
      <c r="A113" s="103">
        <f>MAX(A$2:A112)+1</f>
        <v>93</v>
      </c>
      <c r="B113" s="104" t="s">
        <v>1592</v>
      </c>
      <c r="C113" s="8"/>
      <c r="D113" s="105">
        <v>1</v>
      </c>
      <c r="E113" s="52" t="s">
        <v>180</v>
      </c>
      <c r="F113" s="63"/>
      <c r="G113" s="63"/>
      <c r="H113" s="91" t="s">
        <v>1593</v>
      </c>
      <c r="I113" s="63"/>
      <c r="J113" s="63" t="s">
        <v>1153</v>
      </c>
      <c r="K113" s="63" t="s">
        <v>399</v>
      </c>
      <c r="L113" s="63" t="s">
        <v>240</v>
      </c>
      <c r="M113" s="63" t="s">
        <v>240</v>
      </c>
      <c r="N113" s="63" t="s">
        <v>1419</v>
      </c>
    </row>
    <row r="114" spans="1:14" ht="19" x14ac:dyDescent="0.2">
      <c r="A114" s="12"/>
      <c r="B114" s="102" t="s">
        <v>1594</v>
      </c>
      <c r="C114" s="101"/>
      <c r="D114" s="12"/>
      <c r="E114" s="52"/>
      <c r="F114" s="33"/>
      <c r="G114" s="79"/>
      <c r="H114" s="79"/>
      <c r="I114" s="89"/>
      <c r="J114" s="63"/>
      <c r="K114" s="63"/>
      <c r="L114" s="63"/>
      <c r="M114" s="63"/>
      <c r="N114" s="63"/>
    </row>
    <row r="115" spans="1:14" ht="20" x14ac:dyDescent="0.2">
      <c r="A115" s="103">
        <f>MAX(A$2:A114)+1</f>
        <v>94</v>
      </c>
      <c r="B115" s="104" t="s">
        <v>251</v>
      </c>
      <c r="C115" s="8"/>
      <c r="D115" s="105">
        <v>1</v>
      </c>
      <c r="E115" s="52" t="s">
        <v>180</v>
      </c>
      <c r="F115" s="63"/>
      <c r="G115" s="63"/>
      <c r="H115" s="91" t="s">
        <v>569</v>
      </c>
      <c r="I115" s="63"/>
      <c r="J115" s="63" t="s">
        <v>1595</v>
      </c>
      <c r="K115" s="63"/>
      <c r="L115" s="63"/>
      <c r="M115" s="63"/>
      <c r="N115" s="63"/>
    </row>
    <row r="116" spans="1:14" ht="38" x14ac:dyDescent="0.2">
      <c r="A116" s="103">
        <f>MAX(A$2:A115)+1</f>
        <v>95</v>
      </c>
      <c r="B116" s="104" t="s">
        <v>1596</v>
      </c>
      <c r="C116" s="8"/>
      <c r="D116" s="105">
        <v>1</v>
      </c>
      <c r="E116" s="52" t="s">
        <v>180</v>
      </c>
      <c r="F116" s="63"/>
      <c r="G116" s="63"/>
      <c r="H116" s="91" t="s">
        <v>564</v>
      </c>
      <c r="I116" s="63"/>
      <c r="J116" s="63" t="s">
        <v>1597</v>
      </c>
      <c r="K116" s="63" t="s">
        <v>547</v>
      </c>
      <c r="L116" s="63" t="s">
        <v>1598</v>
      </c>
      <c r="M116" s="63" t="s">
        <v>1599</v>
      </c>
      <c r="N116" s="63" t="s">
        <v>1600</v>
      </c>
    </row>
    <row r="117" spans="1:14" ht="38" x14ac:dyDescent="0.2">
      <c r="A117" s="103">
        <f>MAX(A$2:A116)+1</f>
        <v>96</v>
      </c>
      <c r="B117" s="104" t="s">
        <v>252</v>
      </c>
      <c r="C117" s="8"/>
      <c r="D117" s="105">
        <v>1</v>
      </c>
      <c r="E117" s="52" t="s">
        <v>180</v>
      </c>
      <c r="F117" s="63"/>
      <c r="G117" s="63"/>
      <c r="H117" s="91" t="s">
        <v>568</v>
      </c>
      <c r="I117" s="63"/>
      <c r="J117" s="63" t="s">
        <v>1601</v>
      </c>
      <c r="K117" s="63"/>
      <c r="L117" s="63"/>
      <c r="M117" s="63"/>
      <c r="N117" s="63"/>
    </row>
    <row r="118" spans="1:14" ht="38" x14ac:dyDescent="0.2">
      <c r="A118" s="103">
        <f>MAX(A$2:A117)+1</f>
        <v>97</v>
      </c>
      <c r="B118" s="104" t="s">
        <v>1602</v>
      </c>
      <c r="C118" s="8"/>
      <c r="D118" s="105">
        <v>1</v>
      </c>
      <c r="E118" s="52" t="s">
        <v>180</v>
      </c>
      <c r="F118" s="63"/>
      <c r="G118" s="63"/>
      <c r="H118" s="91" t="s">
        <v>563</v>
      </c>
      <c r="I118" s="63"/>
      <c r="J118" s="63" t="s">
        <v>1603</v>
      </c>
      <c r="K118" s="63" t="s">
        <v>547</v>
      </c>
      <c r="L118" s="63" t="s">
        <v>1604</v>
      </c>
      <c r="M118" s="63" t="s">
        <v>1605</v>
      </c>
      <c r="N118" s="63" t="s">
        <v>1600</v>
      </c>
    </row>
    <row r="119" spans="1:14" ht="38" x14ac:dyDescent="0.2">
      <c r="A119" s="103">
        <f>MAX(A$2:A118)+1</f>
        <v>98</v>
      </c>
      <c r="B119" s="104" t="s">
        <v>1606</v>
      </c>
      <c r="C119" s="8"/>
      <c r="D119" s="105">
        <v>1</v>
      </c>
      <c r="E119" s="52" t="s">
        <v>180</v>
      </c>
      <c r="F119" s="63"/>
      <c r="G119" s="63"/>
      <c r="H119" s="91" t="s">
        <v>566</v>
      </c>
      <c r="I119" s="63"/>
      <c r="J119" s="63" t="s">
        <v>1607</v>
      </c>
      <c r="K119" s="63"/>
      <c r="L119" s="63"/>
      <c r="M119" s="63"/>
      <c r="N119" s="63"/>
    </row>
    <row r="120" spans="1:14" ht="38" x14ac:dyDescent="0.2">
      <c r="A120" s="103">
        <f>MAX(A$2:A119)+1</f>
        <v>99</v>
      </c>
      <c r="B120" s="104" t="s">
        <v>1608</v>
      </c>
      <c r="C120" s="8"/>
      <c r="D120" s="105">
        <v>1</v>
      </c>
      <c r="E120" s="52" t="s">
        <v>180</v>
      </c>
      <c r="F120" s="63"/>
      <c r="G120" s="63"/>
      <c r="H120" s="91" t="s">
        <v>567</v>
      </c>
      <c r="I120" s="63"/>
      <c r="J120" s="63" t="s">
        <v>1609</v>
      </c>
      <c r="K120" s="63"/>
      <c r="L120" s="63"/>
      <c r="M120" s="63"/>
      <c r="N120" s="63"/>
    </row>
    <row r="121" spans="1:14" ht="38" x14ac:dyDescent="0.2">
      <c r="A121" s="103">
        <f>MAX(A$2:A120)+1</f>
        <v>100</v>
      </c>
      <c r="B121" s="104" t="s">
        <v>1610</v>
      </c>
      <c r="C121" s="8"/>
      <c r="D121" s="105">
        <v>1</v>
      </c>
      <c r="E121" s="52" t="s">
        <v>180</v>
      </c>
      <c r="F121" s="63"/>
      <c r="G121" s="63"/>
      <c r="H121" s="91" t="s">
        <v>565</v>
      </c>
      <c r="I121" s="63"/>
      <c r="J121" s="63" t="s">
        <v>1611</v>
      </c>
      <c r="K121" s="63" t="s">
        <v>547</v>
      </c>
      <c r="L121" s="63" t="s">
        <v>1612</v>
      </c>
      <c r="M121" s="63" t="s">
        <v>1613</v>
      </c>
      <c r="N121" s="63" t="s">
        <v>1614</v>
      </c>
    </row>
    <row r="122" spans="1:14" ht="38" x14ac:dyDescent="0.2">
      <c r="A122" s="103">
        <f>MAX(A$2:A121)+1</f>
        <v>101</v>
      </c>
      <c r="B122" s="104" t="s">
        <v>1615</v>
      </c>
      <c r="C122" s="8"/>
      <c r="D122" s="105">
        <v>1</v>
      </c>
      <c r="E122" s="52" t="s">
        <v>180</v>
      </c>
      <c r="F122" s="63"/>
      <c r="G122" s="63"/>
      <c r="H122" s="91" t="s">
        <v>1616</v>
      </c>
      <c r="I122" s="63"/>
      <c r="J122" s="63" t="s">
        <v>1617</v>
      </c>
      <c r="K122" s="63"/>
      <c r="L122" s="63"/>
      <c r="M122" s="63"/>
      <c r="N122" s="63"/>
    </row>
    <row r="123" spans="1:14" ht="19" x14ac:dyDescent="0.2">
      <c r="A123" s="12"/>
      <c r="B123" s="102" t="s">
        <v>1618</v>
      </c>
      <c r="C123" s="101"/>
      <c r="D123" s="12"/>
      <c r="E123" s="52"/>
      <c r="F123" s="33"/>
      <c r="G123" s="79"/>
      <c r="H123" s="79"/>
      <c r="I123" s="89"/>
      <c r="J123" s="63"/>
      <c r="K123" s="63"/>
      <c r="L123" s="63"/>
      <c r="M123" s="63"/>
      <c r="N123" s="63"/>
    </row>
    <row r="124" spans="1:14" ht="20" x14ac:dyDescent="0.2">
      <c r="A124" s="103">
        <f>MAX(A$2:A123)+1</f>
        <v>102</v>
      </c>
      <c r="B124" s="104" t="s">
        <v>1619</v>
      </c>
      <c r="C124" s="8"/>
      <c r="D124" s="105">
        <v>1</v>
      </c>
      <c r="E124" s="52" t="s">
        <v>180</v>
      </c>
      <c r="F124" s="63"/>
      <c r="G124" s="63"/>
      <c r="H124" s="91" t="s">
        <v>738</v>
      </c>
      <c r="I124" s="63" t="s">
        <v>1620</v>
      </c>
      <c r="J124" s="63"/>
      <c r="K124" s="63"/>
      <c r="L124" s="63"/>
      <c r="M124" s="63"/>
      <c r="N124" s="63"/>
    </row>
    <row r="125" spans="1:14" ht="19" x14ac:dyDescent="0.2">
      <c r="A125" s="12"/>
      <c r="B125" s="102" t="s">
        <v>1621</v>
      </c>
      <c r="C125" s="101"/>
      <c r="D125" s="12"/>
      <c r="E125" s="52"/>
      <c r="F125" s="33"/>
      <c r="G125" s="79"/>
      <c r="H125" s="79"/>
      <c r="I125" s="89"/>
      <c r="J125" s="63"/>
      <c r="K125" s="63"/>
      <c r="L125" s="63"/>
      <c r="M125" s="63"/>
      <c r="N125" s="63"/>
    </row>
    <row r="126" spans="1:14" ht="20" x14ac:dyDescent="0.2">
      <c r="A126" s="103">
        <f>MAX(A$2:A125)+1</f>
        <v>103</v>
      </c>
      <c r="B126" s="104" t="s">
        <v>1622</v>
      </c>
      <c r="C126" s="8"/>
      <c r="D126" s="105">
        <v>1</v>
      </c>
      <c r="E126" s="52" t="s">
        <v>179</v>
      </c>
      <c r="F126" s="63"/>
      <c r="G126" s="63"/>
      <c r="H126" s="91" t="s">
        <v>1623</v>
      </c>
      <c r="I126" s="63"/>
      <c r="J126" s="63"/>
      <c r="K126" s="63"/>
      <c r="L126" s="63"/>
      <c r="M126" s="63"/>
      <c r="N126" s="63"/>
    </row>
    <row r="127" spans="1:14" ht="20" x14ac:dyDescent="0.2">
      <c r="A127" s="103">
        <f>MAX(A$2:A126)+1</f>
        <v>104</v>
      </c>
      <c r="B127" s="104" t="s">
        <v>1624</v>
      </c>
      <c r="C127" s="8"/>
      <c r="D127" s="105">
        <v>1</v>
      </c>
      <c r="E127" s="52" t="s">
        <v>179</v>
      </c>
      <c r="F127" s="63"/>
      <c r="G127" s="63"/>
      <c r="H127" s="91" t="s">
        <v>1625</v>
      </c>
      <c r="I127" s="63"/>
      <c r="J127" s="63"/>
      <c r="K127" s="63"/>
      <c r="L127" s="63"/>
      <c r="M127" s="63"/>
      <c r="N127" s="63"/>
    </row>
    <row r="128" spans="1:14" ht="20" x14ac:dyDescent="0.2">
      <c r="A128" s="103">
        <f>MAX(A$2:A127)+1</f>
        <v>105</v>
      </c>
      <c r="B128" s="104" t="s">
        <v>1626</v>
      </c>
      <c r="C128" s="8"/>
      <c r="D128" s="105">
        <v>1</v>
      </c>
      <c r="E128" s="52" t="s">
        <v>180</v>
      </c>
      <c r="F128" s="63"/>
      <c r="G128" s="63"/>
      <c r="H128" s="91" t="s">
        <v>1627</v>
      </c>
      <c r="I128" s="63"/>
      <c r="J128" s="63"/>
      <c r="K128" s="63"/>
      <c r="L128" s="63"/>
      <c r="M128" s="63"/>
      <c r="N128" s="63"/>
    </row>
    <row r="129" spans="1:14" ht="20" x14ac:dyDescent="0.2">
      <c r="A129" s="103">
        <f>MAX(A$2:A128)+1</f>
        <v>106</v>
      </c>
      <c r="B129" s="104" t="s">
        <v>1628</v>
      </c>
      <c r="C129" s="8"/>
      <c r="D129" s="105">
        <v>1</v>
      </c>
      <c r="E129" s="52" t="s">
        <v>180</v>
      </c>
      <c r="F129" s="63"/>
      <c r="G129" s="63"/>
      <c r="H129" s="91" t="s">
        <v>1629</v>
      </c>
      <c r="I129" s="63"/>
      <c r="J129" s="63"/>
      <c r="K129" s="63"/>
      <c r="L129" s="63"/>
      <c r="M129" s="63"/>
      <c r="N129" s="63"/>
    </row>
    <row r="130" spans="1:14" ht="20" x14ac:dyDescent="0.2">
      <c r="A130" s="103">
        <f>MAX(A$2:A129)+1</f>
        <v>107</v>
      </c>
      <c r="B130" s="104" t="s">
        <v>1630</v>
      </c>
      <c r="C130" s="8"/>
      <c r="D130" s="105">
        <v>1</v>
      </c>
      <c r="E130" s="52" t="s">
        <v>179</v>
      </c>
      <c r="F130" s="63"/>
      <c r="G130" s="63"/>
      <c r="H130" s="91" t="s">
        <v>1631</v>
      </c>
      <c r="I130" s="63"/>
      <c r="J130" s="63" t="s">
        <v>1632</v>
      </c>
      <c r="K130" s="63"/>
      <c r="L130" s="63"/>
      <c r="M130" s="63"/>
      <c r="N130" s="63"/>
    </row>
    <row r="131" spans="1:14" ht="20" x14ac:dyDescent="0.2">
      <c r="A131" s="103">
        <f>MAX(A$2:A130)+1</f>
        <v>108</v>
      </c>
      <c r="B131" s="104" t="s">
        <v>1633</v>
      </c>
      <c r="C131" s="8"/>
      <c r="D131" s="105">
        <v>1</v>
      </c>
      <c r="E131" s="52" t="s">
        <v>180</v>
      </c>
      <c r="F131" s="63"/>
      <c r="G131" s="63"/>
      <c r="H131" s="91" t="s">
        <v>1634</v>
      </c>
      <c r="I131" s="63"/>
      <c r="J131" s="63" t="s">
        <v>1635</v>
      </c>
      <c r="K131" s="63"/>
      <c r="L131" s="63"/>
      <c r="M131" s="63"/>
      <c r="N131" s="63"/>
    </row>
    <row r="132" spans="1:14" ht="20" x14ac:dyDescent="0.2">
      <c r="A132" s="103">
        <f>MAX(A$2:A131)+1</f>
        <v>109</v>
      </c>
      <c r="B132" s="104" t="s">
        <v>1636</v>
      </c>
      <c r="C132" s="8"/>
      <c r="D132" s="105">
        <v>1</v>
      </c>
      <c r="E132" s="52" t="s">
        <v>180</v>
      </c>
      <c r="F132" s="63"/>
      <c r="G132" s="63"/>
      <c r="H132" s="91" t="s">
        <v>1637</v>
      </c>
      <c r="I132" s="63"/>
      <c r="J132" s="63"/>
      <c r="K132" s="63"/>
      <c r="L132" s="63"/>
      <c r="M132" s="63"/>
      <c r="N132" s="63"/>
    </row>
    <row r="133" spans="1:14" ht="20" x14ac:dyDescent="0.2">
      <c r="A133" s="103">
        <f>MAX(A$2:A132)+1</f>
        <v>110</v>
      </c>
      <c r="B133" s="104" t="s">
        <v>1638</v>
      </c>
      <c r="C133" s="8"/>
      <c r="D133" s="105">
        <v>1</v>
      </c>
      <c r="E133" s="52" t="s">
        <v>179</v>
      </c>
      <c r="F133" s="63"/>
      <c r="G133" s="63"/>
      <c r="H133" s="91" t="s">
        <v>1639</v>
      </c>
      <c r="I133" s="63"/>
      <c r="J133" s="63"/>
      <c r="K133" s="63"/>
      <c r="L133" s="63"/>
      <c r="M133" s="63"/>
      <c r="N133" s="63"/>
    </row>
    <row r="134" spans="1:14" ht="38" x14ac:dyDescent="0.2">
      <c r="A134" s="103">
        <f>MAX(A$2:A133)+1</f>
        <v>111</v>
      </c>
      <c r="B134" s="104" t="s">
        <v>1640</v>
      </c>
      <c r="C134" s="8"/>
      <c r="D134" s="105">
        <v>1</v>
      </c>
      <c r="E134" s="52" t="s">
        <v>182</v>
      </c>
      <c r="F134" s="63"/>
      <c r="G134" s="63"/>
      <c r="H134" s="91" t="s">
        <v>1641</v>
      </c>
      <c r="I134" s="63"/>
      <c r="J134" s="63"/>
      <c r="K134" s="63"/>
      <c r="L134" s="63"/>
      <c r="M134" s="63"/>
      <c r="N134" s="63"/>
    </row>
    <row r="135" spans="1:14" ht="38" x14ac:dyDescent="0.2">
      <c r="A135" s="103">
        <f>MAX(A$2:A134)+1</f>
        <v>112</v>
      </c>
      <c r="B135" s="104" t="s">
        <v>1642</v>
      </c>
      <c r="C135" s="8"/>
      <c r="D135" s="105">
        <v>1</v>
      </c>
      <c r="E135" s="52" t="s">
        <v>182</v>
      </c>
      <c r="F135" s="63"/>
      <c r="G135" s="63"/>
      <c r="H135" s="91" t="s">
        <v>1435</v>
      </c>
      <c r="I135" s="63"/>
      <c r="J135" s="63" t="s">
        <v>1437</v>
      </c>
      <c r="K135" s="63"/>
      <c r="L135" s="63"/>
      <c r="M135" s="63"/>
      <c r="N135" s="63"/>
    </row>
  </sheetData>
  <autoFilter ref="A3:N3" xr:uid="{00000000-0001-0000-0100-000000000000}"/>
  <mergeCells count="1">
    <mergeCell ref="A1:E1"/>
  </mergeCells>
  <hyperlinks>
    <hyperlink ref="J9" r:id="rId1" xr:uid="{C5515060-80F1-C345-99A3-8356E8254628}"/>
    <hyperlink ref="J11" r:id="rId2" xr:uid="{C9113DAB-7D65-1C48-AA7C-AB891C135F52}"/>
    <hyperlink ref="J14" r:id="rId3" xr:uid="{F9928F48-C219-2349-B184-4FB7084A6BCD}"/>
    <hyperlink ref="J18" r:id="rId4" xr:uid="{2A404672-541E-6848-A270-F583AD756348}"/>
    <hyperlink ref="J57" r:id="rId5" xr:uid="{D877E3FF-BE74-E748-8156-A320BB44F814}"/>
    <hyperlink ref="J58:J59" r:id="rId6" display="https://api.hemis.uz/api/university" xr:uid="{BB277A18-2C53-7C49-A7C1-C846EC225D53}"/>
    <hyperlink ref="J61" r:id="rId7" xr:uid="{B6B7BE2D-01BC-4A48-ABF5-BC282E484A66}"/>
    <hyperlink ref="J54" r:id="rId8" xr:uid="{66361CC6-2A22-684B-A7EE-012317181A95}"/>
    <hyperlink ref="J55" r:id="rId9" xr:uid="{20DFB62F-A3B3-854D-8166-A4CBE0B4A8DE}"/>
    <hyperlink ref="J60" r:id="rId10" xr:uid="{0BABDFBA-CE5C-A84A-BCD1-143976A5C931}"/>
    <hyperlink ref="J62" r:id="rId11" xr:uid="{76F76330-41C8-214C-8291-92D47FF841F7}"/>
    <hyperlink ref="J64" r:id="rId12" xr:uid="{C4630B2A-A808-BD4D-9D7A-A38B4FC9089C}"/>
    <hyperlink ref="J65" r:id="rId13" xr:uid="{05EFEDFF-9521-1844-AA43-88AE51DDCD96}"/>
    <hyperlink ref="J66" r:id="rId14" xr:uid="{83DC1874-A6F5-D84F-9E74-544DA9122445}"/>
    <hyperlink ref="J67" r:id="rId15" xr:uid="{D5EF3E89-2EF2-EA4D-B2ED-8FA2AD67B1FB}"/>
    <hyperlink ref="J68" r:id="rId16" xr:uid="{7D1949FA-4F07-7A4E-892D-3C6F1C40F57E}"/>
    <hyperlink ref="J69" r:id="rId17" xr:uid="{0F1AF62E-0222-7D42-85C1-F17681CBEF6A}"/>
    <hyperlink ref="J93" r:id="rId18" xr:uid="{F18BC495-13C2-0A40-BA83-D76FBF686754}"/>
    <hyperlink ref="J98" r:id="rId19" xr:uid="{F14F847D-C81A-6F40-A6D5-8270BC10D661}"/>
    <hyperlink ref="J99" r:id="rId20" xr:uid="{8A83AFF7-C2DB-8A49-91C9-FFB9B85AEFDC}"/>
    <hyperlink ref="J101" r:id="rId21" xr:uid="{26B922D3-3E17-4D47-9526-7474A1759823}"/>
    <hyperlink ref="J102" r:id="rId22" xr:uid="{BF56FAE0-40F6-254D-A472-A021CE19B016}"/>
    <hyperlink ref="J111" r:id="rId23" xr:uid="{998F4F5D-1656-0B48-B2C0-2F22EADE89A0}"/>
    <hyperlink ref="J79" r:id="rId24" xr:uid="{DA7900C0-5BB5-6146-956D-436394527F51}"/>
    <hyperlink ref="J78" r:id="rId25" xr:uid="{FBCECFFE-1B36-CF4B-9A76-1819E0A529A3}"/>
    <hyperlink ref="J77" r:id="rId26" xr:uid="{DF381716-0DDF-6444-A7CB-B6BC10762ECC}"/>
    <hyperlink ref="J46" r:id="rId27" xr:uid="{DEF336E1-1A03-2644-8BD7-3E39072D57B3}"/>
    <hyperlink ref="J52" r:id="rId28" xr:uid="{DFA1935A-7B48-A54C-A658-818BB0BD9AE4}"/>
  </hyperlinks>
  <printOptions horizontalCentered="1"/>
  <pageMargins left="0.31496062992125984" right="0.27559055118110237" top="0.35433070866141736" bottom="0.31496062992125984" header="0.31496062992125984" footer="0.31496062992125984"/>
  <pageSetup paperSize="9" scale="85" fitToHeight="4" orientation="portrait"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N81"/>
  <sheetViews>
    <sheetView tabSelected="1" view="pageBreakPreview" topLeftCell="A4" zoomScale="85" zoomScaleNormal="109" zoomScaleSheetLayoutView="85" workbookViewId="0">
      <pane xSplit="3" ySplit="3" topLeftCell="D61" activePane="bottomRight" state="frozen"/>
      <selection activeCell="A4" sqref="A4"/>
      <selection pane="topRight" activeCell="D4" sqref="D4"/>
      <selection pane="bottomLeft" activeCell="A7" sqref="A7"/>
      <selection pane="bottomRight" activeCell="B81" sqref="B81"/>
    </sheetView>
  </sheetViews>
  <sheetFormatPr baseColWidth="10" defaultColWidth="9.1640625" defaultRowHeight="15" x14ac:dyDescent="0.2"/>
  <cols>
    <col min="1" max="1" width="3.33203125" style="110" bestFit="1" customWidth="1"/>
    <col min="2" max="2" width="29.5" style="117" customWidth="1"/>
    <col min="3" max="3" width="53.83203125" style="110" customWidth="1"/>
    <col min="4" max="4" width="16.5" style="110" customWidth="1"/>
    <col min="5" max="5" width="15.5" style="157" customWidth="1"/>
    <col min="6" max="6" width="13.83203125" style="158" customWidth="1"/>
    <col min="7" max="7" width="13.83203125" style="159" customWidth="1"/>
    <col min="8" max="8" width="15.5" style="110" customWidth="1"/>
    <col min="9" max="9" width="15.5" style="157" customWidth="1"/>
    <col min="10" max="10" width="15.5" style="158" customWidth="1"/>
    <col min="11" max="11" width="15.5" style="159" customWidth="1"/>
    <col min="12" max="12" width="18.1640625" style="110" customWidth="1"/>
    <col min="13" max="13" width="15.5" style="110" customWidth="1"/>
    <col min="14" max="14" width="14.1640625" style="119" customWidth="1"/>
    <col min="15" max="16384" width="9.1640625" style="110"/>
  </cols>
  <sheetData>
    <row r="1" spans="1:14" s="116" customFormat="1" ht="19" x14ac:dyDescent="0.2">
      <c r="A1" s="203" t="s">
        <v>305</v>
      </c>
      <c r="B1" s="203"/>
      <c r="C1" s="203"/>
      <c r="D1" s="203"/>
      <c r="E1" s="203"/>
      <c r="F1" s="203"/>
      <c r="G1" s="203"/>
      <c r="H1" s="203"/>
      <c r="I1" s="203"/>
      <c r="J1" s="203"/>
      <c r="K1" s="203"/>
      <c r="L1" s="203"/>
      <c r="M1" s="203"/>
      <c r="N1" s="203"/>
    </row>
    <row r="2" spans="1:14" s="116" customFormat="1" ht="19" x14ac:dyDescent="0.2">
      <c r="A2" s="203" t="s">
        <v>165</v>
      </c>
      <c r="B2" s="203"/>
      <c r="C2" s="203"/>
      <c r="D2" s="203"/>
      <c r="E2" s="203"/>
      <c r="F2" s="203"/>
      <c r="G2" s="203"/>
      <c r="H2" s="203"/>
      <c r="I2" s="203"/>
      <c r="J2" s="203"/>
      <c r="K2" s="203"/>
      <c r="L2" s="203"/>
      <c r="M2" s="203"/>
      <c r="N2" s="203"/>
    </row>
    <row r="3" spans="1:14" x14ac:dyDescent="0.2">
      <c r="E3" s="110"/>
      <c r="F3" s="110"/>
      <c r="G3" s="118"/>
      <c r="I3" s="110"/>
      <c r="J3" s="110"/>
      <c r="K3" s="110"/>
    </row>
    <row r="4" spans="1:14" s="123" customFormat="1" x14ac:dyDescent="0.2">
      <c r="A4" s="205" t="s">
        <v>171</v>
      </c>
      <c r="B4" s="205" t="s">
        <v>1</v>
      </c>
      <c r="C4" s="205" t="s">
        <v>4</v>
      </c>
      <c r="D4" s="205" t="s">
        <v>174</v>
      </c>
      <c r="E4" s="207" t="s">
        <v>168</v>
      </c>
      <c r="F4" s="207"/>
      <c r="G4" s="207"/>
      <c r="H4" s="205" t="s">
        <v>2101</v>
      </c>
      <c r="I4" s="202" t="s">
        <v>545</v>
      </c>
      <c r="J4" s="199" t="s">
        <v>2102</v>
      </c>
      <c r="K4" s="208" t="s">
        <v>2103</v>
      </c>
      <c r="L4" s="205" t="s">
        <v>2</v>
      </c>
      <c r="M4" s="205" t="s">
        <v>172</v>
      </c>
      <c r="N4" s="206" t="s">
        <v>3</v>
      </c>
    </row>
    <row r="5" spans="1:14" s="123" customFormat="1" ht="48" x14ac:dyDescent="0.2">
      <c r="A5" s="205"/>
      <c r="B5" s="205"/>
      <c r="C5" s="205"/>
      <c r="D5" s="205"/>
      <c r="E5" s="120" t="s">
        <v>169</v>
      </c>
      <c r="F5" s="121" t="s">
        <v>170</v>
      </c>
      <c r="G5" s="122" t="s">
        <v>2141</v>
      </c>
      <c r="H5" s="205"/>
      <c r="I5" s="202"/>
      <c r="J5" s="199"/>
      <c r="K5" s="208"/>
      <c r="L5" s="205"/>
      <c r="M5" s="205"/>
      <c r="N5" s="206"/>
    </row>
    <row r="6" spans="1:14" s="133" customFormat="1" ht="19" x14ac:dyDescent="0.2">
      <c r="A6" s="204" t="s">
        <v>167</v>
      </c>
      <c r="B6" s="204"/>
      <c r="C6" s="204"/>
      <c r="D6" s="124">
        <f>+D7+D10+D15+D21+D25+D34+D37+D42+D46+D49+D53+D55+D60+D61+D62+D63+D64+D69+D70+D71+D73+D72+D74+D75+D81+D76</f>
        <v>867</v>
      </c>
      <c r="E6" s="125">
        <f t="shared" ref="E6:G6" si="0">+E7+E10+E15+E21+E25+E34+E37+E42+E46+E49+E53+E55+E60+E61+E62+E63+E64+E69+E70+E71+E73+E72+E74+E75+E81+E76</f>
        <v>821</v>
      </c>
      <c r="F6" s="126">
        <f t="shared" si="0"/>
        <v>33</v>
      </c>
      <c r="G6" s="127">
        <f t="shared" si="0"/>
        <v>13</v>
      </c>
      <c r="H6" s="128">
        <f>(E6+F6)/D6</f>
        <v>0.98500576701268738</v>
      </c>
      <c r="I6" s="129">
        <f>E6/D6</f>
        <v>0.94694348327566324</v>
      </c>
      <c r="J6" s="130">
        <f>F6/D6</f>
        <v>3.8062283737024222E-2</v>
      </c>
      <c r="K6" s="131">
        <f>G6/D6</f>
        <v>1.4994232987312572E-2</v>
      </c>
      <c r="L6" s="124"/>
      <c r="M6" s="124"/>
      <c r="N6" s="132"/>
    </row>
    <row r="7" spans="1:14" ht="32" x14ac:dyDescent="0.2">
      <c r="A7" s="200">
        <v>1</v>
      </c>
      <c r="B7" s="134" t="s">
        <v>134</v>
      </c>
      <c r="C7" s="135" t="s">
        <v>135</v>
      </c>
      <c r="D7" s="113">
        <f>SUM(D8:D9)</f>
        <v>2</v>
      </c>
      <c r="E7" s="136">
        <f t="shared" ref="E7:G7" si="1">SUM(E8:E9)</f>
        <v>1</v>
      </c>
      <c r="F7" s="137">
        <f t="shared" si="1"/>
        <v>1</v>
      </c>
      <c r="G7" s="135">
        <f t="shared" si="1"/>
        <v>0</v>
      </c>
      <c r="H7" s="138">
        <f t="shared" ref="H7:H35" si="2">(E7+F7)/D7</f>
        <v>1</v>
      </c>
      <c r="I7" s="139">
        <f t="shared" ref="I7:I35" si="3">E7/D7</f>
        <v>0.5</v>
      </c>
      <c r="J7" s="140">
        <f t="shared" ref="J7:J33" si="4">F7/D7</f>
        <v>0.5</v>
      </c>
      <c r="K7" s="141">
        <f t="shared" ref="K7:K33" si="5">G7/D7</f>
        <v>0</v>
      </c>
      <c r="L7" s="196" t="s">
        <v>1776</v>
      </c>
      <c r="M7" s="196" t="s">
        <v>163</v>
      </c>
      <c r="N7" s="190"/>
    </row>
    <row r="8" spans="1:14" ht="16" x14ac:dyDescent="0.2">
      <c r="A8" s="200"/>
      <c r="B8" s="210"/>
      <c r="C8" s="111" t="s">
        <v>914</v>
      </c>
      <c r="D8" s="113">
        <v>1</v>
      </c>
      <c r="E8" s="136">
        <v>0</v>
      </c>
      <c r="F8" s="137">
        <v>1</v>
      </c>
      <c r="G8" s="143">
        <v>0</v>
      </c>
      <c r="H8" s="138">
        <f t="shared" ref="H8:H9" si="6">(E8+F8)/D8</f>
        <v>1</v>
      </c>
      <c r="I8" s="139">
        <f t="shared" ref="I8:I9" si="7">E8/D8</f>
        <v>0</v>
      </c>
      <c r="J8" s="140">
        <f t="shared" ref="J8:J9" si="8">F8/D8</f>
        <v>1</v>
      </c>
      <c r="K8" s="141">
        <f t="shared" ref="K8:K9" si="9">G8/D8</f>
        <v>0</v>
      </c>
      <c r="L8" s="197"/>
      <c r="M8" s="197"/>
      <c r="N8" s="191"/>
    </row>
    <row r="9" spans="1:14" ht="16" x14ac:dyDescent="0.2">
      <c r="A9" s="200"/>
      <c r="B9" s="210"/>
      <c r="C9" s="111" t="s">
        <v>915</v>
      </c>
      <c r="D9" s="113">
        <v>1</v>
      </c>
      <c r="E9" s="136">
        <v>1</v>
      </c>
      <c r="F9" s="137">
        <v>0</v>
      </c>
      <c r="G9" s="143">
        <v>0</v>
      </c>
      <c r="H9" s="138">
        <f t="shared" si="6"/>
        <v>1</v>
      </c>
      <c r="I9" s="139">
        <f t="shared" si="7"/>
        <v>1</v>
      </c>
      <c r="J9" s="140">
        <f t="shared" si="8"/>
        <v>0</v>
      </c>
      <c r="K9" s="141">
        <f t="shared" si="9"/>
        <v>0</v>
      </c>
      <c r="L9" s="198"/>
      <c r="M9" s="198"/>
      <c r="N9" s="192"/>
    </row>
    <row r="10" spans="1:14" ht="48" x14ac:dyDescent="0.2">
      <c r="A10" s="200">
        <v>2</v>
      </c>
      <c r="B10" s="134" t="s">
        <v>2142</v>
      </c>
      <c r="C10" s="135" t="s">
        <v>5</v>
      </c>
      <c r="D10" s="142">
        <f>SUM(D11:D14)</f>
        <v>150</v>
      </c>
      <c r="E10" s="144">
        <f>SUM(E11:E14)</f>
        <v>150</v>
      </c>
      <c r="F10" s="145">
        <f t="shared" ref="F10:G10" si="10">SUM(F11:F14)</f>
        <v>0</v>
      </c>
      <c r="G10" s="146">
        <f t="shared" si="10"/>
        <v>0</v>
      </c>
      <c r="H10" s="147">
        <f t="shared" si="2"/>
        <v>1</v>
      </c>
      <c r="I10" s="148">
        <f t="shared" si="3"/>
        <v>1</v>
      </c>
      <c r="J10" s="149">
        <f t="shared" si="4"/>
        <v>0</v>
      </c>
      <c r="K10" s="150">
        <f t="shared" si="5"/>
        <v>0</v>
      </c>
      <c r="L10" s="200" t="s">
        <v>1778</v>
      </c>
      <c r="M10" s="200" t="s">
        <v>163</v>
      </c>
      <c r="N10" s="201"/>
    </row>
    <row r="11" spans="1:14" ht="16" x14ac:dyDescent="0.2">
      <c r="A11" s="200"/>
      <c r="B11" s="200"/>
      <c r="C11" s="111" t="s">
        <v>175</v>
      </c>
      <c r="D11" s="113">
        <f>COUNTIFS(Микросервис!D:D,MID(C11,4,99))</f>
        <v>53</v>
      </c>
      <c r="E11" s="136">
        <f>COUNTIFS(Микросервис!D:D,MID(C11,4,99))</f>
        <v>53</v>
      </c>
      <c r="F11" s="137">
        <f>COUNTIFS(Микросервис!D:D,MID(C11,4,99),Микросервис!D:D,0)</f>
        <v>0</v>
      </c>
      <c r="G11" s="143">
        <f>D11-E11-F11</f>
        <v>0</v>
      </c>
      <c r="H11" s="138">
        <f t="shared" ref="H11:H12" si="11">IFERROR((E11+F11)/D11,0)</f>
        <v>1</v>
      </c>
      <c r="I11" s="139">
        <f>IFERROR(E11/D11,0)</f>
        <v>1</v>
      </c>
      <c r="J11" s="140">
        <f>IFERROR(F11/D11,0)</f>
        <v>0</v>
      </c>
      <c r="K11" s="141">
        <f>IFERROR(G11/D11,0)</f>
        <v>0</v>
      </c>
      <c r="L11" s="200"/>
      <c r="M11" s="200"/>
      <c r="N11" s="201"/>
    </row>
    <row r="12" spans="1:14" ht="16" x14ac:dyDescent="0.2">
      <c r="A12" s="200"/>
      <c r="B12" s="200"/>
      <c r="C12" s="111" t="s">
        <v>176</v>
      </c>
      <c r="D12" s="113">
        <f>COUNTIFS(Микросервис!D:D,MID(C12,4,99))</f>
        <v>97</v>
      </c>
      <c r="E12" s="136">
        <f>COUNTIFS(Микросервис!D:D,MID(C12,4,99))</f>
        <v>97</v>
      </c>
      <c r="F12" s="137">
        <f>COUNTIFS(Микросервис!D:D,MID(C12,4,99),Микросервис!D:D,0)</f>
        <v>0</v>
      </c>
      <c r="G12" s="143">
        <f t="shared" ref="G12:G20" si="12">D12-E12-F12</f>
        <v>0</v>
      </c>
      <c r="H12" s="138">
        <f t="shared" si="11"/>
        <v>1</v>
      </c>
      <c r="I12" s="139">
        <f t="shared" ref="I12:I14" si="13">IFERROR(E12/D12,0)</f>
        <v>1</v>
      </c>
      <c r="J12" s="140">
        <f t="shared" ref="J12:J14" si="14">IFERROR(F12/D12,0)</f>
        <v>0</v>
      </c>
      <c r="K12" s="141">
        <f t="shared" ref="K12:K14" si="15">IFERROR(G12/D12,0)</f>
        <v>0</v>
      </c>
      <c r="L12" s="200"/>
      <c r="M12" s="200"/>
      <c r="N12" s="201"/>
    </row>
    <row r="13" spans="1:14" ht="16" x14ac:dyDescent="0.2">
      <c r="A13" s="200"/>
      <c r="B13" s="200"/>
      <c r="C13" s="111" t="s">
        <v>177</v>
      </c>
      <c r="D13" s="113">
        <f>COUNTIFS(Микросервис!D:D,MID(C13,4,99))</f>
        <v>0</v>
      </c>
      <c r="E13" s="136">
        <f>COUNTIFS(Микросервис!D:D,MID(C13,4,99))</f>
        <v>0</v>
      </c>
      <c r="F13" s="137">
        <f>COUNTIFS(Микросервис!D:D,MID(C13,4,99),Микросервис!D:D,0)</f>
        <v>0</v>
      </c>
      <c r="G13" s="143">
        <f t="shared" si="12"/>
        <v>0</v>
      </c>
      <c r="H13" s="138">
        <f>IFERROR((E13+F13)/D13,0)</f>
        <v>0</v>
      </c>
      <c r="I13" s="139">
        <f t="shared" si="13"/>
        <v>0</v>
      </c>
      <c r="J13" s="140">
        <f t="shared" si="14"/>
        <v>0</v>
      </c>
      <c r="K13" s="141">
        <f t="shared" si="15"/>
        <v>0</v>
      </c>
      <c r="L13" s="200"/>
      <c r="M13" s="200"/>
      <c r="N13" s="201"/>
    </row>
    <row r="14" spans="1:14" ht="16" x14ac:dyDescent="0.2">
      <c r="A14" s="200"/>
      <c r="B14" s="200"/>
      <c r="C14" s="111" t="s">
        <v>1952</v>
      </c>
      <c r="D14" s="113">
        <f>COUNTIFS(Микросервис!D:D,MID(C14,4,99))</f>
        <v>0</v>
      </c>
      <c r="E14" s="136">
        <f>COUNTIFS(Микросервис!D:D,MID(C14,4,99))</f>
        <v>0</v>
      </c>
      <c r="F14" s="137">
        <f>COUNTIFS(Микросервис!D:D,MID(C14,4,99),Микросервис!D:D,0)</f>
        <v>0</v>
      </c>
      <c r="G14" s="143">
        <f t="shared" si="12"/>
        <v>0</v>
      </c>
      <c r="H14" s="138">
        <f>IFERROR((E14+F14)/D14,0)</f>
        <v>0</v>
      </c>
      <c r="I14" s="139">
        <f t="shared" si="13"/>
        <v>0</v>
      </c>
      <c r="J14" s="140">
        <f t="shared" si="14"/>
        <v>0</v>
      </c>
      <c r="K14" s="141">
        <f t="shared" si="15"/>
        <v>0</v>
      </c>
      <c r="L14" s="200"/>
      <c r="M14" s="200"/>
      <c r="N14" s="201"/>
    </row>
    <row r="15" spans="1:14" ht="45.75" customHeight="1" x14ac:dyDescent="0.2">
      <c r="A15" s="196">
        <v>3</v>
      </c>
      <c r="B15" s="134" t="s">
        <v>911</v>
      </c>
      <c r="C15" s="135" t="s">
        <v>130</v>
      </c>
      <c r="D15" s="142">
        <f>SUM(D16:D20)</f>
        <v>521</v>
      </c>
      <c r="E15" s="144">
        <f t="shared" ref="E15:G15" si="16">SUM(E16:E20)</f>
        <v>505</v>
      </c>
      <c r="F15" s="145">
        <f t="shared" si="16"/>
        <v>15</v>
      </c>
      <c r="G15" s="146">
        <f t="shared" si="16"/>
        <v>1</v>
      </c>
      <c r="H15" s="152">
        <f t="shared" si="2"/>
        <v>0.99808061420345484</v>
      </c>
      <c r="I15" s="153">
        <f t="shared" si="3"/>
        <v>0.96928982725527835</v>
      </c>
      <c r="J15" s="154">
        <f t="shared" si="4"/>
        <v>2.8790786948176585E-2</v>
      </c>
      <c r="K15" s="155">
        <f t="shared" si="5"/>
        <v>1.9193857965451055E-3</v>
      </c>
      <c r="L15" s="196" t="s">
        <v>1781</v>
      </c>
      <c r="M15" s="196" t="s">
        <v>545</v>
      </c>
      <c r="N15" s="190"/>
    </row>
    <row r="16" spans="1:14" ht="33.75" customHeight="1" x14ac:dyDescent="0.2">
      <c r="A16" s="197"/>
      <c r="B16" s="193"/>
      <c r="C16" s="156" t="s">
        <v>913</v>
      </c>
      <c r="D16" s="113">
        <v>1</v>
      </c>
      <c r="E16" s="136">
        <v>1</v>
      </c>
      <c r="F16" s="137">
        <v>0</v>
      </c>
      <c r="G16" s="143">
        <f t="shared" si="12"/>
        <v>0</v>
      </c>
      <c r="H16" s="138">
        <f t="shared" ref="H16:H18" si="17">(E16+F16)/D16</f>
        <v>1</v>
      </c>
      <c r="I16" s="139">
        <f t="shared" ref="I16:I18" si="18">E16/D16</f>
        <v>1</v>
      </c>
      <c r="J16" s="140">
        <f t="shared" ref="J16:J18" si="19">F16/D16</f>
        <v>0</v>
      </c>
      <c r="K16" s="141">
        <f t="shared" ref="K16:K18" si="20">G16/D16</f>
        <v>0</v>
      </c>
      <c r="L16" s="197"/>
      <c r="M16" s="197"/>
      <c r="N16" s="191"/>
    </row>
    <row r="17" spans="1:14" ht="64.5" customHeight="1" x14ac:dyDescent="0.2">
      <c r="A17" s="197"/>
      <c r="B17" s="194"/>
      <c r="C17" s="156" t="s">
        <v>928</v>
      </c>
      <c r="D17" s="113">
        <v>1</v>
      </c>
      <c r="E17" s="136">
        <v>1</v>
      </c>
      <c r="F17" s="137">
        <v>0</v>
      </c>
      <c r="G17" s="143">
        <f t="shared" si="12"/>
        <v>0</v>
      </c>
      <c r="H17" s="138">
        <f t="shared" ref="H17" si="21">(E17+F17)/D17</f>
        <v>1</v>
      </c>
      <c r="I17" s="139">
        <f t="shared" ref="I17" si="22">E17/D17</f>
        <v>1</v>
      </c>
      <c r="J17" s="140">
        <f t="shared" ref="J17" si="23">F17/D17</f>
        <v>0</v>
      </c>
      <c r="K17" s="141">
        <f t="shared" ref="K17" si="24">G17/D17</f>
        <v>0</v>
      </c>
      <c r="L17" s="197"/>
      <c r="M17" s="197"/>
      <c r="N17" s="191"/>
    </row>
    <row r="18" spans="1:14" ht="32" x14ac:dyDescent="0.2">
      <c r="A18" s="197"/>
      <c r="B18" s="194"/>
      <c r="C18" s="156" t="s">
        <v>912</v>
      </c>
      <c r="D18" s="113">
        <v>1</v>
      </c>
      <c r="E18" s="136">
        <v>1</v>
      </c>
      <c r="F18" s="137">
        <v>0</v>
      </c>
      <c r="G18" s="143">
        <f t="shared" si="12"/>
        <v>0</v>
      </c>
      <c r="H18" s="138">
        <f t="shared" si="17"/>
        <v>1</v>
      </c>
      <c r="I18" s="139">
        <f t="shared" si="18"/>
        <v>1</v>
      </c>
      <c r="J18" s="140">
        <f t="shared" si="19"/>
        <v>0</v>
      </c>
      <c r="K18" s="141">
        <f t="shared" si="20"/>
        <v>0</v>
      </c>
      <c r="L18" s="197"/>
      <c r="M18" s="197"/>
      <c r="N18" s="191"/>
    </row>
    <row r="19" spans="1:14" ht="48" customHeight="1" x14ac:dyDescent="0.2">
      <c r="A19" s="197"/>
      <c r="B19" s="194"/>
      <c r="C19" s="156" t="s">
        <v>2143</v>
      </c>
      <c r="D19" s="113">
        <f>COUNTIFS('Ташқи манба'!D:D,2)</f>
        <v>80</v>
      </c>
      <c r="E19" s="136">
        <f>COUNTIFS('Ташқи манба'!D:D,2)</f>
        <v>80</v>
      </c>
      <c r="F19" s="137">
        <v>0</v>
      </c>
      <c r="G19" s="143">
        <f t="shared" si="12"/>
        <v>0</v>
      </c>
      <c r="H19" s="138">
        <f t="shared" ref="H19" si="25">(E19+F19)/D19</f>
        <v>1</v>
      </c>
      <c r="I19" s="139">
        <f t="shared" ref="I19" si="26">E19/D19</f>
        <v>1</v>
      </c>
      <c r="J19" s="140">
        <f t="shared" ref="J19" si="27">F19/D19</f>
        <v>0</v>
      </c>
      <c r="K19" s="141">
        <f t="shared" ref="K19" si="28">G19/D19</f>
        <v>0</v>
      </c>
      <c r="L19" s="197"/>
      <c r="M19" s="197"/>
      <c r="N19" s="191"/>
    </row>
    <row r="20" spans="1:14" ht="35.25" customHeight="1" x14ac:dyDescent="0.2">
      <c r="A20" s="198"/>
      <c r="B20" s="195"/>
      <c r="C20" s="156" t="s">
        <v>2144</v>
      </c>
      <c r="D20" s="113">
        <f>COUNTIFS('Ташқи манба'!A:A,"&gt;0")-D19</f>
        <v>438</v>
      </c>
      <c r="E20" s="136">
        <f>COUNTIFS('Ташқи манба'!D:D,1)</f>
        <v>422</v>
      </c>
      <c r="F20" s="137">
        <f>COUNTIFS('Ташқи манба'!D:D,3)</f>
        <v>15</v>
      </c>
      <c r="G20" s="143">
        <f t="shared" si="12"/>
        <v>1</v>
      </c>
      <c r="H20" s="138">
        <f t="shared" ref="H20" si="29">(E20+F20)/D20</f>
        <v>0.99771689497716898</v>
      </c>
      <c r="I20" s="139">
        <f t="shared" ref="I20" si="30">E20/D20</f>
        <v>0.9634703196347032</v>
      </c>
      <c r="J20" s="140">
        <f t="shared" ref="J20" si="31">F20/D20</f>
        <v>3.4246575342465752E-2</v>
      </c>
      <c r="K20" s="141">
        <f t="shared" ref="K20" si="32">G20/D20</f>
        <v>2.2831050228310501E-3</v>
      </c>
      <c r="L20" s="198"/>
      <c r="M20" s="198"/>
      <c r="N20" s="192"/>
    </row>
    <row r="21" spans="1:14" ht="32" x14ac:dyDescent="0.2">
      <c r="A21" s="196">
        <v>4</v>
      </c>
      <c r="B21" s="134" t="s">
        <v>131</v>
      </c>
      <c r="C21" s="135" t="s">
        <v>132</v>
      </c>
      <c r="D21" s="142">
        <f t="shared" ref="D21" si="33">SUM(D22:D24)</f>
        <v>75</v>
      </c>
      <c r="E21" s="144">
        <f>SUM(E22:E24)</f>
        <v>62</v>
      </c>
      <c r="F21" s="145">
        <f t="shared" ref="F21:G21" si="34">SUM(F22:F24)</f>
        <v>2</v>
      </c>
      <c r="G21" s="146">
        <f t="shared" si="34"/>
        <v>11</v>
      </c>
      <c r="H21" s="152">
        <f t="shared" si="2"/>
        <v>0.85333333333333339</v>
      </c>
      <c r="I21" s="153">
        <f t="shared" si="3"/>
        <v>0.82666666666666666</v>
      </c>
      <c r="J21" s="154">
        <f t="shared" si="4"/>
        <v>2.6666666666666668E-2</v>
      </c>
      <c r="K21" s="155">
        <f t="shared" si="5"/>
        <v>0.14666666666666667</v>
      </c>
      <c r="L21" s="196" t="s">
        <v>128</v>
      </c>
      <c r="M21" s="196" t="s">
        <v>163</v>
      </c>
      <c r="N21" s="190"/>
    </row>
    <row r="22" spans="1:14" ht="16" x14ac:dyDescent="0.2">
      <c r="A22" s="197"/>
      <c r="B22" s="193"/>
      <c r="C22" s="111" t="s">
        <v>273</v>
      </c>
      <c r="D22" s="113">
        <f>COUNTIFS('Риск йўналишлари (1)'!D:D,MID(C22,4,99))</f>
        <v>66</v>
      </c>
      <c r="E22" s="136">
        <f>COUNTIFS('Риск йўналишлари (1)'!D:D,MID(C22,4,99),'Риск йўналишлари (1)'!H:H,"3")+COUNTIFS('Риск йўналишлари (1)'!D:D,MID(C22,4,99),'Риск йўналишлари (1)'!H:H,"4")</f>
        <v>39</v>
      </c>
      <c r="F22" s="137">
        <f>COUNTIFS('Риск йўналишлари (1)'!D:D,MID(C22,4,99),'Риск йўналишлари (1)'!H:H,"1")</f>
        <v>2</v>
      </c>
      <c r="G22" s="143">
        <f>COUNTIFS('Риск йўналишлари (1)'!D:D,MID(C22,4,99),'Риск йўналишлари (1)'!H:H,"0")</f>
        <v>11</v>
      </c>
      <c r="H22" s="138">
        <f t="shared" si="2"/>
        <v>0.62121212121212122</v>
      </c>
      <c r="I22" s="139">
        <f t="shared" si="3"/>
        <v>0.59090909090909094</v>
      </c>
      <c r="J22" s="140">
        <f t="shared" si="4"/>
        <v>3.0303030303030304E-2</v>
      </c>
      <c r="K22" s="141">
        <f t="shared" si="5"/>
        <v>0.16666666666666666</v>
      </c>
      <c r="L22" s="197"/>
      <c r="M22" s="197"/>
      <c r="N22" s="191"/>
    </row>
    <row r="23" spans="1:14" ht="16" x14ac:dyDescent="0.2">
      <c r="A23" s="197"/>
      <c r="B23" s="194"/>
      <c r="C23" s="111" t="s">
        <v>274</v>
      </c>
      <c r="D23" s="113">
        <f>COUNTIFS('Риск йўналишлари (1)'!D:D,MID(C23,4,99))</f>
        <v>9</v>
      </c>
      <c r="E23" s="136">
        <f>COUNTIFS('Риск йўналишлари (1)'!D:D,MID(C23,4,99),'Риск йўналишлари (1)'!H:H,"3")+COUNTIFS('Риск йўналишлари (1)'!D:D,MID(C23,4,99),'Риск йўналишлари (1)'!H:H,"4")</f>
        <v>9</v>
      </c>
      <c r="F23" s="137">
        <f>COUNTIFS('Риск йўналишлари (1)'!D:D,MID(C23,4,99),'Риск йўналишлари (1)'!H:H,"1")</f>
        <v>0</v>
      </c>
      <c r="G23" s="143">
        <f>COUNTIFS('Риск йўналишлари (1)'!D:D,MID(C23,4,99),'Риск йўналишлари (1)'!H:H,"0")</f>
        <v>0</v>
      </c>
      <c r="H23" s="138">
        <f t="shared" si="2"/>
        <v>1</v>
      </c>
      <c r="I23" s="139">
        <f t="shared" si="3"/>
        <v>1</v>
      </c>
      <c r="J23" s="140">
        <f t="shared" si="4"/>
        <v>0</v>
      </c>
      <c r="K23" s="141">
        <f t="shared" si="5"/>
        <v>0</v>
      </c>
      <c r="L23" s="197"/>
      <c r="M23" s="197"/>
      <c r="N23" s="191"/>
    </row>
    <row r="24" spans="1:14" ht="16" x14ac:dyDescent="0.2">
      <c r="A24" s="198"/>
      <c r="B24" s="195"/>
      <c r="C24" s="111" t="s">
        <v>2074</v>
      </c>
      <c r="D24" s="113">
        <v>0</v>
      </c>
      <c r="E24" s="144">
        <f>COUNTIFS('Риск йўналишлари (1)'!H:H,"2")</f>
        <v>14</v>
      </c>
      <c r="F24" s="137">
        <v>0</v>
      </c>
      <c r="G24" s="143">
        <v>0</v>
      </c>
      <c r="H24" s="138"/>
      <c r="I24" s="139"/>
      <c r="J24" s="140"/>
      <c r="K24" s="141"/>
      <c r="L24" s="198"/>
      <c r="M24" s="198"/>
      <c r="N24" s="192"/>
    </row>
    <row r="25" spans="1:14" ht="89.25" customHeight="1" x14ac:dyDescent="0.2">
      <c r="A25" s="200">
        <v>5</v>
      </c>
      <c r="B25" s="134" t="s">
        <v>133</v>
      </c>
      <c r="C25" s="135" t="s">
        <v>2145</v>
      </c>
      <c r="D25" s="142">
        <f>SUM(D26:D33)</f>
        <v>8</v>
      </c>
      <c r="E25" s="144">
        <f t="shared" ref="E25:G25" si="35">SUM(E26:E33)</f>
        <v>8</v>
      </c>
      <c r="F25" s="145">
        <f t="shared" si="35"/>
        <v>0</v>
      </c>
      <c r="G25" s="146">
        <f t="shared" si="35"/>
        <v>0</v>
      </c>
      <c r="H25" s="152">
        <f t="shared" si="2"/>
        <v>1</v>
      </c>
      <c r="I25" s="153">
        <f t="shared" si="3"/>
        <v>1</v>
      </c>
      <c r="J25" s="154">
        <f t="shared" si="4"/>
        <v>0</v>
      </c>
      <c r="K25" s="155">
        <f t="shared" si="5"/>
        <v>0</v>
      </c>
      <c r="L25" s="200" t="s">
        <v>1777</v>
      </c>
      <c r="M25" s="200" t="s">
        <v>545</v>
      </c>
      <c r="N25" s="201"/>
    </row>
    <row r="26" spans="1:14" ht="32" x14ac:dyDescent="0.2">
      <c r="A26" s="200"/>
      <c r="B26" s="209"/>
      <c r="C26" s="112" t="s">
        <v>929</v>
      </c>
      <c r="D26" s="113">
        <v>1</v>
      </c>
      <c r="E26" s="136">
        <v>1</v>
      </c>
      <c r="F26" s="137">
        <v>0</v>
      </c>
      <c r="G26" s="135">
        <f t="shared" ref="G26:G33" si="36">D26-E26-F26</f>
        <v>0</v>
      </c>
      <c r="H26" s="138">
        <f t="shared" si="2"/>
        <v>1</v>
      </c>
      <c r="I26" s="139">
        <f t="shared" si="3"/>
        <v>1</v>
      </c>
      <c r="J26" s="140">
        <f t="shared" si="4"/>
        <v>0</v>
      </c>
      <c r="K26" s="141">
        <f t="shared" si="5"/>
        <v>0</v>
      </c>
      <c r="L26" s="200"/>
      <c r="M26" s="200"/>
      <c r="N26" s="201"/>
    </row>
    <row r="27" spans="1:14" ht="32" x14ac:dyDescent="0.2">
      <c r="A27" s="200"/>
      <c r="B27" s="209"/>
      <c r="C27" s="112" t="s">
        <v>932</v>
      </c>
      <c r="D27" s="113">
        <v>1</v>
      </c>
      <c r="E27" s="136">
        <v>1</v>
      </c>
      <c r="F27" s="137">
        <v>0</v>
      </c>
      <c r="G27" s="135">
        <f t="shared" si="36"/>
        <v>0</v>
      </c>
      <c r="H27" s="138">
        <f t="shared" si="2"/>
        <v>1</v>
      </c>
      <c r="I27" s="139">
        <f t="shared" si="3"/>
        <v>1</v>
      </c>
      <c r="J27" s="140">
        <f t="shared" si="4"/>
        <v>0</v>
      </c>
      <c r="K27" s="141">
        <f t="shared" si="5"/>
        <v>0</v>
      </c>
      <c r="L27" s="200"/>
      <c r="M27" s="200"/>
      <c r="N27" s="201"/>
    </row>
    <row r="28" spans="1:14" ht="61.5" customHeight="1" x14ac:dyDescent="0.2">
      <c r="A28" s="200"/>
      <c r="B28" s="209"/>
      <c r="C28" s="112" t="s">
        <v>1758</v>
      </c>
      <c r="D28" s="113">
        <v>1</v>
      </c>
      <c r="E28" s="136">
        <v>1</v>
      </c>
      <c r="F28" s="137">
        <v>0</v>
      </c>
      <c r="G28" s="135">
        <f t="shared" si="36"/>
        <v>0</v>
      </c>
      <c r="H28" s="138">
        <f t="shared" si="2"/>
        <v>1</v>
      </c>
      <c r="I28" s="139">
        <f t="shared" si="3"/>
        <v>1</v>
      </c>
      <c r="J28" s="140">
        <f t="shared" si="4"/>
        <v>0</v>
      </c>
      <c r="K28" s="141">
        <f t="shared" si="5"/>
        <v>0</v>
      </c>
      <c r="L28" s="200"/>
      <c r="M28" s="200"/>
      <c r="N28" s="201"/>
    </row>
    <row r="29" spans="1:14" ht="32" x14ac:dyDescent="0.2">
      <c r="A29" s="200"/>
      <c r="B29" s="209"/>
      <c r="C29" s="112" t="s">
        <v>2146</v>
      </c>
      <c r="D29" s="113">
        <v>1</v>
      </c>
      <c r="E29" s="136">
        <v>1</v>
      </c>
      <c r="F29" s="137">
        <v>0</v>
      </c>
      <c r="G29" s="135">
        <f t="shared" si="36"/>
        <v>0</v>
      </c>
      <c r="H29" s="138">
        <f t="shared" si="2"/>
        <v>1</v>
      </c>
      <c r="I29" s="139">
        <f t="shared" si="3"/>
        <v>1</v>
      </c>
      <c r="J29" s="140">
        <f t="shared" si="4"/>
        <v>0</v>
      </c>
      <c r="K29" s="141">
        <f t="shared" si="5"/>
        <v>0</v>
      </c>
      <c r="L29" s="200"/>
      <c r="M29" s="200"/>
      <c r="N29" s="201"/>
    </row>
    <row r="30" spans="1:14" ht="46.5" customHeight="1" x14ac:dyDescent="0.2">
      <c r="A30" s="200"/>
      <c r="B30" s="209"/>
      <c r="C30" s="112" t="s">
        <v>930</v>
      </c>
      <c r="D30" s="113">
        <v>1</v>
      </c>
      <c r="E30" s="136">
        <v>1</v>
      </c>
      <c r="F30" s="137">
        <v>0</v>
      </c>
      <c r="G30" s="135">
        <f t="shared" si="36"/>
        <v>0</v>
      </c>
      <c r="H30" s="138">
        <f t="shared" si="2"/>
        <v>1</v>
      </c>
      <c r="I30" s="139">
        <f t="shared" si="3"/>
        <v>1</v>
      </c>
      <c r="J30" s="140">
        <f t="shared" si="4"/>
        <v>0</v>
      </c>
      <c r="K30" s="141">
        <f t="shared" si="5"/>
        <v>0</v>
      </c>
      <c r="L30" s="200"/>
      <c r="M30" s="200"/>
      <c r="N30" s="201"/>
    </row>
    <row r="31" spans="1:14" ht="33.75" customHeight="1" x14ac:dyDescent="0.2">
      <c r="A31" s="200"/>
      <c r="B31" s="209"/>
      <c r="C31" s="112" t="s">
        <v>933</v>
      </c>
      <c r="D31" s="113">
        <v>1</v>
      </c>
      <c r="E31" s="136">
        <v>1</v>
      </c>
      <c r="F31" s="137">
        <v>0</v>
      </c>
      <c r="G31" s="135">
        <f t="shared" si="36"/>
        <v>0</v>
      </c>
      <c r="H31" s="138">
        <f t="shared" si="2"/>
        <v>1</v>
      </c>
      <c r="I31" s="139">
        <f t="shared" si="3"/>
        <v>1</v>
      </c>
      <c r="J31" s="140">
        <f t="shared" si="4"/>
        <v>0</v>
      </c>
      <c r="K31" s="141">
        <f t="shared" si="5"/>
        <v>0</v>
      </c>
      <c r="L31" s="200"/>
      <c r="M31" s="200"/>
      <c r="N31" s="201"/>
    </row>
    <row r="32" spans="1:14" ht="60.75" customHeight="1" x14ac:dyDescent="0.2">
      <c r="A32" s="200"/>
      <c r="B32" s="209"/>
      <c r="C32" s="112" t="s">
        <v>934</v>
      </c>
      <c r="D32" s="113">
        <v>1</v>
      </c>
      <c r="E32" s="136">
        <v>1</v>
      </c>
      <c r="F32" s="137">
        <v>0</v>
      </c>
      <c r="G32" s="135">
        <f t="shared" si="36"/>
        <v>0</v>
      </c>
      <c r="H32" s="138">
        <f t="shared" si="2"/>
        <v>1</v>
      </c>
      <c r="I32" s="139">
        <f t="shared" si="3"/>
        <v>1</v>
      </c>
      <c r="J32" s="140">
        <f t="shared" si="4"/>
        <v>0</v>
      </c>
      <c r="K32" s="141">
        <f t="shared" si="5"/>
        <v>0</v>
      </c>
      <c r="L32" s="200"/>
      <c r="M32" s="200"/>
      <c r="N32" s="201"/>
    </row>
    <row r="33" spans="1:14" ht="48" x14ac:dyDescent="0.2">
      <c r="A33" s="200"/>
      <c r="B33" s="209"/>
      <c r="C33" s="112" t="s">
        <v>910</v>
      </c>
      <c r="D33" s="113">
        <v>1</v>
      </c>
      <c r="E33" s="136">
        <v>1</v>
      </c>
      <c r="F33" s="137">
        <v>0</v>
      </c>
      <c r="G33" s="135">
        <f t="shared" si="36"/>
        <v>0</v>
      </c>
      <c r="H33" s="138">
        <f t="shared" si="2"/>
        <v>1</v>
      </c>
      <c r="I33" s="139">
        <f t="shared" si="3"/>
        <v>1</v>
      </c>
      <c r="J33" s="140">
        <f t="shared" si="4"/>
        <v>0</v>
      </c>
      <c r="K33" s="141">
        <f t="shared" si="5"/>
        <v>0</v>
      </c>
      <c r="L33" s="200"/>
      <c r="M33" s="200"/>
      <c r="N33" s="201"/>
    </row>
    <row r="34" spans="1:14" ht="32" x14ac:dyDescent="0.2">
      <c r="A34" s="200">
        <v>6</v>
      </c>
      <c r="B34" s="134" t="s">
        <v>543</v>
      </c>
      <c r="C34" s="135" t="s">
        <v>544</v>
      </c>
      <c r="D34" s="142">
        <f t="shared" ref="D34:G34" si="37">D35+D36</f>
        <v>37</v>
      </c>
      <c r="E34" s="144">
        <f t="shared" si="37"/>
        <v>37</v>
      </c>
      <c r="F34" s="145">
        <f t="shared" si="37"/>
        <v>0</v>
      </c>
      <c r="G34" s="146">
        <f t="shared" si="37"/>
        <v>0</v>
      </c>
      <c r="H34" s="152">
        <f t="shared" si="2"/>
        <v>1</v>
      </c>
      <c r="I34" s="153">
        <f t="shared" si="3"/>
        <v>1</v>
      </c>
      <c r="J34" s="154">
        <f t="shared" ref="J34" si="38">F34/D34</f>
        <v>0</v>
      </c>
      <c r="K34" s="155">
        <f t="shared" ref="K34" si="39">G34/D34</f>
        <v>0</v>
      </c>
      <c r="L34" s="200" t="s">
        <v>445</v>
      </c>
      <c r="M34" s="200" t="s">
        <v>163</v>
      </c>
      <c r="N34" s="201"/>
    </row>
    <row r="35" spans="1:14" ht="29.25" customHeight="1" x14ac:dyDescent="0.2">
      <c r="A35" s="200"/>
      <c r="B35" s="209"/>
      <c r="C35" s="112" t="s">
        <v>922</v>
      </c>
      <c r="D35" s="113">
        <v>14</v>
      </c>
      <c r="E35" s="136">
        <v>14</v>
      </c>
      <c r="F35" s="137">
        <v>0</v>
      </c>
      <c r="G35" s="135">
        <f t="shared" ref="G35:G36" si="40">D35-E35-F35</f>
        <v>0</v>
      </c>
      <c r="H35" s="138">
        <f t="shared" si="2"/>
        <v>1</v>
      </c>
      <c r="I35" s="139">
        <f t="shared" si="3"/>
        <v>1</v>
      </c>
      <c r="J35" s="140">
        <f>IFERROR(F35/D35,0)</f>
        <v>0</v>
      </c>
      <c r="K35" s="141">
        <f>IFERROR(G35/D35,0)</f>
        <v>0</v>
      </c>
      <c r="L35" s="200"/>
      <c r="M35" s="200"/>
      <c r="N35" s="201"/>
    </row>
    <row r="36" spans="1:14" ht="29.25" customHeight="1" x14ac:dyDescent="0.2">
      <c r="A36" s="200"/>
      <c r="B36" s="209"/>
      <c r="C36" s="112" t="s">
        <v>923</v>
      </c>
      <c r="D36" s="113">
        <v>23</v>
      </c>
      <c r="E36" s="136">
        <v>23</v>
      </c>
      <c r="F36" s="137">
        <f>COUNTIFS('Муаммолик АПИ'!I:I,C36,'Муаммолик АПИ'!D:D,2)</f>
        <v>0</v>
      </c>
      <c r="G36" s="135">
        <f t="shared" si="40"/>
        <v>0</v>
      </c>
      <c r="H36" s="138">
        <f t="shared" ref="H36:H50" si="41">(E36+F36)/D36</f>
        <v>1</v>
      </c>
      <c r="I36" s="139">
        <f t="shared" ref="I36:I50" si="42">E36/D36</f>
        <v>1</v>
      </c>
      <c r="J36" s="140">
        <f t="shared" ref="J36:J50" si="43">IFERROR(F36/D36,0)</f>
        <v>0</v>
      </c>
      <c r="K36" s="141">
        <f t="shared" ref="K36:K50" si="44">IFERROR(G36/D36,0)</f>
        <v>0</v>
      </c>
      <c r="L36" s="200"/>
      <c r="M36" s="200"/>
      <c r="N36" s="201"/>
    </row>
    <row r="37" spans="1:14" ht="16" x14ac:dyDescent="0.2">
      <c r="A37" s="200">
        <v>7</v>
      </c>
      <c r="B37" s="134" t="s">
        <v>905</v>
      </c>
      <c r="C37" s="135" t="s">
        <v>935</v>
      </c>
      <c r="D37" s="142">
        <f>SUM(D38:D41)</f>
        <v>4</v>
      </c>
      <c r="E37" s="144">
        <f t="shared" ref="E37:G37" si="45">SUM(E38:E41)</f>
        <v>4</v>
      </c>
      <c r="F37" s="145">
        <f t="shared" si="45"/>
        <v>0</v>
      </c>
      <c r="G37" s="146">
        <f t="shared" si="45"/>
        <v>0</v>
      </c>
      <c r="H37" s="152">
        <f t="shared" si="41"/>
        <v>1</v>
      </c>
      <c r="I37" s="153">
        <f t="shared" si="42"/>
        <v>1</v>
      </c>
      <c r="J37" s="154">
        <f t="shared" si="43"/>
        <v>0</v>
      </c>
      <c r="K37" s="155">
        <f t="shared" si="44"/>
        <v>0</v>
      </c>
      <c r="L37" s="196" t="s">
        <v>1766</v>
      </c>
      <c r="M37" s="196" t="s">
        <v>169</v>
      </c>
      <c r="N37" s="190"/>
    </row>
    <row r="38" spans="1:14" ht="48" x14ac:dyDescent="0.2">
      <c r="A38" s="200"/>
      <c r="B38" s="209"/>
      <c r="C38" s="112" t="s">
        <v>926</v>
      </c>
      <c r="D38" s="113">
        <v>1</v>
      </c>
      <c r="E38" s="136">
        <v>1</v>
      </c>
      <c r="F38" s="137">
        <v>0</v>
      </c>
      <c r="G38" s="135">
        <f t="shared" ref="G38:G39" si="46">D38-E38-F38</f>
        <v>0</v>
      </c>
      <c r="H38" s="138">
        <f t="shared" si="41"/>
        <v>1</v>
      </c>
      <c r="I38" s="139">
        <f t="shared" si="42"/>
        <v>1</v>
      </c>
      <c r="J38" s="140">
        <f t="shared" si="43"/>
        <v>0</v>
      </c>
      <c r="K38" s="141">
        <f t="shared" si="44"/>
        <v>0</v>
      </c>
      <c r="L38" s="197"/>
      <c r="M38" s="197"/>
      <c r="N38" s="191"/>
    </row>
    <row r="39" spans="1:14" ht="32" x14ac:dyDescent="0.2">
      <c r="A39" s="200"/>
      <c r="B39" s="209"/>
      <c r="C39" s="112" t="s">
        <v>924</v>
      </c>
      <c r="D39" s="113">
        <v>1</v>
      </c>
      <c r="E39" s="136">
        <v>1</v>
      </c>
      <c r="F39" s="137">
        <v>0</v>
      </c>
      <c r="G39" s="135">
        <f t="shared" si="46"/>
        <v>0</v>
      </c>
      <c r="H39" s="138">
        <f t="shared" si="41"/>
        <v>1</v>
      </c>
      <c r="I39" s="139">
        <f t="shared" si="42"/>
        <v>1</v>
      </c>
      <c r="J39" s="140">
        <f t="shared" si="43"/>
        <v>0</v>
      </c>
      <c r="K39" s="141">
        <f t="shared" si="44"/>
        <v>0</v>
      </c>
      <c r="L39" s="197"/>
      <c r="M39" s="197"/>
      <c r="N39" s="191"/>
    </row>
    <row r="40" spans="1:14" ht="48" x14ac:dyDescent="0.2">
      <c r="A40" s="200"/>
      <c r="B40" s="209"/>
      <c r="C40" s="112" t="s">
        <v>925</v>
      </c>
      <c r="D40" s="113">
        <v>1</v>
      </c>
      <c r="E40" s="136">
        <v>1</v>
      </c>
      <c r="F40" s="137">
        <v>0</v>
      </c>
      <c r="G40" s="135">
        <f t="shared" ref="G40" si="47">D40-E40-F40</f>
        <v>0</v>
      </c>
      <c r="H40" s="138">
        <f t="shared" si="41"/>
        <v>1</v>
      </c>
      <c r="I40" s="139">
        <f t="shared" si="42"/>
        <v>1</v>
      </c>
      <c r="J40" s="140">
        <f t="shared" si="43"/>
        <v>0</v>
      </c>
      <c r="K40" s="141">
        <f t="shared" si="44"/>
        <v>0</v>
      </c>
      <c r="L40" s="197"/>
      <c r="M40" s="197"/>
      <c r="N40" s="191"/>
    </row>
    <row r="41" spans="1:14" ht="48" x14ac:dyDescent="0.2">
      <c r="A41" s="200"/>
      <c r="B41" s="209"/>
      <c r="C41" s="112" t="s">
        <v>927</v>
      </c>
      <c r="D41" s="113">
        <v>1</v>
      </c>
      <c r="E41" s="136">
        <v>1</v>
      </c>
      <c r="F41" s="137">
        <v>0</v>
      </c>
      <c r="G41" s="135">
        <f t="shared" ref="G41" si="48">D41-E41-F41</f>
        <v>0</v>
      </c>
      <c r="H41" s="138">
        <f t="shared" si="41"/>
        <v>1</v>
      </c>
      <c r="I41" s="139">
        <f t="shared" si="42"/>
        <v>1</v>
      </c>
      <c r="J41" s="140">
        <f t="shared" si="43"/>
        <v>0</v>
      </c>
      <c r="K41" s="141">
        <f t="shared" si="44"/>
        <v>0</v>
      </c>
      <c r="L41" s="198"/>
      <c r="M41" s="198"/>
      <c r="N41" s="192"/>
    </row>
    <row r="42" spans="1:14" ht="48" x14ac:dyDescent="0.2">
      <c r="A42" s="200">
        <v>8</v>
      </c>
      <c r="B42" s="134" t="s">
        <v>907</v>
      </c>
      <c r="C42" s="135" t="s">
        <v>908</v>
      </c>
      <c r="D42" s="142">
        <f>SUM(D43:D45)</f>
        <v>3</v>
      </c>
      <c r="E42" s="144">
        <f>SUM(E43:E45)</f>
        <v>3</v>
      </c>
      <c r="F42" s="145">
        <f>SUM(F43:F45)</f>
        <v>0</v>
      </c>
      <c r="G42" s="146">
        <f>SUM(G43:G45)</f>
        <v>0</v>
      </c>
      <c r="H42" s="152">
        <f t="shared" si="41"/>
        <v>1</v>
      </c>
      <c r="I42" s="153">
        <f t="shared" si="42"/>
        <v>1</v>
      </c>
      <c r="J42" s="154">
        <f t="shared" si="43"/>
        <v>0</v>
      </c>
      <c r="K42" s="155">
        <f t="shared" si="44"/>
        <v>0</v>
      </c>
      <c r="L42" s="196" t="s">
        <v>1774</v>
      </c>
      <c r="M42" s="196" t="s">
        <v>545</v>
      </c>
      <c r="N42" s="190"/>
    </row>
    <row r="43" spans="1:14" ht="32" x14ac:dyDescent="0.2">
      <c r="A43" s="200"/>
      <c r="B43" s="209"/>
      <c r="C43" s="112" t="s">
        <v>919</v>
      </c>
      <c r="D43" s="113">
        <v>1</v>
      </c>
      <c r="E43" s="136">
        <v>1</v>
      </c>
      <c r="F43" s="137">
        <v>0</v>
      </c>
      <c r="G43" s="135">
        <f t="shared" ref="G43:G45" si="49">D43-E43-F43</f>
        <v>0</v>
      </c>
      <c r="H43" s="138">
        <f t="shared" si="41"/>
        <v>1</v>
      </c>
      <c r="I43" s="139">
        <f t="shared" si="42"/>
        <v>1</v>
      </c>
      <c r="J43" s="140">
        <f t="shared" si="43"/>
        <v>0</v>
      </c>
      <c r="K43" s="141">
        <f t="shared" si="44"/>
        <v>0</v>
      </c>
      <c r="L43" s="197"/>
      <c r="M43" s="197"/>
      <c r="N43" s="191"/>
    </row>
    <row r="44" spans="1:14" ht="32" x14ac:dyDescent="0.2">
      <c r="A44" s="200"/>
      <c r="B44" s="209"/>
      <c r="C44" s="112" t="s">
        <v>920</v>
      </c>
      <c r="D44" s="113">
        <v>1</v>
      </c>
      <c r="E44" s="136">
        <v>1</v>
      </c>
      <c r="F44" s="137">
        <v>0</v>
      </c>
      <c r="G44" s="135">
        <f t="shared" si="49"/>
        <v>0</v>
      </c>
      <c r="H44" s="138">
        <f t="shared" si="41"/>
        <v>1</v>
      </c>
      <c r="I44" s="139">
        <f t="shared" si="42"/>
        <v>1</v>
      </c>
      <c r="J44" s="140">
        <f t="shared" si="43"/>
        <v>0</v>
      </c>
      <c r="K44" s="141">
        <f t="shared" si="44"/>
        <v>0</v>
      </c>
      <c r="L44" s="197"/>
      <c r="M44" s="197"/>
      <c r="N44" s="191"/>
    </row>
    <row r="45" spans="1:14" ht="29.25" customHeight="1" x14ac:dyDescent="0.2">
      <c r="A45" s="200"/>
      <c r="B45" s="209"/>
      <c r="C45" s="112" t="s">
        <v>921</v>
      </c>
      <c r="D45" s="113">
        <v>1</v>
      </c>
      <c r="E45" s="136">
        <v>1</v>
      </c>
      <c r="F45" s="137">
        <v>0</v>
      </c>
      <c r="G45" s="135">
        <f t="shared" si="49"/>
        <v>0</v>
      </c>
      <c r="H45" s="138">
        <f t="shared" si="41"/>
        <v>1</v>
      </c>
      <c r="I45" s="139">
        <f t="shared" si="42"/>
        <v>1</v>
      </c>
      <c r="J45" s="140">
        <f t="shared" si="43"/>
        <v>0</v>
      </c>
      <c r="K45" s="141">
        <f t="shared" si="44"/>
        <v>0</v>
      </c>
      <c r="L45" s="198"/>
      <c r="M45" s="198"/>
      <c r="N45" s="192"/>
    </row>
    <row r="46" spans="1:14" ht="32" x14ac:dyDescent="0.2">
      <c r="A46" s="200">
        <v>9</v>
      </c>
      <c r="B46" s="134" t="s">
        <v>906</v>
      </c>
      <c r="C46" s="135" t="s">
        <v>931</v>
      </c>
      <c r="D46" s="142">
        <f>SUM(D47:D48)</f>
        <v>2</v>
      </c>
      <c r="E46" s="144">
        <f>SUM(E47:E48)</f>
        <v>2</v>
      </c>
      <c r="F46" s="145">
        <f>SUM(F47:F48)</f>
        <v>0</v>
      </c>
      <c r="G46" s="146">
        <f>SUM(G47:G48)</f>
        <v>0</v>
      </c>
      <c r="H46" s="152">
        <f t="shared" si="41"/>
        <v>1</v>
      </c>
      <c r="I46" s="153">
        <f t="shared" si="42"/>
        <v>1</v>
      </c>
      <c r="J46" s="154">
        <f t="shared" si="43"/>
        <v>0</v>
      </c>
      <c r="K46" s="155">
        <f t="shared" si="44"/>
        <v>0</v>
      </c>
      <c r="L46" s="196" t="s">
        <v>1767</v>
      </c>
      <c r="M46" s="196" t="s">
        <v>545</v>
      </c>
      <c r="N46" s="190"/>
    </row>
    <row r="47" spans="1:14" ht="29.25" customHeight="1" x14ac:dyDescent="0.2">
      <c r="A47" s="200"/>
      <c r="B47" s="209"/>
      <c r="C47" s="112" t="s">
        <v>917</v>
      </c>
      <c r="D47" s="113">
        <v>1</v>
      </c>
      <c r="E47" s="136">
        <v>1</v>
      </c>
      <c r="F47" s="137">
        <v>0</v>
      </c>
      <c r="G47" s="135">
        <f t="shared" ref="G47:G48" si="50">D47-E47-F47</f>
        <v>0</v>
      </c>
      <c r="H47" s="138">
        <f t="shared" si="41"/>
        <v>1</v>
      </c>
      <c r="I47" s="139">
        <f t="shared" si="42"/>
        <v>1</v>
      </c>
      <c r="J47" s="140">
        <f t="shared" si="43"/>
        <v>0</v>
      </c>
      <c r="K47" s="141">
        <f t="shared" si="44"/>
        <v>0</v>
      </c>
      <c r="L47" s="197"/>
      <c r="M47" s="197"/>
      <c r="N47" s="191"/>
    </row>
    <row r="48" spans="1:14" ht="29.25" customHeight="1" x14ac:dyDescent="0.2">
      <c r="A48" s="200"/>
      <c r="B48" s="209"/>
      <c r="C48" s="112" t="s">
        <v>918</v>
      </c>
      <c r="D48" s="113">
        <v>1</v>
      </c>
      <c r="E48" s="136">
        <v>1</v>
      </c>
      <c r="F48" s="137">
        <v>0</v>
      </c>
      <c r="G48" s="135">
        <f t="shared" si="50"/>
        <v>0</v>
      </c>
      <c r="H48" s="138">
        <f t="shared" si="41"/>
        <v>1</v>
      </c>
      <c r="I48" s="139">
        <f t="shared" si="42"/>
        <v>1</v>
      </c>
      <c r="J48" s="140">
        <f t="shared" si="43"/>
        <v>0</v>
      </c>
      <c r="K48" s="141">
        <f t="shared" si="44"/>
        <v>0</v>
      </c>
      <c r="L48" s="198"/>
      <c r="M48" s="198"/>
      <c r="N48" s="192"/>
    </row>
    <row r="49" spans="1:14" ht="64" x14ac:dyDescent="0.2">
      <c r="A49" s="200">
        <v>10</v>
      </c>
      <c r="B49" s="134" t="s">
        <v>909</v>
      </c>
      <c r="C49" s="135" t="s">
        <v>916</v>
      </c>
      <c r="D49" s="142">
        <f>SUM(D50:D52)</f>
        <v>3</v>
      </c>
      <c r="E49" s="144">
        <f>SUM(E50:E52)</f>
        <v>3</v>
      </c>
      <c r="F49" s="145">
        <f>SUM(F50:F52)</f>
        <v>0</v>
      </c>
      <c r="G49" s="146">
        <f>SUM(G50:G52)</f>
        <v>0</v>
      </c>
      <c r="H49" s="152">
        <f t="shared" si="41"/>
        <v>1</v>
      </c>
      <c r="I49" s="153">
        <f t="shared" si="42"/>
        <v>1</v>
      </c>
      <c r="J49" s="154">
        <f t="shared" si="43"/>
        <v>0</v>
      </c>
      <c r="K49" s="155">
        <f t="shared" si="44"/>
        <v>0</v>
      </c>
      <c r="L49" s="196" t="s">
        <v>1768</v>
      </c>
      <c r="M49" s="196" t="s">
        <v>545</v>
      </c>
      <c r="N49" s="190"/>
    </row>
    <row r="50" spans="1:14" ht="64" x14ac:dyDescent="0.2">
      <c r="A50" s="200"/>
      <c r="B50" s="209"/>
      <c r="C50" s="112" t="s">
        <v>1156</v>
      </c>
      <c r="D50" s="113">
        <v>1</v>
      </c>
      <c r="E50" s="136">
        <v>1</v>
      </c>
      <c r="F50" s="137">
        <v>0</v>
      </c>
      <c r="G50" s="135">
        <f t="shared" ref="G50" si="51">D50-E50-F50</f>
        <v>0</v>
      </c>
      <c r="H50" s="138">
        <f t="shared" si="41"/>
        <v>1</v>
      </c>
      <c r="I50" s="139">
        <f t="shared" si="42"/>
        <v>1</v>
      </c>
      <c r="J50" s="140">
        <f t="shared" si="43"/>
        <v>0</v>
      </c>
      <c r="K50" s="141">
        <f t="shared" si="44"/>
        <v>0</v>
      </c>
      <c r="L50" s="197"/>
      <c r="M50" s="197"/>
      <c r="N50" s="191"/>
    </row>
    <row r="51" spans="1:14" ht="96" x14ac:dyDescent="0.2">
      <c r="A51" s="200"/>
      <c r="B51" s="209"/>
      <c r="C51" s="112" t="s">
        <v>1155</v>
      </c>
      <c r="D51" s="113">
        <v>1</v>
      </c>
      <c r="E51" s="136">
        <v>1</v>
      </c>
      <c r="F51" s="137">
        <v>0</v>
      </c>
      <c r="G51" s="135">
        <f t="shared" ref="G51:G52" si="52">D51-E51-F51</f>
        <v>0</v>
      </c>
      <c r="H51" s="138">
        <f t="shared" ref="H51:H52" si="53">(E51+F51)/D51</f>
        <v>1</v>
      </c>
      <c r="I51" s="139">
        <f t="shared" ref="I51:I52" si="54">E51/D51</f>
        <v>1</v>
      </c>
      <c r="J51" s="140">
        <f t="shared" ref="J51:J52" si="55">IFERROR(F51/D51,0)</f>
        <v>0</v>
      </c>
      <c r="K51" s="141">
        <f t="shared" ref="K51:K52" si="56">IFERROR(G51/D51,0)</f>
        <v>0</v>
      </c>
      <c r="L51" s="197"/>
      <c r="M51" s="197"/>
      <c r="N51" s="191"/>
    </row>
    <row r="52" spans="1:14" ht="48" x14ac:dyDescent="0.2">
      <c r="A52" s="200"/>
      <c r="B52" s="209"/>
      <c r="C52" s="112" t="s">
        <v>936</v>
      </c>
      <c r="D52" s="113">
        <v>1</v>
      </c>
      <c r="E52" s="136">
        <v>1</v>
      </c>
      <c r="F52" s="137">
        <v>0</v>
      </c>
      <c r="G52" s="135">
        <f t="shared" si="52"/>
        <v>0</v>
      </c>
      <c r="H52" s="138">
        <f t="shared" si="53"/>
        <v>1</v>
      </c>
      <c r="I52" s="139">
        <f t="shared" si="54"/>
        <v>1</v>
      </c>
      <c r="J52" s="140">
        <f t="shared" si="55"/>
        <v>0</v>
      </c>
      <c r="K52" s="141">
        <f t="shared" si="56"/>
        <v>0</v>
      </c>
      <c r="L52" s="198"/>
      <c r="M52" s="198"/>
      <c r="N52" s="192"/>
    </row>
    <row r="53" spans="1:14" ht="48" x14ac:dyDescent="0.2">
      <c r="A53" s="200">
        <v>11</v>
      </c>
      <c r="B53" s="134" t="s">
        <v>937</v>
      </c>
      <c r="C53" s="135" t="s">
        <v>938</v>
      </c>
      <c r="D53" s="142">
        <f>SUM(D54:D54)</f>
        <v>13</v>
      </c>
      <c r="E53" s="144">
        <f>SUM(E54:E54)</f>
        <v>6</v>
      </c>
      <c r="F53" s="145">
        <f>SUM(F54:F54)</f>
        <v>7</v>
      </c>
      <c r="G53" s="146">
        <f>SUM(G54:G54)</f>
        <v>0</v>
      </c>
      <c r="H53" s="152">
        <f t="shared" ref="H53:H58" si="57">(E53+F53)/D53</f>
        <v>1</v>
      </c>
      <c r="I53" s="153">
        <f t="shared" ref="I53:I58" si="58">E53/D53</f>
        <v>0.46153846153846156</v>
      </c>
      <c r="J53" s="154">
        <f t="shared" ref="J53:J54" si="59">IFERROR(F53/D53,0)</f>
        <v>0.53846153846153844</v>
      </c>
      <c r="K53" s="155">
        <f t="shared" ref="K53:K54" si="60">IFERROR(G53/D53,0)</f>
        <v>0</v>
      </c>
      <c r="L53" s="196" t="s">
        <v>1769</v>
      </c>
      <c r="M53" s="196" t="s">
        <v>129</v>
      </c>
      <c r="N53" s="190">
        <v>46022</v>
      </c>
    </row>
    <row r="54" spans="1:14" ht="29.25" customHeight="1" x14ac:dyDescent="0.2">
      <c r="A54" s="200"/>
      <c r="B54" s="188"/>
      <c r="C54" s="112" t="s">
        <v>1797</v>
      </c>
      <c r="D54" s="113">
        <f>COUNTIFS(ИИ!A:A,"&gt;0")</f>
        <v>13</v>
      </c>
      <c r="E54" s="136">
        <f>COUNTIFS(ИИ!C:C,"&gt;0")</f>
        <v>6</v>
      </c>
      <c r="F54" s="137">
        <f>COUNTIFS(ИИ!C:C,0)</f>
        <v>7</v>
      </c>
      <c r="G54" s="135">
        <f t="shared" ref="G54" si="61">D54-E54-F54</f>
        <v>0</v>
      </c>
      <c r="H54" s="138">
        <f t="shared" si="57"/>
        <v>1</v>
      </c>
      <c r="I54" s="139">
        <f t="shared" si="58"/>
        <v>0.46153846153846156</v>
      </c>
      <c r="J54" s="140">
        <f t="shared" si="59"/>
        <v>0.53846153846153844</v>
      </c>
      <c r="K54" s="141">
        <f t="shared" si="60"/>
        <v>0</v>
      </c>
      <c r="L54" s="198"/>
      <c r="M54" s="198"/>
      <c r="N54" s="192"/>
    </row>
    <row r="55" spans="1:14" ht="48" x14ac:dyDescent="0.2">
      <c r="A55" s="196">
        <v>12</v>
      </c>
      <c r="B55" s="134" t="s">
        <v>1096</v>
      </c>
      <c r="C55" s="135" t="s">
        <v>2147</v>
      </c>
      <c r="D55" s="142">
        <f t="shared" ref="D55:F55" si="62">SUM(D56:D59)</f>
        <v>4</v>
      </c>
      <c r="E55" s="144">
        <f t="shared" si="62"/>
        <v>1</v>
      </c>
      <c r="F55" s="145">
        <f t="shared" si="62"/>
        <v>2</v>
      </c>
      <c r="G55" s="146">
        <f>SUM(G56:G59)</f>
        <v>1</v>
      </c>
      <c r="H55" s="152">
        <f t="shared" si="57"/>
        <v>0.75</v>
      </c>
      <c r="I55" s="153">
        <f t="shared" si="58"/>
        <v>0.25</v>
      </c>
      <c r="J55" s="154">
        <f t="shared" ref="J55:J58" si="63">F55/D55</f>
        <v>0.5</v>
      </c>
      <c r="K55" s="155">
        <f t="shared" ref="K55:K58" si="64">G55/D55</f>
        <v>0.25</v>
      </c>
      <c r="L55" s="196" t="s">
        <v>128</v>
      </c>
      <c r="M55" s="196" t="s">
        <v>545</v>
      </c>
      <c r="N55" s="190"/>
    </row>
    <row r="56" spans="1:14" ht="32" x14ac:dyDescent="0.2">
      <c r="A56" s="197"/>
      <c r="B56" s="211"/>
      <c r="C56" s="111" t="s">
        <v>1708</v>
      </c>
      <c r="D56" s="113">
        <v>1</v>
      </c>
      <c r="E56" s="136">
        <v>1</v>
      </c>
      <c r="F56" s="137">
        <v>0</v>
      </c>
      <c r="G56" s="143">
        <f>D56-E56-F56</f>
        <v>0</v>
      </c>
      <c r="H56" s="138">
        <f t="shared" si="57"/>
        <v>1</v>
      </c>
      <c r="I56" s="139">
        <f t="shared" si="58"/>
        <v>1</v>
      </c>
      <c r="J56" s="140">
        <f t="shared" si="63"/>
        <v>0</v>
      </c>
      <c r="K56" s="141">
        <f t="shared" si="64"/>
        <v>0</v>
      </c>
      <c r="L56" s="197"/>
      <c r="M56" s="197"/>
      <c r="N56" s="191"/>
    </row>
    <row r="57" spans="1:14" ht="16" x14ac:dyDescent="0.2">
      <c r="A57" s="197"/>
      <c r="B57" s="212"/>
      <c r="C57" s="111" t="s">
        <v>1709</v>
      </c>
      <c r="D57" s="113">
        <v>1</v>
      </c>
      <c r="E57" s="136">
        <v>0</v>
      </c>
      <c r="F57" s="137">
        <v>1</v>
      </c>
      <c r="G57" s="143">
        <f>D57-E57-F57</f>
        <v>0</v>
      </c>
      <c r="H57" s="138">
        <f t="shared" ref="H57" si="65">(E57+F57)/D57</f>
        <v>1</v>
      </c>
      <c r="I57" s="139">
        <f t="shared" ref="I57" si="66">E57/D57</f>
        <v>0</v>
      </c>
      <c r="J57" s="140">
        <f t="shared" ref="J57" si="67">F57/D57</f>
        <v>1</v>
      </c>
      <c r="K57" s="141">
        <f t="shared" ref="K57" si="68">G57/D57</f>
        <v>0</v>
      </c>
      <c r="L57" s="197"/>
      <c r="M57" s="197"/>
      <c r="N57" s="191"/>
    </row>
    <row r="58" spans="1:14" ht="16" x14ac:dyDescent="0.2">
      <c r="A58" s="197"/>
      <c r="B58" s="212"/>
      <c r="C58" s="111" t="s">
        <v>1710</v>
      </c>
      <c r="D58" s="113">
        <v>1</v>
      </c>
      <c r="E58" s="136">
        <v>0</v>
      </c>
      <c r="F58" s="137">
        <v>1</v>
      </c>
      <c r="G58" s="143">
        <f>D58-E58-F58</f>
        <v>0</v>
      </c>
      <c r="H58" s="138">
        <f t="shared" si="57"/>
        <v>1</v>
      </c>
      <c r="I58" s="139">
        <f t="shared" si="58"/>
        <v>0</v>
      </c>
      <c r="J58" s="140">
        <f t="shared" si="63"/>
        <v>1</v>
      </c>
      <c r="K58" s="141">
        <f t="shared" si="64"/>
        <v>0</v>
      </c>
      <c r="L58" s="197"/>
      <c r="M58" s="197"/>
      <c r="N58" s="191"/>
    </row>
    <row r="59" spans="1:14" ht="32" x14ac:dyDescent="0.2">
      <c r="A59" s="198"/>
      <c r="B59" s="213"/>
      <c r="C59" s="111" t="s">
        <v>2148</v>
      </c>
      <c r="D59" s="113">
        <v>1</v>
      </c>
      <c r="E59" s="136">
        <v>0</v>
      </c>
      <c r="F59" s="137">
        <v>0</v>
      </c>
      <c r="G59" s="143">
        <v>1</v>
      </c>
      <c r="H59" s="138">
        <f t="shared" ref="H59" si="69">(E59+F59)/D59</f>
        <v>0</v>
      </c>
      <c r="I59" s="139">
        <f t="shared" ref="I59" si="70">E59/D59</f>
        <v>0</v>
      </c>
      <c r="J59" s="140">
        <f t="shared" ref="J59" si="71">F59/D59</f>
        <v>0</v>
      </c>
      <c r="K59" s="141">
        <f t="shared" ref="K59" si="72">G59/D59</f>
        <v>1</v>
      </c>
      <c r="L59" s="198"/>
      <c r="M59" s="198"/>
      <c r="N59" s="192"/>
    </row>
    <row r="60" spans="1:14" ht="47" x14ac:dyDescent="0.2">
      <c r="A60" s="113">
        <v>13</v>
      </c>
      <c r="B60" s="134" t="s">
        <v>1157</v>
      </c>
      <c r="C60" s="135" t="s">
        <v>2268</v>
      </c>
      <c r="D60" s="142">
        <v>3</v>
      </c>
      <c r="E60" s="144">
        <v>3</v>
      </c>
      <c r="F60" s="145">
        <v>0</v>
      </c>
      <c r="G60" s="146">
        <v>0</v>
      </c>
      <c r="H60" s="152">
        <f t="shared" ref="H60" si="73">(E60+F60)/D60</f>
        <v>1</v>
      </c>
      <c r="I60" s="153">
        <f t="shared" ref="I60" si="74">E60/D60</f>
        <v>1</v>
      </c>
      <c r="J60" s="154">
        <f t="shared" ref="J60" si="75">F60/D60</f>
        <v>0</v>
      </c>
      <c r="K60" s="155">
        <f t="shared" ref="K60" si="76">G60/D60</f>
        <v>0</v>
      </c>
      <c r="L60" s="113" t="s">
        <v>128</v>
      </c>
      <c r="M60" s="113" t="s">
        <v>545</v>
      </c>
      <c r="N60" s="151"/>
    </row>
    <row r="61" spans="1:14" ht="32" x14ac:dyDescent="0.2">
      <c r="A61" s="113">
        <v>14</v>
      </c>
      <c r="B61" s="134" t="s">
        <v>1759</v>
      </c>
      <c r="C61" s="135" t="s">
        <v>1760</v>
      </c>
      <c r="D61" s="142">
        <v>1</v>
      </c>
      <c r="E61" s="144">
        <v>0</v>
      </c>
      <c r="F61" s="145">
        <v>1</v>
      </c>
      <c r="G61" s="146">
        <v>0</v>
      </c>
      <c r="H61" s="152">
        <f t="shared" ref="H61" si="77">(E61+F61)/D61</f>
        <v>1</v>
      </c>
      <c r="I61" s="153">
        <f t="shared" ref="I61" si="78">E61/D61</f>
        <v>0</v>
      </c>
      <c r="J61" s="154">
        <f t="shared" ref="J61" si="79">F61/D61</f>
        <v>1</v>
      </c>
      <c r="K61" s="155">
        <f t="shared" ref="K61" si="80">G61/D61</f>
        <v>0</v>
      </c>
      <c r="L61" s="113" t="s">
        <v>1775</v>
      </c>
      <c r="M61" s="113" t="s">
        <v>163</v>
      </c>
      <c r="N61" s="151"/>
    </row>
    <row r="62" spans="1:14" ht="16" x14ac:dyDescent="0.2">
      <c r="A62" s="113">
        <v>15</v>
      </c>
      <c r="B62" s="134" t="s">
        <v>1761</v>
      </c>
      <c r="C62" s="135" t="s">
        <v>1762</v>
      </c>
      <c r="D62" s="142">
        <v>1</v>
      </c>
      <c r="E62" s="144">
        <v>0</v>
      </c>
      <c r="F62" s="145">
        <v>1</v>
      </c>
      <c r="G62" s="146">
        <v>0</v>
      </c>
      <c r="H62" s="152">
        <f t="shared" ref="H62" si="81">(E62+F62)/D62</f>
        <v>1</v>
      </c>
      <c r="I62" s="153">
        <f t="shared" ref="I62" si="82">E62/D62</f>
        <v>0</v>
      </c>
      <c r="J62" s="154">
        <f t="shared" ref="J62" si="83">F62/D62</f>
        <v>1</v>
      </c>
      <c r="K62" s="155">
        <f t="shared" ref="K62" si="84">G62/D62</f>
        <v>0</v>
      </c>
      <c r="L62" s="113" t="s">
        <v>1763</v>
      </c>
      <c r="M62" s="113" t="s">
        <v>163</v>
      </c>
      <c r="N62" s="151"/>
    </row>
    <row r="63" spans="1:14" ht="32" x14ac:dyDescent="0.2">
      <c r="A63" s="113">
        <v>16</v>
      </c>
      <c r="B63" s="134" t="s">
        <v>1764</v>
      </c>
      <c r="C63" s="135" t="s">
        <v>1765</v>
      </c>
      <c r="D63" s="142">
        <v>1</v>
      </c>
      <c r="E63" s="144">
        <v>0</v>
      </c>
      <c r="F63" s="145">
        <v>1</v>
      </c>
      <c r="G63" s="146">
        <v>0</v>
      </c>
      <c r="H63" s="152">
        <f t="shared" ref="H63" si="85">(E63+F63)/D63</f>
        <v>1</v>
      </c>
      <c r="I63" s="153">
        <f t="shared" ref="I63" si="86">E63/D63</f>
        <v>0</v>
      </c>
      <c r="J63" s="154">
        <f t="shared" ref="J63" si="87">F63/D63</f>
        <v>1</v>
      </c>
      <c r="K63" s="155">
        <f t="shared" ref="K63" si="88">G63/D63</f>
        <v>0</v>
      </c>
      <c r="L63" s="113" t="s">
        <v>1779</v>
      </c>
      <c r="M63" s="113" t="s">
        <v>163</v>
      </c>
      <c r="N63" s="151"/>
    </row>
    <row r="64" spans="1:14" ht="48" x14ac:dyDescent="0.2">
      <c r="A64" s="113">
        <v>17</v>
      </c>
      <c r="B64" s="134" t="s">
        <v>1782</v>
      </c>
      <c r="C64" s="135" t="s">
        <v>2105</v>
      </c>
      <c r="D64" s="142">
        <f>SUM(D65:D68)</f>
        <v>16</v>
      </c>
      <c r="E64" s="144">
        <f t="shared" ref="E64:G64" si="89">SUM(E65:E68)</f>
        <v>16</v>
      </c>
      <c r="F64" s="145">
        <f t="shared" si="89"/>
        <v>0</v>
      </c>
      <c r="G64" s="146">
        <f t="shared" si="89"/>
        <v>0</v>
      </c>
      <c r="H64" s="152">
        <f>IFERROR((E64+F64)/D64,0)</f>
        <v>1</v>
      </c>
      <c r="I64" s="153">
        <f>IFERROR(E64/D64,0)</f>
        <v>1</v>
      </c>
      <c r="J64" s="154">
        <f>IFERROR(F64/D64,0)</f>
        <v>0</v>
      </c>
      <c r="K64" s="155">
        <f>IFERROR(G64/D64,0)</f>
        <v>0</v>
      </c>
      <c r="L64" s="196" t="s">
        <v>1767</v>
      </c>
      <c r="M64" s="196" t="s">
        <v>545</v>
      </c>
      <c r="N64" s="190"/>
    </row>
    <row r="65" spans="1:14" ht="16" x14ac:dyDescent="0.2">
      <c r="A65" s="196"/>
      <c r="B65" s="193"/>
      <c r="C65" s="111" t="s">
        <v>2106</v>
      </c>
      <c r="D65" s="113">
        <v>4</v>
      </c>
      <c r="E65" s="136">
        <v>4</v>
      </c>
      <c r="F65" s="137">
        <v>0</v>
      </c>
      <c r="G65" s="135">
        <v>0</v>
      </c>
      <c r="H65" s="138">
        <f t="shared" ref="H65:H68" si="90">IFERROR((E65+F65)/D65,0)</f>
        <v>1</v>
      </c>
      <c r="I65" s="139">
        <f t="shared" ref="I65:I68" si="91">IFERROR(E65/D65,0)</f>
        <v>1</v>
      </c>
      <c r="J65" s="140">
        <f t="shared" ref="J65:J68" si="92">IFERROR(F65/D65,0)</f>
        <v>0</v>
      </c>
      <c r="K65" s="141">
        <f t="shared" ref="K65:K68" si="93">IFERROR(G65/D65,0)</f>
        <v>0</v>
      </c>
      <c r="L65" s="197"/>
      <c r="M65" s="197"/>
      <c r="N65" s="191"/>
    </row>
    <row r="66" spans="1:14" ht="16" x14ac:dyDescent="0.2">
      <c r="A66" s="197"/>
      <c r="B66" s="194"/>
      <c r="C66" s="111" t="s">
        <v>2107</v>
      </c>
      <c r="D66" s="113">
        <v>4</v>
      </c>
      <c r="E66" s="136">
        <v>4</v>
      </c>
      <c r="F66" s="137">
        <v>0</v>
      </c>
      <c r="G66" s="135">
        <v>0</v>
      </c>
      <c r="H66" s="138">
        <f t="shared" si="90"/>
        <v>1</v>
      </c>
      <c r="I66" s="139">
        <f t="shared" si="91"/>
        <v>1</v>
      </c>
      <c r="J66" s="140">
        <f t="shared" si="92"/>
        <v>0</v>
      </c>
      <c r="K66" s="141">
        <f t="shared" si="93"/>
        <v>0</v>
      </c>
      <c r="L66" s="197"/>
      <c r="M66" s="197"/>
      <c r="N66" s="191"/>
    </row>
    <row r="67" spans="1:14" ht="16" x14ac:dyDescent="0.2">
      <c r="A67" s="197"/>
      <c r="B67" s="194"/>
      <c r="C67" s="111" t="s">
        <v>2108</v>
      </c>
      <c r="D67" s="113">
        <v>4</v>
      </c>
      <c r="E67" s="136">
        <v>4</v>
      </c>
      <c r="F67" s="137">
        <v>0</v>
      </c>
      <c r="G67" s="135">
        <v>0</v>
      </c>
      <c r="H67" s="138">
        <f t="shared" si="90"/>
        <v>1</v>
      </c>
      <c r="I67" s="139">
        <f t="shared" si="91"/>
        <v>1</v>
      </c>
      <c r="J67" s="140">
        <f t="shared" si="92"/>
        <v>0</v>
      </c>
      <c r="K67" s="141">
        <f t="shared" si="93"/>
        <v>0</v>
      </c>
      <c r="L67" s="197"/>
      <c r="M67" s="197"/>
      <c r="N67" s="191"/>
    </row>
    <row r="68" spans="1:14" ht="16" x14ac:dyDescent="0.2">
      <c r="A68" s="198"/>
      <c r="B68" s="195"/>
      <c r="C68" s="111" t="s">
        <v>2109</v>
      </c>
      <c r="D68" s="113">
        <v>4</v>
      </c>
      <c r="E68" s="136">
        <v>4</v>
      </c>
      <c r="F68" s="137">
        <v>0</v>
      </c>
      <c r="G68" s="135">
        <v>0</v>
      </c>
      <c r="H68" s="138">
        <f t="shared" si="90"/>
        <v>1</v>
      </c>
      <c r="I68" s="139">
        <f t="shared" si="91"/>
        <v>1</v>
      </c>
      <c r="J68" s="140">
        <f t="shared" si="92"/>
        <v>0</v>
      </c>
      <c r="K68" s="141">
        <f t="shared" si="93"/>
        <v>0</v>
      </c>
      <c r="L68" s="198"/>
      <c r="M68" s="198"/>
      <c r="N68" s="192"/>
    </row>
    <row r="69" spans="1:14" ht="48" x14ac:dyDescent="0.2">
      <c r="A69" s="113">
        <v>18</v>
      </c>
      <c r="B69" s="134" t="s">
        <v>1784</v>
      </c>
      <c r="C69" s="135" t="s">
        <v>1783</v>
      </c>
      <c r="D69" s="142">
        <v>8</v>
      </c>
      <c r="E69" s="144">
        <v>8</v>
      </c>
      <c r="F69" s="145">
        <v>0</v>
      </c>
      <c r="G69" s="146">
        <v>0</v>
      </c>
      <c r="H69" s="152">
        <f t="shared" ref="H69" si="94">(E69+F69)/D69</f>
        <v>1</v>
      </c>
      <c r="I69" s="153">
        <f t="shared" ref="I69" si="95">E69/D69</f>
        <v>1</v>
      </c>
      <c r="J69" s="154">
        <f t="shared" ref="J69" si="96">F69/D69</f>
        <v>0</v>
      </c>
      <c r="K69" s="155">
        <f t="shared" ref="K69" si="97">G69/D69</f>
        <v>0</v>
      </c>
      <c r="L69" s="113" t="s">
        <v>1767</v>
      </c>
      <c r="M69" s="113" t="s">
        <v>545</v>
      </c>
      <c r="N69" s="151"/>
    </row>
    <row r="70" spans="1:14" ht="48" x14ac:dyDescent="0.2">
      <c r="A70" s="113">
        <v>19</v>
      </c>
      <c r="B70" s="134" t="s">
        <v>1785</v>
      </c>
      <c r="C70" s="135" t="s">
        <v>1786</v>
      </c>
      <c r="D70" s="142">
        <v>2</v>
      </c>
      <c r="E70" s="144">
        <v>2</v>
      </c>
      <c r="F70" s="145">
        <v>0</v>
      </c>
      <c r="G70" s="146">
        <v>0</v>
      </c>
      <c r="H70" s="152">
        <f t="shared" ref="H70" si="98">(E70+F70)/D70</f>
        <v>1</v>
      </c>
      <c r="I70" s="153">
        <f t="shared" ref="I70" si="99">E70/D70</f>
        <v>1</v>
      </c>
      <c r="J70" s="154">
        <f t="shared" ref="J70" si="100">F70/D70</f>
        <v>0</v>
      </c>
      <c r="K70" s="155">
        <f t="shared" ref="K70" si="101">G70/D70</f>
        <v>0</v>
      </c>
      <c r="L70" s="113" t="s">
        <v>1767</v>
      </c>
      <c r="M70" s="113" t="s">
        <v>545</v>
      </c>
      <c r="N70" s="151"/>
    </row>
    <row r="71" spans="1:14" ht="32" x14ac:dyDescent="0.2">
      <c r="A71" s="113">
        <v>20</v>
      </c>
      <c r="B71" s="134" t="s">
        <v>1787</v>
      </c>
      <c r="C71" s="135" t="s">
        <v>1788</v>
      </c>
      <c r="D71" s="142">
        <v>1</v>
      </c>
      <c r="E71" s="144">
        <v>1</v>
      </c>
      <c r="F71" s="145">
        <v>0</v>
      </c>
      <c r="G71" s="146">
        <v>0</v>
      </c>
      <c r="H71" s="152">
        <f t="shared" ref="H71:H72" si="102">(E71+F71)/D71</f>
        <v>1</v>
      </c>
      <c r="I71" s="153">
        <f t="shared" ref="I71:I72" si="103">E71/D71</f>
        <v>1</v>
      </c>
      <c r="J71" s="154">
        <f t="shared" ref="J71:J72" si="104">F71/D71</f>
        <v>0</v>
      </c>
      <c r="K71" s="155">
        <f t="shared" ref="K71:K72" si="105">G71/D71</f>
        <v>0</v>
      </c>
      <c r="L71" s="113" t="s">
        <v>1789</v>
      </c>
      <c r="M71" s="113" t="s">
        <v>545</v>
      </c>
      <c r="N71" s="151"/>
    </row>
    <row r="72" spans="1:14" ht="48" x14ac:dyDescent="0.2">
      <c r="A72" s="113">
        <v>21</v>
      </c>
      <c r="B72" s="134" t="s">
        <v>1985</v>
      </c>
      <c r="C72" s="135" t="s">
        <v>1986</v>
      </c>
      <c r="D72" s="142">
        <v>4</v>
      </c>
      <c r="E72" s="144">
        <v>4</v>
      </c>
      <c r="F72" s="145">
        <v>0</v>
      </c>
      <c r="G72" s="146">
        <v>0</v>
      </c>
      <c r="H72" s="152">
        <f t="shared" si="102"/>
        <v>1</v>
      </c>
      <c r="I72" s="153">
        <f t="shared" si="103"/>
        <v>1</v>
      </c>
      <c r="J72" s="154">
        <f t="shared" si="104"/>
        <v>0</v>
      </c>
      <c r="K72" s="155">
        <f t="shared" si="105"/>
        <v>0</v>
      </c>
      <c r="L72" s="113" t="s">
        <v>1767</v>
      </c>
      <c r="M72" s="113" t="s">
        <v>545</v>
      </c>
      <c r="N72" s="151"/>
    </row>
    <row r="73" spans="1:14" ht="80" x14ac:dyDescent="0.2">
      <c r="A73" s="113">
        <v>22</v>
      </c>
      <c r="B73" s="134" t="s">
        <v>1790</v>
      </c>
      <c r="C73" s="135" t="s">
        <v>1791</v>
      </c>
      <c r="D73" s="142">
        <v>1</v>
      </c>
      <c r="E73" s="144">
        <v>1</v>
      </c>
      <c r="F73" s="145">
        <v>0</v>
      </c>
      <c r="G73" s="146">
        <v>0</v>
      </c>
      <c r="H73" s="152">
        <f t="shared" ref="H73" si="106">(E73+F73)/D73</f>
        <v>1</v>
      </c>
      <c r="I73" s="153">
        <f t="shared" ref="I73" si="107">E73/D73</f>
        <v>1</v>
      </c>
      <c r="J73" s="154">
        <f t="shared" ref="J73" si="108">F73/D73</f>
        <v>0</v>
      </c>
      <c r="K73" s="155">
        <f t="shared" ref="K73" si="109">G73/D73</f>
        <v>0</v>
      </c>
      <c r="L73" s="113" t="s">
        <v>1792</v>
      </c>
      <c r="M73" s="113" t="s">
        <v>545</v>
      </c>
      <c r="N73" s="151"/>
    </row>
    <row r="74" spans="1:14" ht="32" x14ac:dyDescent="0.2">
      <c r="A74" s="113">
        <v>23</v>
      </c>
      <c r="B74" s="134" t="s">
        <v>2315</v>
      </c>
      <c r="C74" s="135" t="s">
        <v>2316</v>
      </c>
      <c r="D74" s="142">
        <v>1</v>
      </c>
      <c r="E74" s="144">
        <v>0</v>
      </c>
      <c r="F74" s="145">
        <v>1</v>
      </c>
      <c r="G74" s="146">
        <v>0</v>
      </c>
      <c r="H74" s="152">
        <f t="shared" ref="H74" si="110">(E74+F74)/D74</f>
        <v>1</v>
      </c>
      <c r="I74" s="153">
        <f t="shared" ref="I74" si="111">E74/D74</f>
        <v>0</v>
      </c>
      <c r="J74" s="154">
        <f t="shared" ref="J74" si="112">F74/D74</f>
        <v>1</v>
      </c>
      <c r="K74" s="155">
        <f t="shared" ref="K74" si="113">G74/D74</f>
        <v>0</v>
      </c>
      <c r="L74" s="113" t="s">
        <v>1792</v>
      </c>
      <c r="M74" s="113" t="s">
        <v>2319</v>
      </c>
      <c r="N74" s="151" t="s">
        <v>2382</v>
      </c>
    </row>
    <row r="75" spans="1:14" ht="32" x14ac:dyDescent="0.2">
      <c r="A75" s="113">
        <v>24</v>
      </c>
      <c r="B75" s="134" t="s">
        <v>2317</v>
      </c>
      <c r="C75" s="135" t="s">
        <v>2318</v>
      </c>
      <c r="D75" s="142">
        <v>1</v>
      </c>
      <c r="E75" s="144">
        <v>0</v>
      </c>
      <c r="F75" s="145">
        <v>1</v>
      </c>
      <c r="G75" s="146">
        <v>0</v>
      </c>
      <c r="H75" s="152">
        <f t="shared" ref="H75" si="114">(E75+F75)/D75</f>
        <v>1</v>
      </c>
      <c r="I75" s="153">
        <f t="shared" ref="I75" si="115">E75/D75</f>
        <v>0</v>
      </c>
      <c r="J75" s="154">
        <f t="shared" ref="J75" si="116">F75/D75</f>
        <v>1</v>
      </c>
      <c r="K75" s="155">
        <f t="shared" ref="K75" si="117">G75/D75</f>
        <v>0</v>
      </c>
      <c r="L75" s="113" t="s">
        <v>1792</v>
      </c>
      <c r="M75" s="113" t="s">
        <v>2319</v>
      </c>
      <c r="N75" s="151" t="s">
        <v>2383</v>
      </c>
    </row>
    <row r="76" spans="1:14" ht="32" x14ac:dyDescent="0.2">
      <c r="A76" s="113">
        <v>25</v>
      </c>
      <c r="B76" s="134" t="s">
        <v>2373</v>
      </c>
      <c r="C76" s="135" t="s">
        <v>2374</v>
      </c>
      <c r="D76" s="142">
        <f>D77+D78+D79+D80</f>
        <v>4</v>
      </c>
      <c r="E76" s="144">
        <f t="shared" ref="E76:G76" si="118">E77+E78+E79+E80</f>
        <v>4</v>
      </c>
      <c r="F76" s="145">
        <f t="shared" si="118"/>
        <v>0</v>
      </c>
      <c r="G76" s="146">
        <f t="shared" si="118"/>
        <v>0</v>
      </c>
      <c r="H76" s="152">
        <f t="shared" ref="H76:H80" si="119">(E76+F76)/D76</f>
        <v>1</v>
      </c>
      <c r="I76" s="153">
        <f t="shared" ref="I76:I80" si="120">E76/D76</f>
        <v>1</v>
      </c>
      <c r="J76" s="154">
        <f t="shared" ref="J76:J80" si="121">F76/D76</f>
        <v>0</v>
      </c>
      <c r="K76" s="155">
        <f t="shared" ref="K76:K80" si="122">G76/D76</f>
        <v>0</v>
      </c>
      <c r="L76" s="196" t="s">
        <v>2379</v>
      </c>
      <c r="M76" s="196" t="s">
        <v>2319</v>
      </c>
      <c r="N76" s="196" t="s">
        <v>2380</v>
      </c>
    </row>
    <row r="77" spans="1:14" ht="16" x14ac:dyDescent="0.2">
      <c r="A77" s="254"/>
      <c r="B77" s="251"/>
      <c r="C77" s="111" t="s">
        <v>2375</v>
      </c>
      <c r="D77" s="142">
        <v>1</v>
      </c>
      <c r="E77" s="144">
        <v>1</v>
      </c>
      <c r="F77" s="145">
        <v>0</v>
      </c>
      <c r="G77" s="146">
        <v>0</v>
      </c>
      <c r="H77" s="152">
        <f t="shared" si="119"/>
        <v>1</v>
      </c>
      <c r="I77" s="153">
        <f t="shared" si="120"/>
        <v>1</v>
      </c>
      <c r="J77" s="154">
        <f t="shared" si="121"/>
        <v>0</v>
      </c>
      <c r="K77" s="155">
        <f t="shared" si="122"/>
        <v>0</v>
      </c>
      <c r="L77" s="197"/>
      <c r="M77" s="197"/>
      <c r="N77" s="197"/>
    </row>
    <row r="78" spans="1:14" ht="16" x14ac:dyDescent="0.2">
      <c r="A78" s="255"/>
      <c r="B78" s="252"/>
      <c r="C78" s="111" t="s">
        <v>2376</v>
      </c>
      <c r="D78" s="142">
        <v>1</v>
      </c>
      <c r="E78" s="144">
        <v>1</v>
      </c>
      <c r="F78" s="145">
        <v>0</v>
      </c>
      <c r="G78" s="146">
        <v>0</v>
      </c>
      <c r="H78" s="152">
        <f t="shared" si="119"/>
        <v>1</v>
      </c>
      <c r="I78" s="153">
        <f t="shared" si="120"/>
        <v>1</v>
      </c>
      <c r="J78" s="154">
        <f t="shared" si="121"/>
        <v>0</v>
      </c>
      <c r="K78" s="155">
        <f t="shared" si="122"/>
        <v>0</v>
      </c>
      <c r="L78" s="197"/>
      <c r="M78" s="197"/>
      <c r="N78" s="197"/>
    </row>
    <row r="79" spans="1:14" ht="16" x14ac:dyDescent="0.2">
      <c r="A79" s="255"/>
      <c r="B79" s="252"/>
      <c r="C79" s="111" t="s">
        <v>2377</v>
      </c>
      <c r="D79" s="142">
        <v>1</v>
      </c>
      <c r="E79" s="144">
        <v>1</v>
      </c>
      <c r="F79" s="145">
        <v>0</v>
      </c>
      <c r="G79" s="146">
        <v>0</v>
      </c>
      <c r="H79" s="152">
        <f t="shared" si="119"/>
        <v>1</v>
      </c>
      <c r="I79" s="153">
        <f t="shared" si="120"/>
        <v>1</v>
      </c>
      <c r="J79" s="154">
        <f t="shared" si="121"/>
        <v>0</v>
      </c>
      <c r="K79" s="155">
        <f t="shared" si="122"/>
        <v>0</v>
      </c>
      <c r="L79" s="197"/>
      <c r="M79" s="197"/>
      <c r="N79" s="197"/>
    </row>
    <row r="80" spans="1:14" ht="16" x14ac:dyDescent="0.2">
      <c r="A80" s="256"/>
      <c r="B80" s="253"/>
      <c r="C80" s="111" t="s">
        <v>2378</v>
      </c>
      <c r="D80" s="142">
        <v>1</v>
      </c>
      <c r="E80" s="144">
        <v>1</v>
      </c>
      <c r="F80" s="145">
        <v>0</v>
      </c>
      <c r="G80" s="146">
        <v>0</v>
      </c>
      <c r="H80" s="152">
        <f t="shared" si="119"/>
        <v>1</v>
      </c>
      <c r="I80" s="153">
        <f t="shared" si="120"/>
        <v>1</v>
      </c>
      <c r="J80" s="154">
        <f t="shared" si="121"/>
        <v>0</v>
      </c>
      <c r="K80" s="155">
        <f t="shared" si="122"/>
        <v>0</v>
      </c>
      <c r="L80" s="198"/>
      <c r="M80" s="198"/>
      <c r="N80" s="198"/>
    </row>
    <row r="81" spans="1:14" ht="48" x14ac:dyDescent="0.2">
      <c r="A81" s="113">
        <v>26</v>
      </c>
      <c r="B81" s="134" t="s">
        <v>2320</v>
      </c>
      <c r="C81" s="135" t="s">
        <v>2321</v>
      </c>
      <c r="D81" s="142">
        <v>1</v>
      </c>
      <c r="E81" s="144">
        <v>0</v>
      </c>
      <c r="F81" s="145">
        <v>1</v>
      </c>
      <c r="G81" s="146">
        <v>0</v>
      </c>
      <c r="H81" s="152">
        <f t="shared" ref="H81" si="123">(E81+F81)/D81</f>
        <v>1</v>
      </c>
      <c r="I81" s="153">
        <f t="shared" ref="I81" si="124">E81/D81</f>
        <v>0</v>
      </c>
      <c r="J81" s="154">
        <f t="shared" ref="J81" si="125">F81/D81</f>
        <v>1</v>
      </c>
      <c r="K81" s="155">
        <f t="shared" ref="K81" si="126">G81/D81</f>
        <v>0</v>
      </c>
      <c r="L81" s="113" t="s">
        <v>1792</v>
      </c>
      <c r="M81" s="113" t="s">
        <v>2319</v>
      </c>
      <c r="N81" s="151" t="s">
        <v>2381</v>
      </c>
    </row>
  </sheetData>
  <mergeCells count="84">
    <mergeCell ref="B77:B80"/>
    <mergeCell ref="A77:A80"/>
    <mergeCell ref="L76:L80"/>
    <mergeCell ref="M76:M80"/>
    <mergeCell ref="N76:N80"/>
    <mergeCell ref="N21:N24"/>
    <mergeCell ref="A55:A59"/>
    <mergeCell ref="B56:B59"/>
    <mergeCell ref="A53:A54"/>
    <mergeCell ref="A49:A52"/>
    <mergeCell ref="B50:B52"/>
    <mergeCell ref="A21:A24"/>
    <mergeCell ref="B22:B24"/>
    <mergeCell ref="A46:A48"/>
    <mergeCell ref="B47:B48"/>
    <mergeCell ref="A25:A33"/>
    <mergeCell ref="A42:A45"/>
    <mergeCell ref="B43:B45"/>
    <mergeCell ref="A37:A41"/>
    <mergeCell ref="B38:B41"/>
    <mergeCell ref="A34:A36"/>
    <mergeCell ref="B35:B36"/>
    <mergeCell ref="B26:B33"/>
    <mergeCell ref="A7:A9"/>
    <mergeCell ref="B8:B9"/>
    <mergeCell ref="A10:A14"/>
    <mergeCell ref="B11:B14"/>
    <mergeCell ref="B16:B20"/>
    <mergeCell ref="A15:A20"/>
    <mergeCell ref="I4:I5"/>
    <mergeCell ref="L7:L9"/>
    <mergeCell ref="M7:M9"/>
    <mergeCell ref="A1:N1"/>
    <mergeCell ref="A2:N2"/>
    <mergeCell ref="A6:C6"/>
    <mergeCell ref="A4:A5"/>
    <mergeCell ref="B4:B5"/>
    <mergeCell ref="C4:C5"/>
    <mergeCell ref="N4:N5"/>
    <mergeCell ref="D4:D5"/>
    <mergeCell ref="E4:G4"/>
    <mergeCell ref="H4:H5"/>
    <mergeCell ref="L4:L5"/>
    <mergeCell ref="M4:M5"/>
    <mergeCell ref="K4:K5"/>
    <mergeCell ref="J4:J5"/>
    <mergeCell ref="L34:L36"/>
    <mergeCell ref="L10:L14"/>
    <mergeCell ref="M10:M14"/>
    <mergeCell ref="N10:N14"/>
    <mergeCell ref="M34:M36"/>
    <mergeCell ref="N34:N36"/>
    <mergeCell ref="L25:L33"/>
    <mergeCell ref="M25:M33"/>
    <mergeCell ref="N25:N33"/>
    <mergeCell ref="N7:N9"/>
    <mergeCell ref="L15:L20"/>
    <mergeCell ref="M15:M20"/>
    <mergeCell ref="N15:N20"/>
    <mergeCell ref="L21:L24"/>
    <mergeCell ref="M21:M24"/>
    <mergeCell ref="L37:L41"/>
    <mergeCell ref="M37:M41"/>
    <mergeCell ref="N37:N41"/>
    <mergeCell ref="L42:L45"/>
    <mergeCell ref="M42:M45"/>
    <mergeCell ref="N42:N45"/>
    <mergeCell ref="L46:L48"/>
    <mergeCell ref="M46:M48"/>
    <mergeCell ref="N46:N48"/>
    <mergeCell ref="L49:L52"/>
    <mergeCell ref="M49:M52"/>
    <mergeCell ref="N49:N52"/>
    <mergeCell ref="L53:L54"/>
    <mergeCell ref="M53:M54"/>
    <mergeCell ref="N53:N54"/>
    <mergeCell ref="L55:L59"/>
    <mergeCell ref="M55:M59"/>
    <mergeCell ref="N55:N59"/>
    <mergeCell ref="N64:N68"/>
    <mergeCell ref="B65:B68"/>
    <mergeCell ref="A65:A68"/>
    <mergeCell ref="L64:L68"/>
    <mergeCell ref="M64:M68"/>
  </mergeCells>
  <printOptions horizontalCentered="1"/>
  <pageMargins left="0.39370078740157483" right="0.39370078740157483" top="0.27559055118110237" bottom="0.39370078740157483" header="0.19685039370078741" footer="0.31496062992125984"/>
  <pageSetup paperSize="9" scale="51" fitToHeight="5" orientation="landscape" horizontalDpi="200" verticalDpi="200" r:id="rId1"/>
  <rowBreaks count="2" manualBreakCount="2">
    <brk id="45" max="13" man="1"/>
    <brk id="59" max="1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49927-E12C-394F-8BE7-DD797D95AAA3}">
  <sheetPr>
    <pageSetUpPr fitToPage="1"/>
  </sheetPr>
  <dimension ref="A1:C16"/>
  <sheetViews>
    <sheetView view="pageBreakPreview" zoomScale="130" zoomScaleNormal="100" zoomScaleSheetLayoutView="130" workbookViewId="0">
      <selection sqref="A1:C1"/>
    </sheetView>
  </sheetViews>
  <sheetFormatPr baseColWidth="10" defaultColWidth="10.83203125" defaultRowHeight="15" x14ac:dyDescent="0.2"/>
  <cols>
    <col min="1" max="1" width="4.1640625" style="110" bestFit="1" customWidth="1"/>
    <col min="2" max="2" width="72.1640625" style="110" customWidth="1"/>
    <col min="3" max="3" width="19" style="110" customWidth="1"/>
    <col min="4" max="16384" width="10.83203125" style="110"/>
  </cols>
  <sheetData>
    <row r="1" spans="1:3" ht="19" x14ac:dyDescent="0.2">
      <c r="A1" s="215" t="s">
        <v>1877</v>
      </c>
      <c r="B1" s="203"/>
      <c r="C1" s="203"/>
    </row>
    <row r="3" spans="1:3" ht="68" x14ac:dyDescent="0.2">
      <c r="A3" s="160" t="s">
        <v>272</v>
      </c>
      <c r="B3" s="160" t="s">
        <v>1798</v>
      </c>
      <c r="C3" s="160" t="s">
        <v>2149</v>
      </c>
    </row>
    <row r="4" spans="1:3" ht="26" customHeight="1" x14ac:dyDescent="0.2">
      <c r="A4" s="161">
        <v>1</v>
      </c>
      <c r="B4" s="162" t="s">
        <v>1876</v>
      </c>
      <c r="C4" s="161">
        <v>1</v>
      </c>
    </row>
    <row r="5" spans="1:3" ht="26" customHeight="1" x14ac:dyDescent="0.2">
      <c r="A5" s="161">
        <v>2</v>
      </c>
      <c r="B5" s="162" t="s">
        <v>2151</v>
      </c>
      <c r="C5" s="161">
        <v>1</v>
      </c>
    </row>
    <row r="6" spans="1:3" ht="26" customHeight="1" x14ac:dyDescent="0.2">
      <c r="A6" s="161">
        <v>3</v>
      </c>
      <c r="B6" s="162" t="s">
        <v>2152</v>
      </c>
      <c r="C6" s="161">
        <v>1</v>
      </c>
    </row>
    <row r="7" spans="1:3" ht="26" customHeight="1" x14ac:dyDescent="0.2">
      <c r="A7" s="161">
        <v>4</v>
      </c>
      <c r="B7" s="162" t="s">
        <v>1882</v>
      </c>
      <c r="C7" s="161">
        <v>1</v>
      </c>
    </row>
    <row r="8" spans="1:3" ht="34" x14ac:dyDescent="0.2">
      <c r="A8" s="161">
        <v>5</v>
      </c>
      <c r="B8" s="162" t="s">
        <v>1880</v>
      </c>
      <c r="C8" s="161">
        <v>1</v>
      </c>
    </row>
    <row r="9" spans="1:3" ht="51" x14ac:dyDescent="0.2">
      <c r="A9" s="161">
        <v>6</v>
      </c>
      <c r="B9" s="162" t="s">
        <v>1878</v>
      </c>
      <c r="C9" s="161">
        <v>0</v>
      </c>
    </row>
    <row r="10" spans="1:3" ht="34" x14ac:dyDescent="0.2">
      <c r="A10" s="161">
        <v>7</v>
      </c>
      <c r="B10" s="162" t="s">
        <v>1875</v>
      </c>
      <c r="C10" s="161">
        <v>0</v>
      </c>
    </row>
    <row r="11" spans="1:3" ht="34" x14ac:dyDescent="0.2">
      <c r="A11" s="161">
        <v>8</v>
      </c>
      <c r="B11" s="162" t="s">
        <v>1879</v>
      </c>
      <c r="C11" s="161">
        <v>0</v>
      </c>
    </row>
    <row r="12" spans="1:3" ht="51" x14ac:dyDescent="0.2">
      <c r="A12" s="161">
        <v>9</v>
      </c>
      <c r="B12" s="162" t="s">
        <v>1881</v>
      </c>
      <c r="C12" s="161">
        <v>0</v>
      </c>
    </row>
    <row r="13" spans="1:3" ht="68" x14ac:dyDescent="0.2">
      <c r="A13" s="161">
        <v>10</v>
      </c>
      <c r="B13" s="162" t="s">
        <v>1796</v>
      </c>
      <c r="C13" s="161">
        <v>0</v>
      </c>
    </row>
    <row r="14" spans="1:3" ht="34" x14ac:dyDescent="0.2">
      <c r="A14" s="161">
        <v>11</v>
      </c>
      <c r="B14" s="162" t="s">
        <v>1853</v>
      </c>
      <c r="C14" s="161">
        <v>0</v>
      </c>
    </row>
    <row r="15" spans="1:3" ht="51" x14ac:dyDescent="0.2">
      <c r="A15" s="161">
        <v>12</v>
      </c>
      <c r="B15" s="162" t="s">
        <v>2190</v>
      </c>
      <c r="C15" s="161">
        <v>1</v>
      </c>
    </row>
    <row r="16" spans="1:3" ht="34" x14ac:dyDescent="0.2">
      <c r="A16" s="161">
        <v>13</v>
      </c>
      <c r="B16" s="162" t="s">
        <v>1852</v>
      </c>
      <c r="C16" s="161">
        <v>0</v>
      </c>
    </row>
  </sheetData>
  <autoFilter ref="A3:C3" xr:uid="{33849927-E12C-394F-8BE7-DD797D95AAA3}">
    <sortState xmlns:xlrd2="http://schemas.microsoft.com/office/spreadsheetml/2017/richdata2" ref="A4:C15">
      <sortCondition descending="1" ref="C3:C15"/>
    </sortState>
  </autoFilter>
  <mergeCells count="1">
    <mergeCell ref="A1:C1"/>
  </mergeCells>
  <printOptions horizontalCentered="1"/>
  <pageMargins left="0.27559055118110237" right="0.35433070866141736" top="0.74803149606299213" bottom="0.74803149606299213" header="0.31496062992125984" footer="0.31496062992125984"/>
  <pageSetup paperSize="9" scale="9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K85"/>
  <sheetViews>
    <sheetView view="pageBreakPreview" zoomScale="55" zoomScaleNormal="100" zoomScaleSheetLayoutView="55" workbookViewId="0">
      <selection activeCell="A4" sqref="A4:E4"/>
    </sheetView>
  </sheetViews>
  <sheetFormatPr baseColWidth="10" defaultColWidth="11.5" defaultRowHeight="15" x14ac:dyDescent="0.2"/>
  <cols>
    <col min="2" max="2" width="65.1640625" customWidth="1"/>
    <col min="3" max="3" width="17.5" hidden="1" customWidth="1"/>
    <col min="4" max="4" width="17.5" bestFit="1" customWidth="1"/>
    <col min="5" max="5" width="21.6640625" customWidth="1"/>
    <col min="6" max="6" width="23.5" customWidth="1"/>
    <col min="7" max="7" width="20.1640625" customWidth="1"/>
    <col min="8" max="8" width="0.83203125" customWidth="1"/>
    <col min="9" max="9" width="1.6640625" style="57" customWidth="1"/>
  </cols>
  <sheetData>
    <row r="1" spans="1:11" ht="20" x14ac:dyDescent="0.2">
      <c r="A1" s="222" t="s">
        <v>446</v>
      </c>
      <c r="B1" s="222"/>
      <c r="C1" s="222"/>
      <c r="D1" s="222"/>
      <c r="E1" s="222"/>
      <c r="F1" s="222"/>
      <c r="G1" s="222"/>
    </row>
    <row r="3" spans="1:11" ht="68" x14ac:dyDescent="0.2">
      <c r="A3" s="30" t="s">
        <v>272</v>
      </c>
      <c r="B3" s="30" t="s">
        <v>136</v>
      </c>
      <c r="C3" s="30" t="s">
        <v>271</v>
      </c>
      <c r="D3" s="33" t="s">
        <v>304</v>
      </c>
      <c r="E3" s="37" t="s">
        <v>460</v>
      </c>
      <c r="F3" s="37" t="s">
        <v>461</v>
      </c>
      <c r="G3" s="37" t="s">
        <v>462</v>
      </c>
      <c r="I3" s="95" t="s">
        <v>428</v>
      </c>
    </row>
    <row r="4" spans="1:11" ht="24" x14ac:dyDescent="0.25">
      <c r="A4" s="223" t="s">
        <v>575</v>
      </c>
      <c r="B4" s="223"/>
      <c r="C4" s="223"/>
      <c r="D4" s="223"/>
      <c r="E4" s="223"/>
      <c r="F4" s="94" t="s">
        <v>463</v>
      </c>
      <c r="G4" s="44" t="s">
        <v>464</v>
      </c>
      <c r="I4" s="96"/>
      <c r="J4" s="45"/>
      <c r="K4" s="45"/>
    </row>
    <row r="5" spans="1:11" ht="17" x14ac:dyDescent="0.2">
      <c r="A5" s="40">
        <v>1</v>
      </c>
      <c r="B5" s="31" t="s">
        <v>427</v>
      </c>
      <c r="C5" s="25"/>
      <c r="D5" s="30"/>
      <c r="E5" s="35"/>
      <c r="F5" s="35"/>
      <c r="G5" s="35"/>
      <c r="I5" s="97"/>
    </row>
    <row r="6" spans="1:11" ht="60.5" customHeight="1" x14ac:dyDescent="0.2">
      <c r="A6" s="25" t="s">
        <v>426</v>
      </c>
      <c r="B6" s="26" t="s">
        <v>269</v>
      </c>
      <c r="C6" s="25" t="s">
        <v>181</v>
      </c>
      <c r="D6" s="25">
        <v>1</v>
      </c>
      <c r="E6" s="38" t="s">
        <v>465</v>
      </c>
      <c r="F6" s="216" t="s">
        <v>1793</v>
      </c>
      <c r="G6" s="216" t="s">
        <v>357</v>
      </c>
      <c r="I6" s="97" t="s">
        <v>357</v>
      </c>
    </row>
    <row r="7" spans="1:11" ht="52" customHeight="1" x14ac:dyDescent="0.2">
      <c r="A7" s="25" t="s">
        <v>425</v>
      </c>
      <c r="B7" s="26" t="s">
        <v>266</v>
      </c>
      <c r="C7" s="27" t="s">
        <v>180</v>
      </c>
      <c r="D7" s="25"/>
      <c r="E7" s="216" t="s">
        <v>466</v>
      </c>
      <c r="F7" s="216"/>
      <c r="G7" s="216"/>
      <c r="I7" s="97" t="s">
        <v>357</v>
      </c>
    </row>
    <row r="8" spans="1:11" ht="50" customHeight="1" x14ac:dyDescent="0.2">
      <c r="A8" s="25" t="s">
        <v>424</v>
      </c>
      <c r="B8" s="26" t="s">
        <v>265</v>
      </c>
      <c r="C8" s="25" t="s">
        <v>181</v>
      </c>
      <c r="D8" s="25"/>
      <c r="E8" s="216"/>
      <c r="F8" s="216"/>
      <c r="G8" s="216"/>
      <c r="I8" s="97" t="s">
        <v>357</v>
      </c>
    </row>
    <row r="9" spans="1:11" ht="17" x14ac:dyDescent="0.2">
      <c r="A9" s="40">
        <v>2</v>
      </c>
      <c r="B9" s="28" t="s">
        <v>423</v>
      </c>
      <c r="C9" s="25"/>
      <c r="D9" s="25"/>
      <c r="E9" s="38"/>
      <c r="F9" s="32"/>
      <c r="G9" s="35"/>
      <c r="I9" s="97"/>
    </row>
    <row r="10" spans="1:11" ht="30" x14ac:dyDescent="0.2">
      <c r="A10" s="25" t="s">
        <v>422</v>
      </c>
      <c r="B10" s="26" t="s">
        <v>337</v>
      </c>
      <c r="C10" s="25" t="s">
        <v>180</v>
      </c>
      <c r="D10" s="25"/>
      <c r="E10" s="38" t="s">
        <v>466</v>
      </c>
      <c r="F10" s="224" t="s">
        <v>429</v>
      </c>
      <c r="G10" s="216" t="s">
        <v>410</v>
      </c>
      <c r="I10" s="97" t="s">
        <v>410</v>
      </c>
    </row>
    <row r="11" spans="1:11" ht="30" x14ac:dyDescent="0.2">
      <c r="A11" s="25" t="s">
        <v>546</v>
      </c>
      <c r="B11" s="26" t="s">
        <v>261</v>
      </c>
      <c r="C11" s="25" t="s">
        <v>180</v>
      </c>
      <c r="D11" s="25"/>
      <c r="E11" s="38" t="s">
        <v>466</v>
      </c>
      <c r="F11" s="224"/>
      <c r="G11" s="216"/>
      <c r="I11" s="97" t="s">
        <v>410</v>
      </c>
      <c r="J11" t="s">
        <v>421</v>
      </c>
    </row>
    <row r="12" spans="1:11" ht="17" x14ac:dyDescent="0.2">
      <c r="A12" s="40">
        <v>3</v>
      </c>
      <c r="B12" s="28" t="s">
        <v>420</v>
      </c>
      <c r="C12" s="25"/>
      <c r="D12" s="25"/>
      <c r="E12" s="38"/>
      <c r="F12" s="32"/>
      <c r="G12" s="35"/>
      <c r="I12" s="97"/>
    </row>
    <row r="13" spans="1:11" ht="34" x14ac:dyDescent="0.2">
      <c r="A13" s="25" t="s">
        <v>419</v>
      </c>
      <c r="B13" s="26" t="s">
        <v>278</v>
      </c>
      <c r="C13" s="25" t="s">
        <v>180</v>
      </c>
      <c r="D13" s="25">
        <v>1</v>
      </c>
      <c r="E13" s="38" t="s">
        <v>449</v>
      </c>
      <c r="F13" s="41" t="s">
        <v>430</v>
      </c>
      <c r="G13" s="35" t="s">
        <v>418</v>
      </c>
      <c r="I13" s="97" t="s">
        <v>418</v>
      </c>
      <c r="J13" t="s">
        <v>417</v>
      </c>
    </row>
    <row r="14" spans="1:11" ht="17" x14ac:dyDescent="0.2">
      <c r="A14" s="40">
        <v>4</v>
      </c>
      <c r="B14" s="28" t="s">
        <v>416</v>
      </c>
      <c r="C14" s="25"/>
      <c r="D14" s="25"/>
      <c r="E14" s="38"/>
      <c r="F14" s="32"/>
      <c r="G14" s="35"/>
      <c r="I14" s="97"/>
    </row>
    <row r="15" spans="1:11" ht="51" x14ac:dyDescent="0.2">
      <c r="A15" s="25" t="s">
        <v>415</v>
      </c>
      <c r="B15" s="26" t="s">
        <v>279</v>
      </c>
      <c r="C15" s="25" t="s">
        <v>180</v>
      </c>
      <c r="D15" s="25">
        <v>1</v>
      </c>
      <c r="E15" s="216" t="s">
        <v>467</v>
      </c>
      <c r="F15" s="216" t="s">
        <v>431</v>
      </c>
      <c r="G15" s="216" t="s">
        <v>410</v>
      </c>
      <c r="I15" s="97" t="s">
        <v>410</v>
      </c>
      <c r="J15" t="s">
        <v>414</v>
      </c>
    </row>
    <row r="16" spans="1:11" ht="54" x14ac:dyDescent="0.2">
      <c r="A16" s="25" t="s">
        <v>413</v>
      </c>
      <c r="B16" s="36" t="s">
        <v>280</v>
      </c>
      <c r="C16" s="25" t="s">
        <v>180</v>
      </c>
      <c r="D16" s="25"/>
      <c r="E16" s="216"/>
      <c r="F16" s="216"/>
      <c r="G16" s="216"/>
      <c r="I16" s="97" t="s">
        <v>410</v>
      </c>
    </row>
    <row r="17" spans="1:10" ht="17" x14ac:dyDescent="0.2">
      <c r="A17" s="40">
        <v>5</v>
      </c>
      <c r="B17" s="28" t="s">
        <v>412</v>
      </c>
      <c r="C17" s="25"/>
      <c r="D17" s="25"/>
      <c r="E17" s="38"/>
      <c r="F17" s="32"/>
      <c r="G17" s="35"/>
      <c r="I17" s="97"/>
    </row>
    <row r="18" spans="1:10" ht="17" x14ac:dyDescent="0.2">
      <c r="A18" s="25" t="s">
        <v>411</v>
      </c>
      <c r="B18" s="26" t="s">
        <v>281</v>
      </c>
      <c r="C18" s="25" t="s">
        <v>180</v>
      </c>
      <c r="D18" s="25">
        <v>1</v>
      </c>
      <c r="E18" s="216" t="s">
        <v>467</v>
      </c>
      <c r="F18" s="216" t="s">
        <v>432</v>
      </c>
      <c r="G18" s="216" t="s">
        <v>410</v>
      </c>
      <c r="I18" s="97" t="s">
        <v>410</v>
      </c>
      <c r="J18" t="s">
        <v>409</v>
      </c>
    </row>
    <row r="19" spans="1:10" ht="17" x14ac:dyDescent="0.2">
      <c r="A19" s="25" t="s">
        <v>408</v>
      </c>
      <c r="B19" s="26" t="s">
        <v>282</v>
      </c>
      <c r="C19" s="25" t="s">
        <v>179</v>
      </c>
      <c r="D19" s="25">
        <v>1</v>
      </c>
      <c r="E19" s="216"/>
      <c r="F19" s="217"/>
      <c r="G19" s="216"/>
      <c r="I19" s="97" t="s">
        <v>410</v>
      </c>
    </row>
    <row r="20" spans="1:10" ht="17" x14ac:dyDescent="0.2">
      <c r="A20" s="25" t="s">
        <v>407</v>
      </c>
      <c r="B20" s="26" t="s">
        <v>284</v>
      </c>
      <c r="C20" s="25" t="s">
        <v>179</v>
      </c>
      <c r="D20" s="25">
        <v>1</v>
      </c>
      <c r="E20" s="216"/>
      <c r="F20" s="217"/>
      <c r="G20" s="216"/>
      <c r="I20" s="97" t="s">
        <v>410</v>
      </c>
    </row>
    <row r="21" spans="1:10" ht="34" x14ac:dyDescent="0.2">
      <c r="A21" s="40">
        <v>6</v>
      </c>
      <c r="B21" s="28" t="s">
        <v>406</v>
      </c>
      <c r="C21" s="25"/>
      <c r="D21" s="25"/>
      <c r="E21" s="38"/>
      <c r="F21" s="32"/>
      <c r="G21" s="35"/>
      <c r="I21" s="97"/>
    </row>
    <row r="22" spans="1:10" ht="34" x14ac:dyDescent="0.2">
      <c r="A22" s="25" t="s">
        <v>405</v>
      </c>
      <c r="B22" s="26" t="s">
        <v>248</v>
      </c>
      <c r="C22" s="25" t="s">
        <v>180</v>
      </c>
      <c r="D22" s="25">
        <v>1</v>
      </c>
      <c r="E22" s="216" t="s">
        <v>466</v>
      </c>
      <c r="F22" s="216" t="s">
        <v>433</v>
      </c>
      <c r="G22" s="216" t="s">
        <v>404</v>
      </c>
      <c r="I22" s="97" t="s">
        <v>404</v>
      </c>
      <c r="J22" t="s">
        <v>403</v>
      </c>
    </row>
    <row r="23" spans="1:10" ht="34" x14ac:dyDescent="0.2">
      <c r="A23" s="25" t="s">
        <v>548</v>
      </c>
      <c r="B23" s="26" t="s">
        <v>247</v>
      </c>
      <c r="C23" s="25" t="s">
        <v>180</v>
      </c>
      <c r="D23" s="25">
        <v>1</v>
      </c>
      <c r="E23" s="216"/>
      <c r="F23" s="216"/>
      <c r="G23" s="216"/>
      <c r="I23" s="97" t="s">
        <v>404</v>
      </c>
    </row>
    <row r="24" spans="1:10" ht="17" x14ac:dyDescent="0.2">
      <c r="A24" s="25" t="s">
        <v>549</v>
      </c>
      <c r="B24" s="26" t="s">
        <v>246</v>
      </c>
      <c r="C24" s="25" t="s">
        <v>180</v>
      </c>
      <c r="D24" s="25"/>
      <c r="E24" s="216"/>
      <c r="F24" s="216"/>
      <c r="G24" s="216"/>
      <c r="I24" s="97" t="s">
        <v>404</v>
      </c>
    </row>
    <row r="25" spans="1:10" ht="34" x14ac:dyDescent="0.2">
      <c r="A25" s="25" t="s">
        <v>550</v>
      </c>
      <c r="B25" s="26" t="s">
        <v>245</v>
      </c>
      <c r="C25" s="25" t="s">
        <v>180</v>
      </c>
      <c r="D25" s="25"/>
      <c r="E25" s="216"/>
      <c r="F25" s="216"/>
      <c r="G25" s="216"/>
      <c r="I25" s="97" t="s">
        <v>404</v>
      </c>
    </row>
    <row r="26" spans="1:10" ht="34" x14ac:dyDescent="0.2">
      <c r="A26" s="40">
        <v>7</v>
      </c>
      <c r="B26" s="28" t="s">
        <v>402</v>
      </c>
      <c r="C26" s="25"/>
      <c r="D26" s="25"/>
      <c r="E26" s="38"/>
      <c r="F26" s="32"/>
      <c r="G26" s="35"/>
      <c r="I26" s="97"/>
    </row>
    <row r="27" spans="1:10" ht="52.5" customHeight="1" x14ac:dyDescent="0.2">
      <c r="A27" s="25" t="s">
        <v>401</v>
      </c>
      <c r="B27" s="26" t="s">
        <v>243</v>
      </c>
      <c r="C27" s="25" t="s">
        <v>182</v>
      </c>
      <c r="D27" s="25"/>
      <c r="E27" s="38" t="s">
        <v>467</v>
      </c>
      <c r="F27" s="38" t="s">
        <v>434</v>
      </c>
      <c r="G27" s="35" t="s">
        <v>378</v>
      </c>
      <c r="I27" s="97" t="s">
        <v>378</v>
      </c>
      <c r="J27" t="s">
        <v>400</v>
      </c>
    </row>
    <row r="28" spans="1:10" ht="17" x14ac:dyDescent="0.2">
      <c r="A28" s="40">
        <v>8</v>
      </c>
      <c r="B28" s="28" t="s">
        <v>399</v>
      </c>
      <c r="C28" s="25"/>
      <c r="D28" s="25"/>
      <c r="E28" s="38"/>
      <c r="F28" s="32"/>
      <c r="G28" s="35"/>
      <c r="I28" s="97"/>
    </row>
    <row r="29" spans="1:10" ht="51" x14ac:dyDescent="0.2">
      <c r="A29" s="25" t="s">
        <v>398</v>
      </c>
      <c r="B29" s="26" t="s">
        <v>468</v>
      </c>
      <c r="C29" s="25" t="s">
        <v>180</v>
      </c>
      <c r="D29" s="25"/>
      <c r="E29" s="38" t="s">
        <v>466</v>
      </c>
      <c r="F29" s="38" t="s">
        <v>435</v>
      </c>
      <c r="G29" s="35" t="s">
        <v>362</v>
      </c>
      <c r="I29" s="97" t="s">
        <v>362</v>
      </c>
      <c r="J29" t="s">
        <v>397</v>
      </c>
    </row>
    <row r="30" spans="1:10" ht="17" x14ac:dyDescent="0.2">
      <c r="A30" s="40">
        <v>9</v>
      </c>
      <c r="B30" s="28" t="s">
        <v>396</v>
      </c>
      <c r="C30" s="25"/>
      <c r="D30" s="25"/>
      <c r="E30" s="38"/>
      <c r="F30" s="32"/>
      <c r="G30" s="35"/>
      <c r="I30" s="97"/>
    </row>
    <row r="31" spans="1:10" ht="34" x14ac:dyDescent="0.2">
      <c r="A31" s="25" t="s">
        <v>395</v>
      </c>
      <c r="B31" s="26" t="s">
        <v>236</v>
      </c>
      <c r="C31" s="25" t="s">
        <v>179</v>
      </c>
      <c r="D31" s="25">
        <v>1</v>
      </c>
      <c r="E31" s="216" t="s">
        <v>586</v>
      </c>
      <c r="F31" s="216" t="s">
        <v>436</v>
      </c>
      <c r="G31" s="216" t="s">
        <v>351</v>
      </c>
      <c r="I31" s="97" t="s">
        <v>351</v>
      </c>
      <c r="J31" t="s">
        <v>394</v>
      </c>
    </row>
    <row r="32" spans="1:10" ht="34" x14ac:dyDescent="0.2">
      <c r="A32" s="25" t="s">
        <v>391</v>
      </c>
      <c r="B32" s="26" t="s">
        <v>233</v>
      </c>
      <c r="C32" s="25" t="s">
        <v>180</v>
      </c>
      <c r="D32" s="25">
        <v>1</v>
      </c>
      <c r="E32" s="216"/>
      <c r="F32" s="216"/>
      <c r="G32" s="216"/>
      <c r="I32" s="97" t="s">
        <v>351</v>
      </c>
    </row>
    <row r="33" spans="1:10" ht="34" x14ac:dyDescent="0.2">
      <c r="A33" s="25" t="s">
        <v>393</v>
      </c>
      <c r="B33" s="26" t="s">
        <v>235</v>
      </c>
      <c r="C33" s="25" t="s">
        <v>182</v>
      </c>
      <c r="D33" s="93">
        <v>1</v>
      </c>
      <c r="E33" s="216" t="s">
        <v>587</v>
      </c>
      <c r="F33" s="216"/>
      <c r="G33" s="216"/>
      <c r="I33" s="97" t="s">
        <v>351</v>
      </c>
    </row>
    <row r="34" spans="1:10" ht="17" x14ac:dyDescent="0.2">
      <c r="A34" s="25" t="s">
        <v>392</v>
      </c>
      <c r="B34" s="26" t="s">
        <v>234</v>
      </c>
      <c r="C34" s="25" t="s">
        <v>182</v>
      </c>
      <c r="D34" s="93">
        <v>1</v>
      </c>
      <c r="E34" s="216"/>
      <c r="F34" s="216"/>
      <c r="G34" s="216"/>
      <c r="I34" s="97" t="s">
        <v>351</v>
      </c>
    </row>
    <row r="35" spans="1:10" ht="17" x14ac:dyDescent="0.2">
      <c r="A35" s="27">
        <v>10</v>
      </c>
      <c r="B35" s="28" t="s">
        <v>390</v>
      </c>
      <c r="C35" s="25"/>
      <c r="D35" s="25"/>
      <c r="E35" s="38"/>
      <c r="F35" s="32"/>
      <c r="G35" s="35"/>
      <c r="I35" s="97"/>
    </row>
    <row r="36" spans="1:10" ht="34" x14ac:dyDescent="0.2">
      <c r="A36" s="25" t="s">
        <v>389</v>
      </c>
      <c r="B36" s="26" t="s">
        <v>227</v>
      </c>
      <c r="C36" s="25" t="s">
        <v>182</v>
      </c>
      <c r="D36" s="25"/>
      <c r="E36" s="216" t="s">
        <v>466</v>
      </c>
      <c r="F36" s="216" t="s">
        <v>437</v>
      </c>
      <c r="G36" s="216" t="s">
        <v>351</v>
      </c>
      <c r="I36" s="97" t="s">
        <v>351</v>
      </c>
      <c r="J36" t="s">
        <v>388</v>
      </c>
    </row>
    <row r="37" spans="1:10" ht="17" x14ac:dyDescent="0.2">
      <c r="A37" s="25" t="s">
        <v>551</v>
      </c>
      <c r="B37" s="26" t="s">
        <v>338</v>
      </c>
      <c r="C37" s="25" t="s">
        <v>182</v>
      </c>
      <c r="D37" s="25"/>
      <c r="E37" s="216"/>
      <c r="F37" s="216"/>
      <c r="G37" s="216"/>
      <c r="I37" s="97" t="s">
        <v>351</v>
      </c>
    </row>
    <row r="38" spans="1:10" ht="17" x14ac:dyDescent="0.2">
      <c r="A38" s="40">
        <v>11</v>
      </c>
      <c r="B38" s="28" t="s">
        <v>387</v>
      </c>
      <c r="C38" s="25"/>
      <c r="D38" s="25"/>
      <c r="E38" s="38"/>
      <c r="F38" s="98"/>
      <c r="G38" s="35"/>
      <c r="I38" s="97"/>
    </row>
    <row r="39" spans="1:10" ht="41" customHeight="1" x14ac:dyDescent="0.2">
      <c r="A39" s="25" t="s">
        <v>386</v>
      </c>
      <c r="B39" s="29" t="s">
        <v>217</v>
      </c>
      <c r="C39" s="25" t="s">
        <v>182</v>
      </c>
      <c r="D39" s="25"/>
      <c r="E39" s="38" t="s">
        <v>466</v>
      </c>
      <c r="F39" s="35" t="s">
        <v>438</v>
      </c>
      <c r="G39" s="35" t="s">
        <v>340</v>
      </c>
      <c r="I39" s="97" t="s">
        <v>340</v>
      </c>
      <c r="J39" t="s">
        <v>385</v>
      </c>
    </row>
    <row r="40" spans="1:10" ht="23.5" customHeight="1" x14ac:dyDescent="0.2">
      <c r="A40" s="40">
        <v>12</v>
      </c>
      <c r="B40" s="28" t="s">
        <v>384</v>
      </c>
      <c r="C40" s="25"/>
      <c r="D40" s="25"/>
      <c r="E40" s="38"/>
      <c r="F40" s="32"/>
      <c r="G40" s="35"/>
      <c r="I40" s="97"/>
    </row>
    <row r="41" spans="1:10" ht="38" customHeight="1" x14ac:dyDescent="0.2">
      <c r="A41" s="25" t="s">
        <v>383</v>
      </c>
      <c r="B41" s="26" t="s">
        <v>208</v>
      </c>
      <c r="C41" s="25" t="s">
        <v>182</v>
      </c>
      <c r="D41" s="25">
        <v>1</v>
      </c>
      <c r="E41" s="216" t="s">
        <v>467</v>
      </c>
      <c r="F41" s="216" t="s">
        <v>439</v>
      </c>
      <c r="G41" s="216" t="s">
        <v>340</v>
      </c>
      <c r="I41" s="97" t="s">
        <v>340</v>
      </c>
      <c r="J41" t="s">
        <v>382</v>
      </c>
    </row>
    <row r="42" spans="1:10" ht="34" x14ac:dyDescent="0.2">
      <c r="A42" s="25" t="s">
        <v>381</v>
      </c>
      <c r="B42" s="26" t="s">
        <v>303</v>
      </c>
      <c r="C42" s="25" t="s">
        <v>182</v>
      </c>
      <c r="D42" s="25">
        <v>1</v>
      </c>
      <c r="E42" s="216"/>
      <c r="F42" s="216"/>
      <c r="G42" s="216"/>
      <c r="I42" s="97" t="s">
        <v>340</v>
      </c>
    </row>
    <row r="43" spans="1:10" ht="17" x14ac:dyDescent="0.2">
      <c r="A43" s="40">
        <v>13</v>
      </c>
      <c r="B43" s="28" t="s">
        <v>380</v>
      </c>
      <c r="C43" s="25"/>
      <c r="D43" s="25"/>
      <c r="E43" s="38"/>
      <c r="F43" s="32"/>
      <c r="G43" s="35"/>
      <c r="I43" s="97"/>
    </row>
    <row r="44" spans="1:10" ht="34" x14ac:dyDescent="0.2">
      <c r="A44" s="25" t="s">
        <v>379</v>
      </c>
      <c r="B44" s="29" t="s">
        <v>206</v>
      </c>
      <c r="C44" s="25" t="s">
        <v>180</v>
      </c>
      <c r="D44" s="25"/>
      <c r="E44" s="216" t="s">
        <v>466</v>
      </c>
      <c r="F44" s="216" t="s">
        <v>440</v>
      </c>
      <c r="G44" s="216" t="s">
        <v>378</v>
      </c>
      <c r="I44" s="97" t="s">
        <v>378</v>
      </c>
      <c r="J44" t="s">
        <v>377</v>
      </c>
    </row>
    <row r="45" spans="1:10" ht="17" x14ac:dyDescent="0.2">
      <c r="A45" s="25" t="s">
        <v>376</v>
      </c>
      <c r="B45" s="29" t="s">
        <v>205</v>
      </c>
      <c r="C45" s="25" t="s">
        <v>180</v>
      </c>
      <c r="D45" s="25"/>
      <c r="E45" s="216"/>
      <c r="F45" s="216"/>
      <c r="G45" s="216"/>
      <c r="I45" s="97" t="s">
        <v>378</v>
      </c>
    </row>
    <row r="46" spans="1:10" ht="34" x14ac:dyDescent="0.2">
      <c r="A46" s="25" t="s">
        <v>375</v>
      </c>
      <c r="B46" s="26" t="s">
        <v>203</v>
      </c>
      <c r="C46" s="25" t="s">
        <v>180</v>
      </c>
      <c r="D46" s="25"/>
      <c r="E46" s="216"/>
      <c r="F46" s="216"/>
      <c r="G46" s="216"/>
      <c r="I46" s="97" t="s">
        <v>378</v>
      </c>
    </row>
    <row r="47" spans="1:10" ht="20" customHeight="1" x14ac:dyDescent="0.2">
      <c r="A47" s="40">
        <v>14</v>
      </c>
      <c r="B47" s="28" t="s">
        <v>374</v>
      </c>
      <c r="C47" s="25"/>
      <c r="D47" s="25"/>
      <c r="E47" s="38"/>
      <c r="F47" s="32"/>
      <c r="G47" s="35"/>
      <c r="I47" s="97"/>
    </row>
    <row r="48" spans="1:10" ht="34" x14ac:dyDescent="0.2">
      <c r="A48" s="25" t="s">
        <v>373</v>
      </c>
      <c r="B48" s="29" t="s">
        <v>201</v>
      </c>
      <c r="C48" s="25" t="s">
        <v>182</v>
      </c>
      <c r="D48" s="25"/>
      <c r="E48" s="216" t="s">
        <v>466</v>
      </c>
      <c r="F48" s="216" t="s">
        <v>441</v>
      </c>
      <c r="G48" s="216" t="s">
        <v>362</v>
      </c>
      <c r="I48" s="97" t="s">
        <v>362</v>
      </c>
      <c r="J48" t="s">
        <v>372</v>
      </c>
    </row>
    <row r="49" spans="1:10" ht="34" x14ac:dyDescent="0.2">
      <c r="A49" s="25" t="s">
        <v>371</v>
      </c>
      <c r="B49" s="26" t="s">
        <v>200</v>
      </c>
      <c r="C49" s="25" t="s">
        <v>182</v>
      </c>
      <c r="D49" s="25"/>
      <c r="E49" s="216"/>
      <c r="F49" s="216"/>
      <c r="G49" s="216"/>
      <c r="I49" s="97" t="s">
        <v>362</v>
      </c>
    </row>
    <row r="50" spans="1:10" ht="17" x14ac:dyDescent="0.2">
      <c r="A50" s="40">
        <v>15</v>
      </c>
      <c r="B50" s="28" t="s">
        <v>370</v>
      </c>
      <c r="C50" s="25"/>
      <c r="D50" s="25"/>
      <c r="E50" s="38"/>
      <c r="F50" s="32"/>
      <c r="G50" s="35"/>
      <c r="I50" s="97"/>
    </row>
    <row r="51" spans="1:10" ht="34" x14ac:dyDescent="0.2">
      <c r="A51" s="25" t="s">
        <v>369</v>
      </c>
      <c r="B51" s="29" t="s">
        <v>198</v>
      </c>
      <c r="C51" s="25" t="s">
        <v>182</v>
      </c>
      <c r="D51" s="25"/>
      <c r="E51" s="216" t="s">
        <v>469</v>
      </c>
      <c r="F51" s="216" t="s">
        <v>442</v>
      </c>
      <c r="G51" s="216" t="s">
        <v>357</v>
      </c>
      <c r="I51" s="97" t="s">
        <v>357</v>
      </c>
      <c r="J51" t="s">
        <v>368</v>
      </c>
    </row>
    <row r="52" spans="1:10" ht="34" x14ac:dyDescent="0.2">
      <c r="A52" s="25" t="s">
        <v>367</v>
      </c>
      <c r="B52" s="29" t="s">
        <v>197</v>
      </c>
      <c r="C52" s="25" t="s">
        <v>182</v>
      </c>
      <c r="D52" s="25"/>
      <c r="E52" s="216"/>
      <c r="F52" s="216"/>
      <c r="G52" s="216"/>
      <c r="I52" s="97" t="s">
        <v>357</v>
      </c>
    </row>
    <row r="53" spans="1:10" ht="17" x14ac:dyDescent="0.2">
      <c r="A53" s="25" t="s">
        <v>366</v>
      </c>
      <c r="B53" s="29" t="s">
        <v>196</v>
      </c>
      <c r="C53" s="25" t="s">
        <v>182</v>
      </c>
      <c r="D53" s="25"/>
      <c r="E53" s="216"/>
      <c r="F53" s="216"/>
      <c r="G53" s="216"/>
      <c r="I53" s="97" t="s">
        <v>357</v>
      </c>
    </row>
    <row r="54" spans="1:10" ht="17" x14ac:dyDescent="0.2">
      <c r="A54" s="25" t="s">
        <v>365</v>
      </c>
      <c r="B54" s="29" t="s">
        <v>470</v>
      </c>
      <c r="C54" s="25" t="s">
        <v>182</v>
      </c>
      <c r="D54" s="25"/>
      <c r="E54" s="216"/>
      <c r="F54" s="216"/>
      <c r="G54" s="216"/>
      <c r="I54" s="97" t="s">
        <v>357</v>
      </c>
    </row>
    <row r="55" spans="1:10" ht="17" x14ac:dyDescent="0.2">
      <c r="A55" s="40">
        <v>16</v>
      </c>
      <c r="B55" s="28" t="s">
        <v>364</v>
      </c>
      <c r="C55" s="25"/>
      <c r="D55" s="25"/>
      <c r="E55" s="38"/>
      <c r="F55" s="32"/>
      <c r="G55" s="35"/>
      <c r="I55" s="97"/>
    </row>
    <row r="56" spans="1:10" ht="34" x14ac:dyDescent="0.2">
      <c r="A56" s="25" t="s">
        <v>363</v>
      </c>
      <c r="B56" s="29" t="s">
        <v>471</v>
      </c>
      <c r="C56" s="25" t="s">
        <v>179</v>
      </c>
      <c r="D56" s="25"/>
      <c r="E56" s="216" t="s">
        <v>472</v>
      </c>
      <c r="F56" s="216" t="s">
        <v>443</v>
      </c>
      <c r="G56" s="216" t="s">
        <v>362</v>
      </c>
      <c r="I56" s="97" t="s">
        <v>362</v>
      </c>
      <c r="J56" t="s">
        <v>361</v>
      </c>
    </row>
    <row r="57" spans="1:10" ht="34" x14ac:dyDescent="0.2">
      <c r="A57" s="25" t="s">
        <v>360</v>
      </c>
      <c r="B57" s="26" t="s">
        <v>192</v>
      </c>
      <c r="C57" s="25" t="s">
        <v>180</v>
      </c>
      <c r="D57" s="25"/>
      <c r="E57" s="216"/>
      <c r="F57" s="217"/>
      <c r="G57" s="216"/>
      <c r="I57" s="97" t="s">
        <v>362</v>
      </c>
    </row>
    <row r="58" spans="1:10" ht="17" x14ac:dyDescent="0.2">
      <c r="A58" s="40">
        <v>17</v>
      </c>
      <c r="B58" s="28" t="s">
        <v>359</v>
      </c>
      <c r="C58" s="25"/>
      <c r="D58" s="25"/>
      <c r="E58" s="38"/>
      <c r="F58" s="32"/>
      <c r="G58" s="35"/>
      <c r="I58" s="97"/>
    </row>
    <row r="59" spans="1:10" ht="34" x14ac:dyDescent="0.2">
      <c r="A59" s="25" t="s">
        <v>358</v>
      </c>
      <c r="B59" s="26" t="s">
        <v>190</v>
      </c>
      <c r="C59" s="25" t="s">
        <v>182</v>
      </c>
      <c r="D59" s="25"/>
      <c r="E59" s="216" t="s">
        <v>473</v>
      </c>
      <c r="F59" s="216" t="s">
        <v>444</v>
      </c>
      <c r="G59" s="216" t="s">
        <v>357</v>
      </c>
      <c r="I59" s="97" t="s">
        <v>357</v>
      </c>
      <c r="J59" t="s">
        <v>356</v>
      </c>
    </row>
    <row r="60" spans="1:10" ht="34" x14ac:dyDescent="0.2">
      <c r="A60" s="25" t="s">
        <v>355</v>
      </c>
      <c r="B60" s="26" t="s">
        <v>189</v>
      </c>
      <c r="C60" s="25" t="s">
        <v>182</v>
      </c>
      <c r="D60" s="25"/>
      <c r="E60" s="216"/>
      <c r="F60" s="217"/>
      <c r="G60" s="216"/>
      <c r="I60" s="97" t="s">
        <v>357</v>
      </c>
    </row>
    <row r="61" spans="1:10" ht="17" x14ac:dyDescent="0.2">
      <c r="A61" s="25" t="s">
        <v>354</v>
      </c>
      <c r="B61" s="26" t="s">
        <v>188</v>
      </c>
      <c r="C61" s="25" t="s">
        <v>182</v>
      </c>
      <c r="D61" s="25"/>
      <c r="E61" s="216"/>
      <c r="F61" s="217"/>
      <c r="G61" s="216"/>
      <c r="I61" s="97" t="s">
        <v>357</v>
      </c>
    </row>
    <row r="62" spans="1:10" ht="17" x14ac:dyDescent="0.2">
      <c r="A62" s="39">
        <v>18</v>
      </c>
      <c r="B62" s="24" t="s">
        <v>353</v>
      </c>
      <c r="C62" s="22"/>
      <c r="D62" s="22"/>
      <c r="E62" s="38"/>
      <c r="F62" s="32"/>
      <c r="G62" s="35"/>
      <c r="I62" s="97"/>
    </row>
    <row r="63" spans="1:10" ht="51" x14ac:dyDescent="0.2">
      <c r="A63" s="25" t="s">
        <v>352</v>
      </c>
      <c r="B63" s="23" t="s">
        <v>186</v>
      </c>
      <c r="C63" s="22" t="s">
        <v>182</v>
      </c>
      <c r="D63" s="22">
        <v>1</v>
      </c>
      <c r="E63" s="216" t="s">
        <v>473</v>
      </c>
      <c r="F63" s="218"/>
      <c r="G63" s="216" t="s">
        <v>351</v>
      </c>
      <c r="I63" s="97" t="s">
        <v>351</v>
      </c>
    </row>
    <row r="64" spans="1:10" ht="34" x14ac:dyDescent="0.2">
      <c r="A64" s="25" t="s">
        <v>350</v>
      </c>
      <c r="B64" s="23" t="s">
        <v>185</v>
      </c>
      <c r="C64" s="22" t="s">
        <v>182</v>
      </c>
      <c r="D64" s="22">
        <v>1</v>
      </c>
      <c r="E64" s="216"/>
      <c r="F64" s="218"/>
      <c r="G64" s="216"/>
      <c r="I64" s="97" t="s">
        <v>351</v>
      </c>
    </row>
    <row r="65" spans="1:9" ht="17" x14ac:dyDescent="0.2">
      <c r="A65" s="39">
        <v>19</v>
      </c>
      <c r="B65" s="24" t="s">
        <v>349</v>
      </c>
      <c r="C65" s="22"/>
      <c r="D65" s="22"/>
      <c r="E65" s="38"/>
      <c r="F65" s="32"/>
      <c r="G65" s="35"/>
      <c r="I65" s="97"/>
    </row>
    <row r="66" spans="1:9" ht="45" x14ac:dyDescent="0.2">
      <c r="A66" s="25" t="s">
        <v>348</v>
      </c>
      <c r="B66" s="23" t="s">
        <v>347</v>
      </c>
      <c r="C66" s="22" t="s">
        <v>180</v>
      </c>
      <c r="D66" s="22"/>
      <c r="E66" s="38" t="s">
        <v>473</v>
      </c>
      <c r="F66" s="32"/>
      <c r="G66" s="35" t="s">
        <v>346</v>
      </c>
      <c r="I66" s="97" t="s">
        <v>346</v>
      </c>
    </row>
    <row r="67" spans="1:9" ht="46" customHeight="1" x14ac:dyDescent="0.2">
      <c r="A67" s="39">
        <v>20</v>
      </c>
      <c r="B67" s="24" t="s">
        <v>345</v>
      </c>
      <c r="C67" s="22"/>
      <c r="D67" s="22"/>
      <c r="E67" s="38"/>
      <c r="F67" s="32"/>
      <c r="G67" s="35"/>
      <c r="I67" s="97"/>
    </row>
    <row r="68" spans="1:9" ht="54.5" customHeight="1" x14ac:dyDescent="0.2">
      <c r="A68" s="25" t="s">
        <v>344</v>
      </c>
      <c r="B68" s="23" t="s">
        <v>341</v>
      </c>
      <c r="C68" s="22" t="s">
        <v>180</v>
      </c>
      <c r="D68" s="22"/>
      <c r="E68" s="38" t="s">
        <v>473</v>
      </c>
      <c r="F68" s="32"/>
      <c r="G68" s="35" t="s">
        <v>340</v>
      </c>
      <c r="I68" s="97" t="s">
        <v>340</v>
      </c>
    </row>
    <row r="69" spans="1:9" ht="34" x14ac:dyDescent="0.2">
      <c r="A69" s="39">
        <v>21</v>
      </c>
      <c r="B69" s="24" t="s">
        <v>343</v>
      </c>
      <c r="C69" s="22"/>
      <c r="D69" s="22"/>
      <c r="E69" s="38"/>
      <c r="F69" s="32"/>
      <c r="G69" s="35"/>
      <c r="I69" s="97"/>
    </row>
    <row r="70" spans="1:9" ht="53" customHeight="1" x14ac:dyDescent="0.2">
      <c r="A70" s="25" t="s">
        <v>342</v>
      </c>
      <c r="B70" s="23" t="s">
        <v>341</v>
      </c>
      <c r="C70" s="22" t="s">
        <v>180</v>
      </c>
      <c r="D70" s="22"/>
      <c r="E70" s="38" t="s">
        <v>473</v>
      </c>
      <c r="F70" s="32"/>
      <c r="G70" s="35" t="s">
        <v>340</v>
      </c>
      <c r="I70" s="97" t="s">
        <v>340</v>
      </c>
    </row>
    <row r="71" spans="1:9" ht="17" x14ac:dyDescent="0.2">
      <c r="A71" s="39">
        <v>22</v>
      </c>
      <c r="B71" s="24" t="s">
        <v>447</v>
      </c>
      <c r="C71" s="22"/>
      <c r="D71" s="22"/>
      <c r="E71" s="38"/>
      <c r="F71" s="32"/>
      <c r="G71" s="35"/>
    </row>
    <row r="72" spans="1:9" ht="17" x14ac:dyDescent="0.2">
      <c r="A72" s="25" t="s">
        <v>448</v>
      </c>
      <c r="B72" s="23" t="s">
        <v>474</v>
      </c>
      <c r="C72" s="25" t="s">
        <v>179</v>
      </c>
      <c r="D72" s="22">
        <v>1</v>
      </c>
      <c r="E72" s="216" t="s">
        <v>475</v>
      </c>
      <c r="F72" s="219"/>
      <c r="G72" s="216" t="s">
        <v>346</v>
      </c>
      <c r="I72" s="57" t="s">
        <v>346</v>
      </c>
    </row>
    <row r="73" spans="1:9" ht="17" x14ac:dyDescent="0.2">
      <c r="A73" s="25" t="s">
        <v>450</v>
      </c>
      <c r="B73" s="23" t="s">
        <v>476</v>
      </c>
      <c r="C73" s="25" t="s">
        <v>179</v>
      </c>
      <c r="D73" s="22">
        <v>1</v>
      </c>
      <c r="E73" s="216"/>
      <c r="F73" s="220"/>
      <c r="G73" s="216"/>
      <c r="I73" s="57" t="s">
        <v>346</v>
      </c>
    </row>
    <row r="74" spans="1:9" ht="17" x14ac:dyDescent="0.2">
      <c r="A74" s="25" t="s">
        <v>451</v>
      </c>
      <c r="B74" s="23" t="s">
        <v>477</v>
      </c>
      <c r="C74" s="25" t="s">
        <v>179</v>
      </c>
      <c r="D74" s="22">
        <v>1</v>
      </c>
      <c r="E74" s="216"/>
      <c r="F74" s="220"/>
      <c r="G74" s="216"/>
      <c r="I74" s="57" t="s">
        <v>346</v>
      </c>
    </row>
    <row r="75" spans="1:9" ht="17" x14ac:dyDescent="0.2">
      <c r="A75" s="25" t="s">
        <v>452</v>
      </c>
      <c r="B75" s="23" t="s">
        <v>478</v>
      </c>
      <c r="C75" s="25" t="s">
        <v>179</v>
      </c>
      <c r="D75" s="22">
        <v>1</v>
      </c>
      <c r="E75" s="216"/>
      <c r="F75" s="220"/>
      <c r="G75" s="216"/>
      <c r="I75" s="57" t="s">
        <v>346</v>
      </c>
    </row>
    <row r="76" spans="1:9" ht="17" x14ac:dyDescent="0.2">
      <c r="A76" s="25" t="s">
        <v>453</v>
      </c>
      <c r="B76" s="23" t="s">
        <v>479</v>
      </c>
      <c r="C76" s="25" t="s">
        <v>179</v>
      </c>
      <c r="D76" s="22">
        <v>1</v>
      </c>
      <c r="E76" s="216"/>
      <c r="F76" s="220"/>
      <c r="G76" s="216"/>
      <c r="I76" s="57" t="s">
        <v>346</v>
      </c>
    </row>
    <row r="77" spans="1:9" ht="17" x14ac:dyDescent="0.2">
      <c r="A77" s="25" t="s">
        <v>454</v>
      </c>
      <c r="B77" s="23" t="s">
        <v>480</v>
      </c>
      <c r="C77" s="25" t="s">
        <v>179</v>
      </c>
      <c r="D77" s="22">
        <v>1</v>
      </c>
      <c r="E77" s="216"/>
      <c r="F77" s="220"/>
      <c r="G77" s="216"/>
      <c r="I77" s="57" t="s">
        <v>346</v>
      </c>
    </row>
    <row r="78" spans="1:9" ht="17" x14ac:dyDescent="0.2">
      <c r="A78" s="25" t="s">
        <v>455</v>
      </c>
      <c r="B78" s="23" t="s">
        <v>481</v>
      </c>
      <c r="C78" s="25" t="s">
        <v>179</v>
      </c>
      <c r="D78" s="22">
        <v>1</v>
      </c>
      <c r="E78" s="216"/>
      <c r="F78" s="220"/>
      <c r="G78" s="216"/>
      <c r="I78" s="57" t="s">
        <v>346</v>
      </c>
    </row>
    <row r="79" spans="1:9" ht="17" x14ac:dyDescent="0.2">
      <c r="A79" s="25" t="s">
        <v>456</v>
      </c>
      <c r="B79" s="23" t="s">
        <v>482</v>
      </c>
      <c r="C79" s="25" t="s">
        <v>179</v>
      </c>
      <c r="D79" s="22">
        <v>1</v>
      </c>
      <c r="E79" s="216"/>
      <c r="F79" s="220"/>
      <c r="G79" s="216"/>
      <c r="I79" s="57" t="s">
        <v>346</v>
      </c>
    </row>
    <row r="80" spans="1:9" ht="17" x14ac:dyDescent="0.2">
      <c r="A80" s="25" t="s">
        <v>457</v>
      </c>
      <c r="B80" s="23" t="s">
        <v>459</v>
      </c>
      <c r="C80" s="25" t="s">
        <v>179</v>
      </c>
      <c r="D80" s="22">
        <v>1</v>
      </c>
      <c r="E80" s="216"/>
      <c r="F80" s="221"/>
      <c r="G80" s="216"/>
      <c r="I80" s="57" t="s">
        <v>346</v>
      </c>
    </row>
    <row r="81" spans="1:9" ht="30" x14ac:dyDescent="0.2">
      <c r="A81" s="25" t="s">
        <v>458</v>
      </c>
      <c r="B81" s="23" t="s">
        <v>483</v>
      </c>
      <c r="C81" s="25" t="s">
        <v>179</v>
      </c>
      <c r="D81" s="22"/>
      <c r="E81" s="38" t="s">
        <v>449</v>
      </c>
      <c r="F81" s="32"/>
      <c r="G81" s="216"/>
      <c r="I81" s="57" t="s">
        <v>346</v>
      </c>
    </row>
    <row r="82" spans="1:9" ht="17" x14ac:dyDescent="0.2">
      <c r="A82" s="39">
        <v>23</v>
      </c>
      <c r="B82" s="24" t="s">
        <v>542</v>
      </c>
      <c r="C82" s="22"/>
      <c r="D82" s="22"/>
      <c r="E82" s="38"/>
      <c r="F82" s="32"/>
      <c r="G82" s="35"/>
    </row>
    <row r="83" spans="1:9" ht="45" x14ac:dyDescent="0.2">
      <c r="A83" s="25" t="s">
        <v>540</v>
      </c>
      <c r="B83" s="23" t="s">
        <v>541</v>
      </c>
      <c r="C83" s="22" t="s">
        <v>180</v>
      </c>
      <c r="D83" s="22"/>
      <c r="E83" s="38" t="s">
        <v>473</v>
      </c>
      <c r="F83" s="32"/>
      <c r="G83" s="35" t="s">
        <v>404</v>
      </c>
      <c r="I83" s="57" t="s">
        <v>404</v>
      </c>
    </row>
    <row r="84" spans="1:9" ht="17" x14ac:dyDescent="0.2">
      <c r="A84" s="39">
        <v>24</v>
      </c>
      <c r="B84" s="24" t="s">
        <v>547</v>
      </c>
      <c r="C84" s="22"/>
      <c r="D84" s="22"/>
      <c r="E84" s="38"/>
      <c r="F84" s="32"/>
      <c r="G84" s="35"/>
    </row>
    <row r="85" spans="1:9" ht="45" x14ac:dyDescent="0.2">
      <c r="A85" s="25" t="s">
        <v>540</v>
      </c>
      <c r="B85" s="23" t="s">
        <v>251</v>
      </c>
      <c r="C85" s="25" t="s">
        <v>179</v>
      </c>
      <c r="D85" s="22">
        <v>2</v>
      </c>
      <c r="E85" s="38" t="s">
        <v>473</v>
      </c>
      <c r="F85" s="32"/>
      <c r="G85" s="35" t="s">
        <v>340</v>
      </c>
      <c r="I85" s="97" t="s">
        <v>340</v>
      </c>
    </row>
  </sheetData>
  <autoFilter ref="A3:K3" xr:uid="{00000000-0001-0000-0500-000000000000}"/>
  <mergeCells count="47">
    <mergeCell ref="E22:E25"/>
    <mergeCell ref="F22:F25"/>
    <mergeCell ref="G22:G25"/>
    <mergeCell ref="E36:E37"/>
    <mergeCell ref="F36:F37"/>
    <mergeCell ref="G36:G37"/>
    <mergeCell ref="E33:E34"/>
    <mergeCell ref="E31:E32"/>
    <mergeCell ref="F31:F34"/>
    <mergeCell ref="G31:G34"/>
    <mergeCell ref="A1:G1"/>
    <mergeCell ref="E18:E20"/>
    <mergeCell ref="F18:F20"/>
    <mergeCell ref="G18:G20"/>
    <mergeCell ref="A4:E4"/>
    <mergeCell ref="F6:F8"/>
    <mergeCell ref="G6:G8"/>
    <mergeCell ref="E7:E8"/>
    <mergeCell ref="E15:E16"/>
    <mergeCell ref="F15:F16"/>
    <mergeCell ref="G15:G16"/>
    <mergeCell ref="F10:F11"/>
    <mergeCell ref="G10:G11"/>
    <mergeCell ref="G41:G42"/>
    <mergeCell ref="E44:E46"/>
    <mergeCell ref="F44:F46"/>
    <mergeCell ref="G44:G46"/>
    <mergeCell ref="E48:E49"/>
    <mergeCell ref="F48:F49"/>
    <mergeCell ref="G48:G49"/>
    <mergeCell ref="E41:E42"/>
    <mergeCell ref="F41:F42"/>
    <mergeCell ref="E51:E54"/>
    <mergeCell ref="F51:F54"/>
    <mergeCell ref="G51:G54"/>
    <mergeCell ref="E56:E57"/>
    <mergeCell ref="F56:F57"/>
    <mergeCell ref="G56:G57"/>
    <mergeCell ref="E72:E80"/>
    <mergeCell ref="G72:G81"/>
    <mergeCell ref="E59:E61"/>
    <mergeCell ref="F59:F61"/>
    <mergeCell ref="G59:G61"/>
    <mergeCell ref="E63:E64"/>
    <mergeCell ref="F63:F64"/>
    <mergeCell ref="G63:G64"/>
    <mergeCell ref="F72:F80"/>
  </mergeCells>
  <printOptions horizontalCentered="1"/>
  <pageMargins left="0.11811023622047245" right="0.19685039370078741" top="0.35433070866141736" bottom="0.31496062992125984" header="0.31496062992125984" footer="0.31496062992125984"/>
  <pageSetup paperSize="9" scale="84" fitToHeight="5" orientation="landscape" horizontalDpi="4294967295" verticalDpi="4294967295" r:id="rId1"/>
  <rowBreaks count="3" manualBreakCount="3">
    <brk id="25" max="6" man="1"/>
    <brk id="46" max="6" man="1"/>
    <brk id="68"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88"/>
  <sheetViews>
    <sheetView view="pageBreakPreview" zoomScale="89" zoomScaleNormal="130" zoomScaleSheetLayoutView="89" workbookViewId="0">
      <pane xSplit="1" ySplit="3" topLeftCell="B4" activePane="bottomRight" state="frozen"/>
      <selection activeCell="C56" sqref="C56"/>
      <selection pane="topRight" activeCell="C56" sqref="C56"/>
      <selection pane="bottomLeft" activeCell="C56" sqref="C56"/>
      <selection pane="bottomRight" activeCell="C20" sqref="C20"/>
    </sheetView>
  </sheetViews>
  <sheetFormatPr baseColWidth="10" defaultColWidth="9.1640625" defaultRowHeight="15" x14ac:dyDescent="0.2"/>
  <cols>
    <col min="1" max="2" width="5.1640625" style="114" customWidth="1"/>
    <col min="3" max="3" width="112" style="110" customWidth="1"/>
    <col min="4" max="4" width="19.5" style="114" customWidth="1"/>
    <col min="5" max="5" width="18.1640625" style="110" customWidth="1"/>
    <col min="6" max="16384" width="9.1640625" style="110"/>
  </cols>
  <sheetData>
    <row r="1" spans="1:5" ht="19" x14ac:dyDescent="0.2">
      <c r="A1" s="215" t="s">
        <v>164</v>
      </c>
      <c r="B1" s="215"/>
      <c r="C1" s="215"/>
      <c r="D1" s="215"/>
    </row>
    <row r="3" spans="1:5" ht="60" x14ac:dyDescent="0.2">
      <c r="A3" s="183" t="s">
        <v>272</v>
      </c>
      <c r="B3" s="183" t="s">
        <v>0</v>
      </c>
      <c r="C3" s="183" t="s">
        <v>136</v>
      </c>
      <c r="D3" s="183" t="s">
        <v>2264</v>
      </c>
      <c r="E3" s="142"/>
    </row>
    <row r="4" spans="1:5" ht="16" x14ac:dyDescent="0.2">
      <c r="A4" s="225" t="s">
        <v>2195</v>
      </c>
      <c r="B4" s="226"/>
      <c r="C4" s="227"/>
      <c r="D4" s="226"/>
      <c r="E4" s="163"/>
    </row>
    <row r="5" spans="1:5" ht="16" x14ac:dyDescent="0.2">
      <c r="A5" s="181">
        <v>1</v>
      </c>
      <c r="B5" s="181">
        <v>1</v>
      </c>
      <c r="C5" s="182" t="s">
        <v>1951</v>
      </c>
      <c r="D5" s="181" t="s">
        <v>179</v>
      </c>
      <c r="E5" s="164"/>
    </row>
    <row r="6" spans="1:5" ht="16" x14ac:dyDescent="0.2">
      <c r="A6" s="181">
        <v>2</v>
      </c>
      <c r="B6" s="181">
        <v>2</v>
      </c>
      <c r="C6" s="182" t="s">
        <v>962</v>
      </c>
      <c r="D6" s="181" t="s">
        <v>179</v>
      </c>
      <c r="E6" s="164"/>
    </row>
    <row r="7" spans="1:5" ht="16" x14ac:dyDescent="0.2">
      <c r="A7" s="225" t="s">
        <v>2196</v>
      </c>
      <c r="B7" s="226"/>
      <c r="C7" s="227"/>
      <c r="D7" s="226"/>
      <c r="E7" s="164"/>
    </row>
    <row r="8" spans="1:5" ht="16" x14ac:dyDescent="0.2">
      <c r="A8" s="181">
        <v>3</v>
      </c>
      <c r="B8" s="181">
        <v>1</v>
      </c>
      <c r="C8" s="182" t="s">
        <v>1083</v>
      </c>
      <c r="D8" s="181" t="s">
        <v>180</v>
      </c>
      <c r="E8" s="164"/>
    </row>
    <row r="9" spans="1:5" ht="16" x14ac:dyDescent="0.2">
      <c r="A9" s="225" t="s">
        <v>2197</v>
      </c>
      <c r="B9" s="226"/>
      <c r="C9" s="227"/>
      <c r="D9" s="226"/>
      <c r="E9" s="164"/>
    </row>
    <row r="10" spans="1:5" ht="16" x14ac:dyDescent="0.2">
      <c r="A10" s="181">
        <v>4</v>
      </c>
      <c r="B10" s="181">
        <v>1</v>
      </c>
      <c r="C10" s="182" t="s">
        <v>1896</v>
      </c>
      <c r="D10" s="181" t="s">
        <v>180</v>
      </c>
      <c r="E10" s="164"/>
    </row>
    <row r="11" spans="1:5" ht="30" x14ac:dyDescent="0.2">
      <c r="A11" s="181">
        <v>5</v>
      </c>
      <c r="B11" s="181">
        <v>2</v>
      </c>
      <c r="C11" s="182" t="s">
        <v>1897</v>
      </c>
      <c r="D11" s="181" t="s">
        <v>180</v>
      </c>
      <c r="E11" s="164"/>
    </row>
    <row r="12" spans="1:5" ht="30" x14ac:dyDescent="0.2">
      <c r="A12" s="181">
        <v>6</v>
      </c>
      <c r="B12" s="181">
        <v>3</v>
      </c>
      <c r="C12" s="182" t="s">
        <v>1895</v>
      </c>
      <c r="D12" s="181" t="s">
        <v>180</v>
      </c>
      <c r="E12" s="164"/>
    </row>
    <row r="13" spans="1:5" ht="30" x14ac:dyDescent="0.2">
      <c r="A13" s="181">
        <v>7</v>
      </c>
      <c r="B13" s="181">
        <v>4</v>
      </c>
      <c r="C13" s="182" t="s">
        <v>1894</v>
      </c>
      <c r="D13" s="181" t="s">
        <v>180</v>
      </c>
      <c r="E13" s="164"/>
    </row>
    <row r="14" spans="1:5" ht="16" x14ac:dyDescent="0.2">
      <c r="A14" s="225" t="s">
        <v>2198</v>
      </c>
      <c r="B14" s="226"/>
      <c r="C14" s="227"/>
      <c r="D14" s="226"/>
      <c r="E14" s="164"/>
    </row>
    <row r="15" spans="1:5" ht="16" x14ac:dyDescent="0.2">
      <c r="A15" s="181">
        <v>8</v>
      </c>
      <c r="B15" s="181">
        <v>1</v>
      </c>
      <c r="C15" s="182" t="s">
        <v>1914</v>
      </c>
      <c r="D15" s="181" t="s">
        <v>180</v>
      </c>
      <c r="E15" s="164"/>
    </row>
    <row r="16" spans="1:5" ht="16" x14ac:dyDescent="0.2">
      <c r="A16" s="181">
        <v>9</v>
      </c>
      <c r="B16" s="181">
        <v>2</v>
      </c>
      <c r="C16" s="182" t="s">
        <v>1917</v>
      </c>
      <c r="D16" s="181" t="s">
        <v>180</v>
      </c>
      <c r="E16" s="164"/>
    </row>
    <row r="17" spans="1:5" ht="16" x14ac:dyDescent="0.2">
      <c r="A17" s="181">
        <v>10</v>
      </c>
      <c r="B17" s="181">
        <v>3</v>
      </c>
      <c r="C17" s="182" t="s">
        <v>1916</v>
      </c>
      <c r="D17" s="181" t="s">
        <v>180</v>
      </c>
      <c r="E17" s="164"/>
    </row>
    <row r="18" spans="1:5" ht="16" x14ac:dyDescent="0.2">
      <c r="A18" s="181">
        <v>11</v>
      </c>
      <c r="B18" s="181">
        <v>4</v>
      </c>
      <c r="C18" s="182" t="s">
        <v>1912</v>
      </c>
      <c r="D18" s="181" t="s">
        <v>180</v>
      </c>
      <c r="E18" s="164"/>
    </row>
    <row r="19" spans="1:5" ht="30" x14ac:dyDescent="0.2">
      <c r="A19" s="181">
        <v>12</v>
      </c>
      <c r="B19" s="181">
        <v>5</v>
      </c>
      <c r="C19" s="182" t="s">
        <v>1913</v>
      </c>
      <c r="D19" s="181" t="s">
        <v>180</v>
      </c>
    </row>
    <row r="20" spans="1:5" ht="16" x14ac:dyDescent="0.2">
      <c r="A20" s="181">
        <v>13</v>
      </c>
      <c r="B20" s="181">
        <v>6</v>
      </c>
      <c r="C20" s="182" t="s">
        <v>1915</v>
      </c>
      <c r="D20" s="181" t="s">
        <v>180</v>
      </c>
      <c r="E20" s="164"/>
    </row>
    <row r="21" spans="1:5" ht="16" x14ac:dyDescent="0.2">
      <c r="A21" s="181">
        <v>14</v>
      </c>
      <c r="B21" s="181">
        <v>7</v>
      </c>
      <c r="C21" s="182" t="s">
        <v>1909</v>
      </c>
      <c r="D21" s="181" t="s">
        <v>179</v>
      </c>
      <c r="E21" s="164"/>
    </row>
    <row r="22" spans="1:5" ht="30" x14ac:dyDescent="0.2">
      <c r="A22" s="181">
        <v>15</v>
      </c>
      <c r="B22" s="181">
        <v>8</v>
      </c>
      <c r="C22" s="182" t="s">
        <v>1908</v>
      </c>
      <c r="D22" s="181" t="s">
        <v>179</v>
      </c>
      <c r="E22" s="164"/>
    </row>
    <row r="23" spans="1:5" ht="16" x14ac:dyDescent="0.2">
      <c r="A23" s="181">
        <v>16</v>
      </c>
      <c r="B23" s="181">
        <v>9</v>
      </c>
      <c r="C23" s="182" t="s">
        <v>1910</v>
      </c>
      <c r="D23" s="181" t="s">
        <v>180</v>
      </c>
      <c r="E23" s="164"/>
    </row>
    <row r="24" spans="1:5" ht="16" x14ac:dyDescent="0.2">
      <c r="A24" s="181">
        <v>17</v>
      </c>
      <c r="B24" s="181">
        <v>10</v>
      </c>
      <c r="C24" s="182" t="s">
        <v>1911</v>
      </c>
      <c r="D24" s="181" t="s">
        <v>179</v>
      </c>
      <c r="E24" s="164"/>
    </row>
    <row r="25" spans="1:5" ht="16" x14ac:dyDescent="0.2">
      <c r="A25" s="225" t="s">
        <v>2199</v>
      </c>
      <c r="B25" s="226"/>
      <c r="C25" s="227"/>
      <c r="D25" s="226"/>
      <c r="E25" s="164"/>
    </row>
    <row r="26" spans="1:5" ht="16" x14ac:dyDescent="0.2">
      <c r="A26" s="181">
        <v>18</v>
      </c>
      <c r="B26" s="181">
        <v>1</v>
      </c>
      <c r="C26" s="182" t="s">
        <v>1045</v>
      </c>
      <c r="D26" s="181" t="s">
        <v>180</v>
      </c>
      <c r="E26" s="164"/>
    </row>
    <row r="27" spans="1:5" ht="16" x14ac:dyDescent="0.2">
      <c r="A27" s="181">
        <v>19</v>
      </c>
      <c r="B27" s="181">
        <v>2</v>
      </c>
      <c r="C27" s="182" t="s">
        <v>1060</v>
      </c>
      <c r="D27" s="181" t="s">
        <v>180</v>
      </c>
      <c r="E27" s="164"/>
    </row>
    <row r="28" spans="1:5" ht="16" x14ac:dyDescent="0.2">
      <c r="A28" s="181">
        <v>20</v>
      </c>
      <c r="B28" s="181">
        <v>3</v>
      </c>
      <c r="C28" s="182" t="s">
        <v>2200</v>
      </c>
      <c r="D28" s="181" t="s">
        <v>180</v>
      </c>
      <c r="E28" s="164"/>
    </row>
    <row r="29" spans="1:5" ht="16" x14ac:dyDescent="0.2">
      <c r="A29" s="181">
        <v>21</v>
      </c>
      <c r="B29" s="181">
        <v>4</v>
      </c>
      <c r="C29" s="182" t="s">
        <v>1056</v>
      </c>
      <c r="D29" s="181" t="s">
        <v>180</v>
      </c>
      <c r="E29" s="164"/>
    </row>
    <row r="30" spans="1:5" ht="16" x14ac:dyDescent="0.2">
      <c r="A30" s="181">
        <v>22</v>
      </c>
      <c r="B30" s="181">
        <v>5</v>
      </c>
      <c r="C30" s="182" t="s">
        <v>1939</v>
      </c>
      <c r="D30" s="181" t="s">
        <v>180</v>
      </c>
      <c r="E30" s="164"/>
    </row>
    <row r="31" spans="1:5" ht="16" x14ac:dyDescent="0.2">
      <c r="A31" s="181">
        <v>23</v>
      </c>
      <c r="B31" s="181">
        <v>6</v>
      </c>
      <c r="C31" s="182" t="s">
        <v>1035</v>
      </c>
      <c r="D31" s="181" t="s">
        <v>180</v>
      </c>
      <c r="E31" s="164"/>
    </row>
    <row r="32" spans="1:5" ht="16" x14ac:dyDescent="0.2">
      <c r="A32" s="181">
        <v>24</v>
      </c>
      <c r="B32" s="181">
        <v>7</v>
      </c>
      <c r="C32" s="182" t="s">
        <v>1055</v>
      </c>
      <c r="D32" s="181" t="s">
        <v>180</v>
      </c>
      <c r="E32" s="164"/>
    </row>
    <row r="33" spans="1:5" ht="16" x14ac:dyDescent="0.2">
      <c r="A33" s="181">
        <v>25</v>
      </c>
      <c r="B33" s="181">
        <v>8</v>
      </c>
      <c r="C33" s="182" t="s">
        <v>1052</v>
      </c>
      <c r="D33" s="181" t="s">
        <v>180</v>
      </c>
      <c r="E33" s="164"/>
    </row>
    <row r="34" spans="1:5" ht="30" x14ac:dyDescent="0.2">
      <c r="A34" s="181">
        <v>26</v>
      </c>
      <c r="B34" s="181">
        <v>9</v>
      </c>
      <c r="C34" s="182" t="s">
        <v>1936</v>
      </c>
      <c r="D34" s="181" t="s">
        <v>179</v>
      </c>
      <c r="E34" s="164"/>
    </row>
    <row r="35" spans="1:5" ht="16" x14ac:dyDescent="0.2">
      <c r="A35" s="181">
        <v>27</v>
      </c>
      <c r="B35" s="181">
        <v>10</v>
      </c>
      <c r="C35" s="182" t="s">
        <v>1043</v>
      </c>
      <c r="D35" s="181" t="s">
        <v>180</v>
      </c>
      <c r="E35" s="164"/>
    </row>
    <row r="36" spans="1:5" ht="16" x14ac:dyDescent="0.2">
      <c r="A36" s="181">
        <v>28</v>
      </c>
      <c r="B36" s="181">
        <v>11</v>
      </c>
      <c r="C36" s="182" t="s">
        <v>1041</v>
      </c>
      <c r="D36" s="181" t="s">
        <v>180</v>
      </c>
      <c r="E36" s="164"/>
    </row>
    <row r="37" spans="1:5" ht="16" x14ac:dyDescent="0.2">
      <c r="A37" s="181">
        <v>29</v>
      </c>
      <c r="B37" s="181">
        <v>12</v>
      </c>
      <c r="C37" s="182" t="s">
        <v>1937</v>
      </c>
      <c r="D37" s="181" t="s">
        <v>180</v>
      </c>
      <c r="E37" s="164"/>
    </row>
    <row r="38" spans="1:5" ht="16" x14ac:dyDescent="0.2">
      <c r="A38" s="181">
        <v>30</v>
      </c>
      <c r="B38" s="181">
        <v>13</v>
      </c>
      <c r="C38" s="182" t="s">
        <v>1938</v>
      </c>
      <c r="D38" s="181" t="s">
        <v>180</v>
      </c>
      <c r="E38" s="164"/>
    </row>
    <row r="39" spans="1:5" ht="16" x14ac:dyDescent="0.2">
      <c r="A39" s="181">
        <v>31</v>
      </c>
      <c r="B39" s="181">
        <v>14</v>
      </c>
      <c r="C39" s="182" t="s">
        <v>1039</v>
      </c>
      <c r="D39" s="181" t="s">
        <v>180</v>
      </c>
      <c r="E39" s="164"/>
    </row>
    <row r="40" spans="1:5" ht="16" x14ac:dyDescent="0.2">
      <c r="A40" s="181">
        <v>32</v>
      </c>
      <c r="B40" s="181">
        <v>15</v>
      </c>
      <c r="C40" s="182" t="s">
        <v>1057</v>
      </c>
      <c r="D40" s="181" t="s">
        <v>180</v>
      </c>
      <c r="E40" s="164"/>
    </row>
    <row r="41" spans="1:5" ht="16" x14ac:dyDescent="0.2">
      <c r="A41" s="181">
        <v>33</v>
      </c>
      <c r="B41" s="181">
        <v>16</v>
      </c>
      <c r="C41" s="182" t="s">
        <v>1054</v>
      </c>
      <c r="D41" s="181" t="s">
        <v>180</v>
      </c>
      <c r="E41" s="164"/>
    </row>
    <row r="42" spans="1:5" ht="16" x14ac:dyDescent="0.2">
      <c r="A42" s="181">
        <v>34</v>
      </c>
      <c r="B42" s="181">
        <v>17</v>
      </c>
      <c r="C42" s="182" t="s">
        <v>1048</v>
      </c>
      <c r="D42" s="181" t="s">
        <v>180</v>
      </c>
      <c r="E42" s="164"/>
    </row>
    <row r="43" spans="1:5" ht="16" x14ac:dyDescent="0.2">
      <c r="A43" s="181">
        <v>35</v>
      </c>
      <c r="B43" s="181">
        <v>18</v>
      </c>
      <c r="C43" s="182" t="s">
        <v>1062</v>
      </c>
      <c r="D43" s="181" t="s">
        <v>180</v>
      </c>
      <c r="E43" s="164"/>
    </row>
    <row r="44" spans="1:5" ht="16" x14ac:dyDescent="0.2">
      <c r="A44" s="181">
        <v>36</v>
      </c>
      <c r="B44" s="181">
        <v>19</v>
      </c>
      <c r="C44" s="182" t="s">
        <v>1049</v>
      </c>
      <c r="D44" s="181" t="s">
        <v>180</v>
      </c>
      <c r="E44" s="164"/>
    </row>
    <row r="45" spans="1:5" ht="16" x14ac:dyDescent="0.2">
      <c r="A45" s="181">
        <v>37</v>
      </c>
      <c r="B45" s="181">
        <v>20</v>
      </c>
      <c r="C45" s="182" t="s">
        <v>1036</v>
      </c>
      <c r="D45" s="181" t="s">
        <v>180</v>
      </c>
      <c r="E45" s="164"/>
    </row>
    <row r="46" spans="1:5" ht="16" x14ac:dyDescent="0.2">
      <c r="A46" s="181">
        <v>38</v>
      </c>
      <c r="B46" s="181">
        <v>21</v>
      </c>
      <c r="C46" s="182" t="s">
        <v>1061</v>
      </c>
      <c r="D46" s="181" t="s">
        <v>180</v>
      </c>
      <c r="E46" s="164"/>
    </row>
    <row r="47" spans="1:5" ht="16" x14ac:dyDescent="0.2">
      <c r="A47" s="181">
        <v>39</v>
      </c>
      <c r="B47" s="181">
        <v>22</v>
      </c>
      <c r="C47" s="182" t="s">
        <v>1059</v>
      </c>
      <c r="D47" s="181" t="s">
        <v>180</v>
      </c>
      <c r="E47" s="164"/>
    </row>
    <row r="48" spans="1:5" ht="16" x14ac:dyDescent="0.2">
      <c r="A48" s="181">
        <v>40</v>
      </c>
      <c r="B48" s="181">
        <v>23</v>
      </c>
      <c r="C48" s="182" t="s">
        <v>1042</v>
      </c>
      <c r="D48" s="181" t="s">
        <v>180</v>
      </c>
      <c r="E48" s="164"/>
    </row>
    <row r="49" spans="1:5" ht="16" x14ac:dyDescent="0.2">
      <c r="A49" s="225" t="s">
        <v>2201</v>
      </c>
      <c r="B49" s="226"/>
      <c r="C49" s="227"/>
      <c r="D49" s="226"/>
      <c r="E49" s="164"/>
    </row>
    <row r="50" spans="1:5" ht="16" x14ac:dyDescent="0.2">
      <c r="A50" s="181">
        <v>41</v>
      </c>
      <c r="B50" s="181">
        <v>1</v>
      </c>
      <c r="C50" s="182" t="s">
        <v>1174</v>
      </c>
      <c r="D50" s="181" t="s">
        <v>180</v>
      </c>
      <c r="E50" s="164"/>
    </row>
    <row r="51" spans="1:5" ht="30" x14ac:dyDescent="0.2">
      <c r="A51" s="181">
        <v>42</v>
      </c>
      <c r="B51" s="181">
        <v>2</v>
      </c>
      <c r="C51" s="182" t="s">
        <v>1163</v>
      </c>
      <c r="D51" s="181" t="s">
        <v>180</v>
      </c>
      <c r="E51" s="164"/>
    </row>
    <row r="52" spans="1:5" ht="30" x14ac:dyDescent="0.2">
      <c r="A52" s="181">
        <v>43</v>
      </c>
      <c r="B52" s="181">
        <v>3</v>
      </c>
      <c r="C52" s="182" t="s">
        <v>1175</v>
      </c>
      <c r="D52" s="181" t="s">
        <v>180</v>
      </c>
      <c r="E52" s="164"/>
    </row>
    <row r="53" spans="1:5" ht="30" x14ac:dyDescent="0.2">
      <c r="A53" s="181">
        <v>44</v>
      </c>
      <c r="B53" s="181">
        <v>4</v>
      </c>
      <c r="C53" s="182" t="s">
        <v>1172</v>
      </c>
      <c r="D53" s="181" t="s">
        <v>180</v>
      </c>
      <c r="E53" s="164"/>
    </row>
    <row r="54" spans="1:5" ht="30" x14ac:dyDescent="0.2">
      <c r="A54" s="181">
        <v>45</v>
      </c>
      <c r="B54" s="181">
        <v>5</v>
      </c>
      <c r="C54" s="182" t="s">
        <v>1173</v>
      </c>
      <c r="D54" s="181" t="s">
        <v>180</v>
      </c>
      <c r="E54" s="164"/>
    </row>
    <row r="55" spans="1:5" ht="30" x14ac:dyDescent="0.2">
      <c r="A55" s="181">
        <v>46</v>
      </c>
      <c r="B55" s="181">
        <v>6</v>
      </c>
      <c r="C55" s="182" t="s">
        <v>1171</v>
      </c>
      <c r="D55" s="181" t="s">
        <v>180</v>
      </c>
      <c r="E55" s="164"/>
    </row>
    <row r="56" spans="1:5" ht="30" x14ac:dyDescent="0.2">
      <c r="A56" s="181">
        <v>47</v>
      </c>
      <c r="B56" s="181">
        <v>7</v>
      </c>
      <c r="C56" s="182" t="s">
        <v>1168</v>
      </c>
      <c r="D56" s="181" t="s">
        <v>180</v>
      </c>
      <c r="E56" s="164"/>
    </row>
    <row r="57" spans="1:5" ht="30" x14ac:dyDescent="0.2">
      <c r="A57" s="181">
        <v>48</v>
      </c>
      <c r="B57" s="181">
        <v>8</v>
      </c>
      <c r="C57" s="182" t="s">
        <v>1058</v>
      </c>
      <c r="D57" s="181" t="s">
        <v>180</v>
      </c>
      <c r="E57" s="164"/>
    </row>
    <row r="58" spans="1:5" ht="45" x14ac:dyDescent="0.2">
      <c r="A58" s="181">
        <v>49</v>
      </c>
      <c r="B58" s="181">
        <v>9</v>
      </c>
      <c r="C58" s="182" t="s">
        <v>1166</v>
      </c>
      <c r="D58" s="181" t="s">
        <v>180</v>
      </c>
      <c r="E58" s="164"/>
    </row>
    <row r="59" spans="1:5" ht="30" x14ac:dyDescent="0.2">
      <c r="A59" s="181">
        <v>50</v>
      </c>
      <c r="B59" s="181">
        <v>10</v>
      </c>
      <c r="C59" s="182" t="s">
        <v>1169</v>
      </c>
      <c r="D59" s="181" t="s">
        <v>180</v>
      </c>
      <c r="E59" s="164"/>
    </row>
    <row r="60" spans="1:5" ht="30" x14ac:dyDescent="0.2">
      <c r="A60" s="181">
        <v>51</v>
      </c>
      <c r="B60" s="181">
        <v>11</v>
      </c>
      <c r="C60" s="182" t="s">
        <v>1167</v>
      </c>
      <c r="D60" s="181" t="s">
        <v>180</v>
      </c>
      <c r="E60" s="164"/>
    </row>
    <row r="61" spans="1:5" ht="16" x14ac:dyDescent="0.2">
      <c r="A61" s="225" t="s">
        <v>2202</v>
      </c>
      <c r="B61" s="226"/>
      <c r="C61" s="227"/>
      <c r="D61" s="226"/>
      <c r="E61" s="164"/>
    </row>
    <row r="62" spans="1:5" ht="16" x14ac:dyDescent="0.2">
      <c r="A62" s="181">
        <v>52</v>
      </c>
      <c r="B62" s="181">
        <v>1</v>
      </c>
      <c r="C62" s="182" t="s">
        <v>1940</v>
      </c>
      <c r="D62" s="181" t="s">
        <v>180</v>
      </c>
      <c r="E62" s="164"/>
    </row>
    <row r="63" spans="1:5" ht="16" x14ac:dyDescent="0.2">
      <c r="A63" s="181">
        <v>53</v>
      </c>
      <c r="B63" s="181">
        <v>2</v>
      </c>
      <c r="C63" s="182" t="s">
        <v>1941</v>
      </c>
      <c r="D63" s="181" t="s">
        <v>179</v>
      </c>
      <c r="E63" s="164"/>
    </row>
    <row r="64" spans="1:5" ht="30" x14ac:dyDescent="0.2">
      <c r="A64" s="181">
        <v>54</v>
      </c>
      <c r="B64" s="181">
        <v>3</v>
      </c>
      <c r="C64" s="182" t="s">
        <v>1064</v>
      </c>
      <c r="D64" s="181" t="s">
        <v>180</v>
      </c>
      <c r="E64" s="164"/>
    </row>
    <row r="65" spans="1:5" ht="16" x14ac:dyDescent="0.2">
      <c r="A65" s="181">
        <v>55</v>
      </c>
      <c r="B65" s="181">
        <v>4</v>
      </c>
      <c r="C65" s="182" t="s">
        <v>240</v>
      </c>
      <c r="D65" s="181" t="s">
        <v>180</v>
      </c>
      <c r="E65" s="164"/>
    </row>
    <row r="66" spans="1:5" ht="16" x14ac:dyDescent="0.2">
      <c r="A66" s="225" t="s">
        <v>2203</v>
      </c>
      <c r="B66" s="226"/>
      <c r="C66" s="227"/>
      <c r="D66" s="226"/>
      <c r="E66" s="164"/>
    </row>
    <row r="67" spans="1:5" ht="16" x14ac:dyDescent="0.2">
      <c r="A67" s="181">
        <v>56</v>
      </c>
      <c r="B67" s="181">
        <v>1</v>
      </c>
      <c r="C67" s="182" t="s">
        <v>2204</v>
      </c>
      <c r="D67" s="181" t="s">
        <v>180</v>
      </c>
      <c r="E67" s="164"/>
    </row>
    <row r="68" spans="1:5" ht="16" x14ac:dyDescent="0.2">
      <c r="A68" s="181">
        <v>57</v>
      </c>
      <c r="B68" s="181">
        <v>2</v>
      </c>
      <c r="C68" s="182" t="s">
        <v>2205</v>
      </c>
      <c r="D68" s="181" t="s">
        <v>180</v>
      </c>
      <c r="E68" s="164"/>
    </row>
    <row r="69" spans="1:5" ht="16" x14ac:dyDescent="0.2">
      <c r="A69" s="181">
        <v>58</v>
      </c>
      <c r="B69" s="181">
        <v>3</v>
      </c>
      <c r="C69" s="182" t="s">
        <v>2206</v>
      </c>
      <c r="D69" s="181" t="s">
        <v>180</v>
      </c>
      <c r="E69" s="164"/>
    </row>
    <row r="70" spans="1:5" ht="16" x14ac:dyDescent="0.2">
      <c r="A70" s="181">
        <v>59</v>
      </c>
      <c r="B70" s="181">
        <v>4</v>
      </c>
      <c r="C70" s="182" t="s">
        <v>1931</v>
      </c>
      <c r="D70" s="181" t="s">
        <v>180</v>
      </c>
      <c r="E70" s="164"/>
    </row>
    <row r="71" spans="1:5" ht="16" x14ac:dyDescent="0.2">
      <c r="A71" s="181">
        <v>60</v>
      </c>
      <c r="B71" s="181">
        <v>5</v>
      </c>
      <c r="C71" s="182" t="s">
        <v>1888</v>
      </c>
      <c r="D71" s="181" t="s">
        <v>180</v>
      </c>
      <c r="E71" s="164"/>
    </row>
    <row r="72" spans="1:5" ht="16" x14ac:dyDescent="0.2">
      <c r="A72" s="181">
        <v>61</v>
      </c>
      <c r="B72" s="181">
        <v>6</v>
      </c>
      <c r="C72" s="182" t="s">
        <v>2207</v>
      </c>
      <c r="D72" s="181" t="s">
        <v>180</v>
      </c>
      <c r="E72" s="164"/>
    </row>
    <row r="73" spans="1:5" ht="16" x14ac:dyDescent="0.2">
      <c r="A73" s="181">
        <v>62</v>
      </c>
      <c r="B73" s="181">
        <v>7</v>
      </c>
      <c r="C73" s="182" t="s">
        <v>2208</v>
      </c>
      <c r="D73" s="181" t="s">
        <v>180</v>
      </c>
      <c r="E73" s="164"/>
    </row>
    <row r="74" spans="1:5" ht="16" x14ac:dyDescent="0.2">
      <c r="A74" s="181">
        <v>63</v>
      </c>
      <c r="B74" s="181">
        <v>8</v>
      </c>
      <c r="C74" s="182" t="s">
        <v>281</v>
      </c>
      <c r="D74" s="181" t="s">
        <v>180</v>
      </c>
      <c r="E74" s="164"/>
    </row>
    <row r="75" spans="1:5" ht="16" x14ac:dyDescent="0.2">
      <c r="A75" s="181">
        <v>64</v>
      </c>
      <c r="B75" s="181">
        <v>9</v>
      </c>
      <c r="C75" s="182" t="s">
        <v>2209</v>
      </c>
      <c r="D75" s="181" t="s">
        <v>180</v>
      </c>
      <c r="E75" s="164"/>
    </row>
    <row r="76" spans="1:5" ht="16" x14ac:dyDescent="0.2">
      <c r="A76" s="181">
        <v>65</v>
      </c>
      <c r="B76" s="181">
        <v>10</v>
      </c>
      <c r="C76" s="182" t="s">
        <v>2210</v>
      </c>
      <c r="D76" s="181" t="s">
        <v>180</v>
      </c>
      <c r="E76" s="164"/>
    </row>
    <row r="77" spans="1:5" ht="16" x14ac:dyDescent="0.2">
      <c r="A77" s="181">
        <v>66</v>
      </c>
      <c r="B77" s="181">
        <v>11</v>
      </c>
      <c r="C77" s="182" t="s">
        <v>284</v>
      </c>
      <c r="D77" s="181" t="s">
        <v>180</v>
      </c>
      <c r="E77" s="164"/>
    </row>
    <row r="78" spans="1:5" ht="16" x14ac:dyDescent="0.2">
      <c r="A78" s="181">
        <v>67</v>
      </c>
      <c r="B78" s="181">
        <v>12</v>
      </c>
      <c r="C78" s="182" t="s">
        <v>2211</v>
      </c>
      <c r="D78" s="181" t="s">
        <v>180</v>
      </c>
      <c r="E78" s="164"/>
    </row>
    <row r="79" spans="1:5" ht="30" x14ac:dyDescent="0.2">
      <c r="A79" s="181">
        <v>68</v>
      </c>
      <c r="B79" s="181">
        <v>13</v>
      </c>
      <c r="C79" s="182" t="s">
        <v>2212</v>
      </c>
      <c r="D79" s="181" t="s">
        <v>180</v>
      </c>
      <c r="E79" s="164"/>
    </row>
    <row r="80" spans="1:5" ht="16" x14ac:dyDescent="0.2">
      <c r="A80" s="181">
        <v>69</v>
      </c>
      <c r="B80" s="181">
        <v>14</v>
      </c>
      <c r="C80" s="182" t="s">
        <v>1015</v>
      </c>
      <c r="D80" s="181" t="s">
        <v>180</v>
      </c>
      <c r="E80" s="164"/>
    </row>
    <row r="81" spans="1:5" ht="16" x14ac:dyDescent="0.2">
      <c r="A81" s="225" t="s">
        <v>2213</v>
      </c>
      <c r="B81" s="226"/>
      <c r="C81" s="227"/>
      <c r="D81" s="226"/>
      <c r="E81" s="164"/>
    </row>
    <row r="82" spans="1:5" ht="16" x14ac:dyDescent="0.2">
      <c r="A82" s="181">
        <v>70</v>
      </c>
      <c r="B82" s="181">
        <v>1</v>
      </c>
      <c r="C82" s="182" t="s">
        <v>1948</v>
      </c>
      <c r="D82" s="181" t="s">
        <v>180</v>
      </c>
      <c r="E82" s="164"/>
    </row>
    <row r="83" spans="1:5" ht="16" x14ac:dyDescent="0.2">
      <c r="A83" s="181">
        <v>71</v>
      </c>
      <c r="B83" s="181">
        <v>2</v>
      </c>
      <c r="C83" s="182" t="s">
        <v>1947</v>
      </c>
      <c r="D83" s="181" t="s">
        <v>179</v>
      </c>
      <c r="E83" s="164"/>
    </row>
    <row r="84" spans="1:5" ht="16" x14ac:dyDescent="0.2">
      <c r="A84" s="225" t="s">
        <v>2214</v>
      </c>
      <c r="B84" s="226"/>
      <c r="C84" s="227"/>
      <c r="D84" s="226"/>
      <c r="E84" s="164"/>
    </row>
    <row r="85" spans="1:5" ht="16" x14ac:dyDescent="0.2">
      <c r="A85" s="181">
        <v>72</v>
      </c>
      <c r="B85" s="181">
        <v>1</v>
      </c>
      <c r="C85" s="182" t="s">
        <v>1930</v>
      </c>
      <c r="D85" s="181" t="s">
        <v>179</v>
      </c>
      <c r="E85" s="164"/>
    </row>
    <row r="86" spans="1:5" ht="16" x14ac:dyDescent="0.2">
      <c r="A86" s="225" t="s">
        <v>2215</v>
      </c>
      <c r="B86" s="226"/>
      <c r="C86" s="227"/>
      <c r="D86" s="226"/>
      <c r="E86" s="164"/>
    </row>
    <row r="87" spans="1:5" ht="16" x14ac:dyDescent="0.2">
      <c r="A87" s="181">
        <v>73</v>
      </c>
      <c r="B87" s="181">
        <v>1</v>
      </c>
      <c r="C87" s="182" t="s">
        <v>1944</v>
      </c>
      <c r="D87" s="181" t="s">
        <v>179</v>
      </c>
      <c r="E87" s="164"/>
    </row>
    <row r="88" spans="1:5" ht="16" x14ac:dyDescent="0.2">
      <c r="A88" s="181">
        <v>74</v>
      </c>
      <c r="B88" s="181">
        <v>2</v>
      </c>
      <c r="C88" s="182" t="s">
        <v>1946</v>
      </c>
      <c r="D88" s="181" t="s">
        <v>179</v>
      </c>
      <c r="E88" s="164"/>
    </row>
    <row r="89" spans="1:5" ht="16" x14ac:dyDescent="0.2">
      <c r="A89" s="181">
        <v>75</v>
      </c>
      <c r="B89" s="181">
        <v>3</v>
      </c>
      <c r="C89" s="182" t="s">
        <v>1943</v>
      </c>
      <c r="D89" s="181" t="s">
        <v>179</v>
      </c>
      <c r="E89" s="164"/>
    </row>
    <row r="90" spans="1:5" ht="16" x14ac:dyDescent="0.2">
      <c r="A90" s="181">
        <v>76</v>
      </c>
      <c r="B90" s="181">
        <v>4</v>
      </c>
      <c r="C90" s="182" t="s">
        <v>1945</v>
      </c>
      <c r="D90" s="181" t="s">
        <v>179</v>
      </c>
      <c r="E90" s="164"/>
    </row>
    <row r="91" spans="1:5" ht="16" x14ac:dyDescent="0.2">
      <c r="A91" s="225" t="s">
        <v>2216</v>
      </c>
      <c r="B91" s="226"/>
      <c r="C91" s="227"/>
      <c r="D91" s="226"/>
      <c r="E91" s="164"/>
    </row>
    <row r="92" spans="1:5" ht="16" x14ac:dyDescent="0.2">
      <c r="A92" s="181">
        <v>77</v>
      </c>
      <c r="B92" s="181">
        <v>1</v>
      </c>
      <c r="C92" s="182" t="s">
        <v>2217</v>
      </c>
      <c r="D92" s="181" t="s">
        <v>180</v>
      </c>
      <c r="E92" s="164"/>
    </row>
    <row r="93" spans="1:5" ht="16" x14ac:dyDescent="0.2">
      <c r="A93" s="181">
        <v>78</v>
      </c>
      <c r="B93" s="181">
        <v>2</v>
      </c>
      <c r="C93" s="182" t="s">
        <v>2218</v>
      </c>
      <c r="D93" s="181" t="s">
        <v>180</v>
      </c>
      <c r="E93" s="164"/>
    </row>
    <row r="94" spans="1:5" ht="30" x14ac:dyDescent="0.2">
      <c r="A94" s="181">
        <v>79</v>
      </c>
      <c r="B94" s="181">
        <v>3</v>
      </c>
      <c r="C94" s="182" t="s">
        <v>2219</v>
      </c>
      <c r="D94" s="181" t="s">
        <v>180</v>
      </c>
      <c r="E94" s="164"/>
    </row>
    <row r="95" spans="1:5" ht="16" x14ac:dyDescent="0.2">
      <c r="A95" s="181">
        <v>80</v>
      </c>
      <c r="B95" s="181">
        <v>4</v>
      </c>
      <c r="C95" s="182" t="s">
        <v>2220</v>
      </c>
      <c r="D95" s="181" t="s">
        <v>179</v>
      </c>
      <c r="E95" s="164"/>
    </row>
    <row r="96" spans="1:5" ht="30" x14ac:dyDescent="0.2">
      <c r="A96" s="181">
        <v>81</v>
      </c>
      <c r="B96" s="181">
        <v>5</v>
      </c>
      <c r="C96" s="182" t="s">
        <v>2221</v>
      </c>
      <c r="D96" s="181" t="s">
        <v>180</v>
      </c>
      <c r="E96" s="164"/>
    </row>
    <row r="97" spans="1:5" ht="16" x14ac:dyDescent="0.2">
      <c r="A97" s="225" t="s">
        <v>2222</v>
      </c>
      <c r="B97" s="226"/>
      <c r="C97" s="227"/>
      <c r="D97" s="226"/>
      <c r="E97" s="164"/>
    </row>
    <row r="98" spans="1:5" ht="16" x14ac:dyDescent="0.2">
      <c r="A98" s="181">
        <v>82</v>
      </c>
      <c r="B98" s="181">
        <v>1</v>
      </c>
      <c r="C98" s="182" t="s">
        <v>2223</v>
      </c>
      <c r="D98" s="181" t="s">
        <v>180</v>
      </c>
      <c r="E98" s="164"/>
    </row>
    <row r="99" spans="1:5" ht="16" x14ac:dyDescent="0.2">
      <c r="A99" s="181">
        <v>83</v>
      </c>
      <c r="B99" s="181">
        <v>2</v>
      </c>
      <c r="C99" s="182" t="s">
        <v>2224</v>
      </c>
      <c r="D99" s="181" t="s">
        <v>179</v>
      </c>
      <c r="E99" s="164"/>
    </row>
    <row r="100" spans="1:5" ht="16" x14ac:dyDescent="0.2">
      <c r="A100" s="181">
        <v>84</v>
      </c>
      <c r="B100" s="181">
        <v>3</v>
      </c>
      <c r="C100" s="182" t="s">
        <v>1022</v>
      </c>
      <c r="D100" s="181" t="s">
        <v>179</v>
      </c>
      <c r="E100" s="164"/>
    </row>
    <row r="101" spans="1:5" ht="16" x14ac:dyDescent="0.2">
      <c r="A101" s="225" t="s">
        <v>2225</v>
      </c>
      <c r="B101" s="226"/>
      <c r="C101" s="227"/>
      <c r="D101" s="226"/>
      <c r="E101" s="164"/>
    </row>
    <row r="102" spans="1:5" ht="16" x14ac:dyDescent="0.2">
      <c r="A102" s="181">
        <v>85</v>
      </c>
      <c r="B102" s="181">
        <v>1</v>
      </c>
      <c r="C102" s="182" t="s">
        <v>2226</v>
      </c>
      <c r="D102" s="181" t="s">
        <v>179</v>
      </c>
      <c r="E102" s="164"/>
    </row>
    <row r="103" spans="1:5" ht="16" x14ac:dyDescent="0.2">
      <c r="A103" s="181">
        <v>86</v>
      </c>
      <c r="B103" s="181">
        <v>2</v>
      </c>
      <c r="C103" s="182" t="s">
        <v>1935</v>
      </c>
      <c r="D103" s="181" t="s">
        <v>179</v>
      </c>
      <c r="E103" s="164"/>
    </row>
    <row r="104" spans="1:5" ht="16" x14ac:dyDescent="0.2">
      <c r="A104" s="181">
        <v>87</v>
      </c>
      <c r="B104" s="181">
        <v>3</v>
      </c>
      <c r="C104" s="182" t="s">
        <v>1934</v>
      </c>
      <c r="D104" s="181" t="s">
        <v>179</v>
      </c>
      <c r="E104" s="164"/>
    </row>
    <row r="105" spans="1:5" ht="16" x14ac:dyDescent="0.2">
      <c r="A105" s="225" t="s">
        <v>2227</v>
      </c>
      <c r="B105" s="226"/>
      <c r="C105" s="227"/>
      <c r="D105" s="226"/>
      <c r="E105" s="164"/>
    </row>
    <row r="106" spans="1:5" ht="16" x14ac:dyDescent="0.2">
      <c r="A106" s="181">
        <v>88</v>
      </c>
      <c r="B106" s="181">
        <v>1</v>
      </c>
      <c r="C106" s="182" t="s">
        <v>1522</v>
      </c>
      <c r="D106" s="181" t="s">
        <v>180</v>
      </c>
      <c r="E106" s="164"/>
    </row>
    <row r="107" spans="1:5" ht="16" x14ac:dyDescent="0.2">
      <c r="A107" s="181">
        <v>89</v>
      </c>
      <c r="B107" s="181">
        <v>2</v>
      </c>
      <c r="C107" s="182" t="s">
        <v>1076</v>
      </c>
      <c r="D107" s="181" t="s">
        <v>180</v>
      </c>
      <c r="E107" s="164"/>
    </row>
    <row r="108" spans="1:5" ht="16" x14ac:dyDescent="0.2">
      <c r="A108" s="181">
        <v>90</v>
      </c>
      <c r="B108" s="181">
        <v>3</v>
      </c>
      <c r="C108" s="182" t="s">
        <v>1075</v>
      </c>
      <c r="D108" s="181" t="s">
        <v>180</v>
      </c>
      <c r="E108" s="164"/>
    </row>
    <row r="109" spans="1:5" ht="16" x14ac:dyDescent="0.2">
      <c r="A109" s="225" t="s">
        <v>2228</v>
      </c>
      <c r="B109" s="226"/>
      <c r="C109" s="227"/>
      <c r="D109" s="226"/>
      <c r="E109" s="164"/>
    </row>
    <row r="110" spans="1:5" ht="16" x14ac:dyDescent="0.2">
      <c r="A110" s="181">
        <v>91</v>
      </c>
      <c r="B110" s="181">
        <v>1</v>
      </c>
      <c r="C110" s="182" t="s">
        <v>1408</v>
      </c>
      <c r="D110" s="181" t="s">
        <v>180</v>
      </c>
      <c r="E110" s="164"/>
    </row>
    <row r="111" spans="1:5" ht="16" x14ac:dyDescent="0.2">
      <c r="A111" s="181">
        <v>92</v>
      </c>
      <c r="B111" s="181">
        <v>2</v>
      </c>
      <c r="C111" s="182" t="s">
        <v>1411</v>
      </c>
      <c r="D111" s="181" t="s">
        <v>180</v>
      </c>
      <c r="E111" s="164"/>
    </row>
    <row r="112" spans="1:5" ht="16" x14ac:dyDescent="0.2">
      <c r="A112" s="181">
        <v>93</v>
      </c>
      <c r="B112" s="181">
        <v>3</v>
      </c>
      <c r="C112" s="182" t="s">
        <v>1420</v>
      </c>
      <c r="D112" s="181" t="s">
        <v>180</v>
      </c>
      <c r="E112" s="164"/>
    </row>
    <row r="113" spans="1:5" ht="16" x14ac:dyDescent="0.2">
      <c r="A113" s="225" t="s">
        <v>2229</v>
      </c>
      <c r="B113" s="226"/>
      <c r="C113" s="227"/>
      <c r="D113" s="226"/>
      <c r="E113" s="164"/>
    </row>
    <row r="114" spans="1:5" ht="16" x14ac:dyDescent="0.2">
      <c r="A114" s="181">
        <v>94</v>
      </c>
      <c r="B114" s="181">
        <v>1</v>
      </c>
      <c r="C114" s="182" t="s">
        <v>1942</v>
      </c>
      <c r="D114" s="181" t="s">
        <v>180</v>
      </c>
      <c r="E114" s="164"/>
    </row>
    <row r="115" spans="1:5" ht="16" x14ac:dyDescent="0.2">
      <c r="A115" s="225" t="s">
        <v>2230</v>
      </c>
      <c r="B115" s="226"/>
      <c r="C115" s="227"/>
      <c r="D115" s="226"/>
      <c r="E115" s="164"/>
    </row>
    <row r="116" spans="1:5" ht="16" x14ac:dyDescent="0.2">
      <c r="A116" s="181">
        <v>95</v>
      </c>
      <c r="B116" s="181">
        <v>1</v>
      </c>
      <c r="C116" s="182" t="s">
        <v>1950</v>
      </c>
      <c r="D116" s="181" t="s">
        <v>180</v>
      </c>
      <c r="E116" s="164"/>
    </row>
    <row r="117" spans="1:5" ht="16" x14ac:dyDescent="0.2">
      <c r="A117" s="181">
        <v>96</v>
      </c>
      <c r="B117" s="181">
        <v>2</v>
      </c>
      <c r="C117" s="182" t="s">
        <v>1949</v>
      </c>
      <c r="D117" s="181" t="s">
        <v>180</v>
      </c>
      <c r="E117" s="164"/>
    </row>
    <row r="118" spans="1:5" ht="16" x14ac:dyDescent="0.2">
      <c r="A118" s="225" t="s">
        <v>2231</v>
      </c>
      <c r="B118" s="226"/>
      <c r="C118" s="227"/>
      <c r="D118" s="226"/>
      <c r="E118" s="164"/>
    </row>
    <row r="119" spans="1:5" ht="16" x14ac:dyDescent="0.2">
      <c r="A119" s="181">
        <v>97</v>
      </c>
      <c r="B119" s="181">
        <v>1</v>
      </c>
      <c r="C119" s="182" t="s">
        <v>1324</v>
      </c>
      <c r="D119" s="181" t="s">
        <v>179</v>
      </c>
      <c r="E119" s="164"/>
    </row>
    <row r="120" spans="1:5" ht="16" x14ac:dyDescent="0.2">
      <c r="A120" s="181">
        <v>98</v>
      </c>
      <c r="B120" s="181">
        <v>2</v>
      </c>
      <c r="C120" s="182" t="s">
        <v>1325</v>
      </c>
      <c r="D120" s="181" t="s">
        <v>179</v>
      </c>
      <c r="E120" s="164"/>
    </row>
    <row r="121" spans="1:5" ht="16" x14ac:dyDescent="0.2">
      <c r="A121" s="181">
        <v>99</v>
      </c>
      <c r="B121" s="181">
        <v>3</v>
      </c>
      <c r="C121" s="182" t="s">
        <v>1924</v>
      </c>
      <c r="D121" s="181" t="s">
        <v>179</v>
      </c>
      <c r="E121" s="164"/>
    </row>
    <row r="122" spans="1:5" ht="16" x14ac:dyDescent="0.2">
      <c r="A122" s="181">
        <v>100</v>
      </c>
      <c r="B122" s="181">
        <v>4</v>
      </c>
      <c r="C122" s="182" t="s">
        <v>1892</v>
      </c>
      <c r="D122" s="181" t="s">
        <v>179</v>
      </c>
      <c r="E122" s="164"/>
    </row>
    <row r="123" spans="1:5" ht="16" x14ac:dyDescent="0.2">
      <c r="A123" s="181">
        <v>101</v>
      </c>
      <c r="B123" s="181">
        <v>5</v>
      </c>
      <c r="C123" s="182" t="s">
        <v>1923</v>
      </c>
      <c r="D123" s="181" t="s">
        <v>179</v>
      </c>
      <c r="E123" s="164"/>
    </row>
    <row r="124" spans="1:5" ht="16" x14ac:dyDescent="0.2">
      <c r="A124" s="181">
        <v>102</v>
      </c>
      <c r="B124" s="181">
        <v>6</v>
      </c>
      <c r="C124" s="182" t="s">
        <v>1891</v>
      </c>
      <c r="D124" s="181" t="s">
        <v>179</v>
      </c>
      <c r="E124" s="164"/>
    </row>
    <row r="125" spans="1:5" ht="16" x14ac:dyDescent="0.2">
      <c r="A125" s="225" t="s">
        <v>2232</v>
      </c>
      <c r="B125" s="226"/>
      <c r="C125" s="227"/>
      <c r="D125" s="226"/>
      <c r="E125" s="164"/>
    </row>
    <row r="126" spans="1:5" ht="16" x14ac:dyDescent="0.2">
      <c r="A126" s="181">
        <v>103</v>
      </c>
      <c r="B126" s="181">
        <v>1</v>
      </c>
      <c r="C126" s="182" t="s">
        <v>1325</v>
      </c>
      <c r="D126" s="181" t="s">
        <v>179</v>
      </c>
      <c r="E126" s="164"/>
    </row>
    <row r="127" spans="1:5" ht="16" x14ac:dyDescent="0.2">
      <c r="A127" s="181">
        <v>104</v>
      </c>
      <c r="B127" s="181">
        <v>2</v>
      </c>
      <c r="C127" s="182" t="s">
        <v>1324</v>
      </c>
      <c r="D127" s="181" t="s">
        <v>179</v>
      </c>
      <c r="E127" s="164"/>
    </row>
    <row r="128" spans="1:5" ht="16" x14ac:dyDescent="0.2">
      <c r="A128" s="181">
        <v>105</v>
      </c>
      <c r="B128" s="181">
        <v>3</v>
      </c>
      <c r="C128" s="182" t="s">
        <v>2133</v>
      </c>
      <c r="D128" s="181" t="s">
        <v>179</v>
      </c>
      <c r="E128" s="164"/>
    </row>
    <row r="129" spans="1:5" ht="16" x14ac:dyDescent="0.2">
      <c r="A129" s="181">
        <v>106</v>
      </c>
      <c r="B129" s="181">
        <v>4</v>
      </c>
      <c r="C129" s="182" t="s">
        <v>2134</v>
      </c>
      <c r="D129" s="181" t="s">
        <v>179</v>
      </c>
      <c r="E129" s="164"/>
    </row>
    <row r="130" spans="1:5" ht="16" x14ac:dyDescent="0.2">
      <c r="A130" s="181">
        <v>107</v>
      </c>
      <c r="B130" s="181">
        <v>5</v>
      </c>
      <c r="C130" s="182" t="s">
        <v>2233</v>
      </c>
      <c r="D130" s="181" t="s">
        <v>179</v>
      </c>
      <c r="E130" s="164"/>
    </row>
    <row r="131" spans="1:5" ht="16" x14ac:dyDescent="0.2">
      <c r="A131" s="181">
        <v>108</v>
      </c>
      <c r="B131" s="181">
        <v>6</v>
      </c>
      <c r="C131" s="182" t="s">
        <v>2132</v>
      </c>
      <c r="D131" s="181" t="s">
        <v>179</v>
      </c>
      <c r="E131" s="164"/>
    </row>
    <row r="132" spans="1:5" ht="16" x14ac:dyDescent="0.2">
      <c r="A132" s="225" t="s">
        <v>2234</v>
      </c>
      <c r="B132" s="226"/>
      <c r="C132" s="227"/>
      <c r="D132" s="226"/>
      <c r="E132" s="164"/>
    </row>
    <row r="133" spans="1:5" ht="16" x14ac:dyDescent="0.2">
      <c r="A133" s="181">
        <v>109</v>
      </c>
      <c r="B133" s="181">
        <v>1</v>
      </c>
      <c r="C133" s="182" t="s">
        <v>1898</v>
      </c>
      <c r="D133" s="181" t="s">
        <v>180</v>
      </c>
      <c r="E133" s="164"/>
    </row>
    <row r="134" spans="1:5" ht="16" x14ac:dyDescent="0.2">
      <c r="A134" s="181">
        <v>110</v>
      </c>
      <c r="B134" s="181">
        <v>2</v>
      </c>
      <c r="C134" s="182" t="s">
        <v>1899</v>
      </c>
      <c r="D134" s="181" t="s">
        <v>180</v>
      </c>
      <c r="E134" s="164"/>
    </row>
    <row r="135" spans="1:5" ht="16" x14ac:dyDescent="0.2">
      <c r="A135" s="225" t="s">
        <v>2235</v>
      </c>
      <c r="B135" s="226"/>
      <c r="C135" s="227"/>
      <c r="D135" s="226"/>
      <c r="E135" s="164"/>
    </row>
    <row r="136" spans="1:5" ht="16" x14ac:dyDescent="0.2">
      <c r="A136" s="181">
        <v>111</v>
      </c>
      <c r="B136" s="181">
        <v>1</v>
      </c>
      <c r="C136" s="182" t="s">
        <v>1932</v>
      </c>
      <c r="D136" s="181" t="s">
        <v>180</v>
      </c>
      <c r="E136" s="164"/>
    </row>
    <row r="137" spans="1:5" ht="16" x14ac:dyDescent="0.2">
      <c r="A137" s="181">
        <v>112</v>
      </c>
      <c r="B137" s="181">
        <v>2</v>
      </c>
      <c r="C137" s="182" t="s">
        <v>1933</v>
      </c>
      <c r="D137" s="181" t="s">
        <v>180</v>
      </c>
      <c r="E137" s="164"/>
    </row>
    <row r="138" spans="1:5" ht="16" x14ac:dyDescent="0.2">
      <c r="A138" s="225" t="s">
        <v>2236</v>
      </c>
      <c r="B138" s="226"/>
      <c r="C138" s="227"/>
      <c r="D138" s="226"/>
      <c r="E138" s="164"/>
    </row>
    <row r="139" spans="1:5" ht="16" x14ac:dyDescent="0.2">
      <c r="A139" s="181">
        <v>113</v>
      </c>
      <c r="B139" s="181">
        <v>1</v>
      </c>
      <c r="C139" s="182" t="s">
        <v>1921</v>
      </c>
      <c r="D139" s="181" t="s">
        <v>179</v>
      </c>
      <c r="E139" s="164"/>
    </row>
    <row r="140" spans="1:5" ht="16" x14ac:dyDescent="0.2">
      <c r="A140" s="181">
        <v>114</v>
      </c>
      <c r="B140" s="181">
        <v>2</v>
      </c>
      <c r="C140" s="182" t="s">
        <v>1922</v>
      </c>
      <c r="D140" s="181" t="s">
        <v>179</v>
      </c>
      <c r="E140" s="164"/>
    </row>
    <row r="141" spans="1:5" ht="16" x14ac:dyDescent="0.2">
      <c r="A141" s="181">
        <v>115</v>
      </c>
      <c r="B141" s="181">
        <v>3</v>
      </c>
      <c r="C141" s="182" t="s">
        <v>1161</v>
      </c>
      <c r="D141" s="181" t="s">
        <v>179</v>
      </c>
      <c r="E141" s="164"/>
    </row>
    <row r="142" spans="1:5" ht="16" x14ac:dyDescent="0.2">
      <c r="A142" s="181">
        <v>116</v>
      </c>
      <c r="B142" s="181">
        <v>4</v>
      </c>
      <c r="C142" s="182" t="s">
        <v>1160</v>
      </c>
      <c r="D142" s="181" t="s">
        <v>179</v>
      </c>
      <c r="E142" s="164"/>
    </row>
    <row r="143" spans="1:5" ht="16" x14ac:dyDescent="0.2">
      <c r="A143" s="181">
        <v>117</v>
      </c>
      <c r="B143" s="181">
        <v>5</v>
      </c>
      <c r="C143" s="182" t="s">
        <v>1159</v>
      </c>
      <c r="D143" s="181" t="s">
        <v>179</v>
      </c>
      <c r="E143" s="164"/>
    </row>
    <row r="144" spans="1:5" ht="16" x14ac:dyDescent="0.2">
      <c r="A144" s="181">
        <v>118</v>
      </c>
      <c r="B144" s="181">
        <v>6</v>
      </c>
      <c r="C144" s="182" t="s">
        <v>1892</v>
      </c>
      <c r="D144" s="181" t="s">
        <v>179</v>
      </c>
      <c r="E144" s="164"/>
    </row>
    <row r="145" spans="1:5" ht="16" x14ac:dyDescent="0.2">
      <c r="A145" s="181">
        <v>119</v>
      </c>
      <c r="B145" s="181">
        <v>7</v>
      </c>
      <c r="C145" s="182" t="s">
        <v>1920</v>
      </c>
      <c r="D145" s="181" t="s">
        <v>179</v>
      </c>
      <c r="E145" s="164"/>
    </row>
    <row r="146" spans="1:5" ht="16" x14ac:dyDescent="0.2">
      <c r="A146" s="225" t="s">
        <v>2237</v>
      </c>
      <c r="B146" s="226"/>
      <c r="C146" s="227"/>
      <c r="D146" s="226"/>
      <c r="E146" s="164"/>
    </row>
    <row r="147" spans="1:5" ht="16" x14ac:dyDescent="0.2">
      <c r="A147" s="181">
        <v>120</v>
      </c>
      <c r="B147" s="181">
        <v>1</v>
      </c>
      <c r="C147" s="182" t="s">
        <v>1684</v>
      </c>
      <c r="D147" s="181" t="s">
        <v>180</v>
      </c>
      <c r="E147" s="164"/>
    </row>
    <row r="148" spans="1:5" ht="16" x14ac:dyDescent="0.2">
      <c r="A148" s="225" t="s">
        <v>2238</v>
      </c>
      <c r="B148" s="226"/>
      <c r="C148" s="227"/>
      <c r="D148" s="226"/>
      <c r="E148" s="164"/>
    </row>
    <row r="149" spans="1:5" ht="16" x14ac:dyDescent="0.2">
      <c r="A149" s="181">
        <v>121</v>
      </c>
      <c r="B149" s="181">
        <v>1</v>
      </c>
      <c r="C149" s="182" t="s">
        <v>1688</v>
      </c>
      <c r="D149" s="181" t="s">
        <v>180</v>
      </c>
      <c r="E149" s="164"/>
    </row>
    <row r="150" spans="1:5" ht="16" x14ac:dyDescent="0.2">
      <c r="A150" s="181">
        <v>122</v>
      </c>
      <c r="B150" s="181">
        <v>2</v>
      </c>
      <c r="C150" s="182" t="s">
        <v>1687</v>
      </c>
      <c r="D150" s="181" t="s">
        <v>180</v>
      </c>
      <c r="E150" s="164"/>
    </row>
    <row r="151" spans="1:5" ht="16" x14ac:dyDescent="0.2">
      <c r="A151" s="225" t="s">
        <v>2239</v>
      </c>
      <c r="B151" s="226"/>
      <c r="C151" s="227"/>
      <c r="D151" s="226"/>
      <c r="E151" s="164"/>
    </row>
    <row r="152" spans="1:5" ht="16" x14ac:dyDescent="0.2">
      <c r="A152" s="181">
        <v>123</v>
      </c>
      <c r="B152" s="181">
        <v>1</v>
      </c>
      <c r="C152" s="182" t="s">
        <v>1703</v>
      </c>
      <c r="D152" s="181" t="s">
        <v>180</v>
      </c>
      <c r="E152" s="164"/>
    </row>
    <row r="153" spans="1:5" ht="16" x14ac:dyDescent="0.2">
      <c r="A153" s="225" t="s">
        <v>2240</v>
      </c>
      <c r="B153" s="226"/>
      <c r="C153" s="227"/>
      <c r="D153" s="226"/>
      <c r="E153" s="164"/>
    </row>
    <row r="154" spans="1:5" ht="30" x14ac:dyDescent="0.2">
      <c r="A154" s="181">
        <v>124</v>
      </c>
      <c r="B154" s="181">
        <v>1</v>
      </c>
      <c r="C154" s="182" t="s">
        <v>1905</v>
      </c>
      <c r="D154" s="181" t="s">
        <v>180</v>
      </c>
      <c r="E154" s="164"/>
    </row>
    <row r="155" spans="1:5" ht="16" x14ac:dyDescent="0.2">
      <c r="A155" s="225" t="s">
        <v>2241</v>
      </c>
      <c r="B155" s="226"/>
      <c r="C155" s="227"/>
      <c r="D155" s="226"/>
      <c r="E155" s="164"/>
    </row>
    <row r="156" spans="1:5" ht="16" x14ac:dyDescent="0.2">
      <c r="A156" s="181">
        <v>125</v>
      </c>
      <c r="B156" s="181">
        <v>1</v>
      </c>
      <c r="C156" s="182" t="s">
        <v>1907</v>
      </c>
      <c r="D156" s="181" t="s">
        <v>180</v>
      </c>
      <c r="E156" s="164"/>
    </row>
    <row r="157" spans="1:5" ht="16" x14ac:dyDescent="0.2">
      <c r="A157" s="225" t="s">
        <v>2242</v>
      </c>
      <c r="B157" s="226"/>
      <c r="C157" s="227"/>
      <c r="D157" s="226"/>
      <c r="E157" s="164"/>
    </row>
    <row r="158" spans="1:5" ht="16" x14ac:dyDescent="0.2">
      <c r="A158" s="181">
        <v>126</v>
      </c>
      <c r="B158" s="181">
        <v>1</v>
      </c>
      <c r="C158" s="182" t="s">
        <v>1757</v>
      </c>
      <c r="D158" s="181" t="s">
        <v>180</v>
      </c>
      <c r="E158" s="164"/>
    </row>
    <row r="159" spans="1:5" ht="16" x14ac:dyDescent="0.2">
      <c r="A159" s="181">
        <v>127</v>
      </c>
      <c r="B159" s="181">
        <v>2</v>
      </c>
      <c r="C159" s="182" t="s">
        <v>1756</v>
      </c>
      <c r="D159" s="181" t="s">
        <v>180</v>
      </c>
      <c r="E159" s="164"/>
    </row>
    <row r="160" spans="1:5" ht="16" x14ac:dyDescent="0.2">
      <c r="A160" s="225" t="s">
        <v>2243</v>
      </c>
      <c r="B160" s="226"/>
      <c r="C160" s="227"/>
      <c r="D160" s="226"/>
      <c r="E160" s="164"/>
    </row>
    <row r="161" spans="1:5" ht="16" x14ac:dyDescent="0.2">
      <c r="A161" s="181">
        <v>128</v>
      </c>
      <c r="B161" s="181">
        <v>1</v>
      </c>
      <c r="C161" s="182" t="s">
        <v>1926</v>
      </c>
      <c r="D161" s="181" t="s">
        <v>179</v>
      </c>
      <c r="E161" s="164"/>
    </row>
    <row r="162" spans="1:5" ht="16" x14ac:dyDescent="0.2">
      <c r="A162" s="181">
        <v>129</v>
      </c>
      <c r="B162" s="181">
        <v>2</v>
      </c>
      <c r="C162" s="182" t="s">
        <v>1927</v>
      </c>
      <c r="D162" s="181" t="s">
        <v>179</v>
      </c>
      <c r="E162" s="164"/>
    </row>
    <row r="163" spans="1:5" ht="16" x14ac:dyDescent="0.2">
      <c r="A163" s="181">
        <v>130</v>
      </c>
      <c r="B163" s="181">
        <v>3</v>
      </c>
      <c r="C163" s="182" t="s">
        <v>2244</v>
      </c>
      <c r="D163" s="181" t="s">
        <v>179</v>
      </c>
      <c r="E163" s="164"/>
    </row>
    <row r="164" spans="1:5" x14ac:dyDescent="0.2">
      <c r="A164" s="181">
        <v>131</v>
      </c>
      <c r="B164" s="181">
        <v>4</v>
      </c>
      <c r="C164" s="182" t="s">
        <v>2245</v>
      </c>
      <c r="D164" s="181" t="s">
        <v>179</v>
      </c>
    </row>
    <row r="165" spans="1:5" x14ac:dyDescent="0.2">
      <c r="A165" s="181">
        <v>132</v>
      </c>
      <c r="B165" s="181">
        <v>5</v>
      </c>
      <c r="C165" s="182" t="s">
        <v>1925</v>
      </c>
      <c r="D165" s="181" t="s">
        <v>180</v>
      </c>
    </row>
    <row r="166" spans="1:5" x14ac:dyDescent="0.2">
      <c r="A166" s="181">
        <v>133</v>
      </c>
      <c r="B166" s="181">
        <v>6</v>
      </c>
      <c r="C166" s="182" t="s">
        <v>2246</v>
      </c>
      <c r="D166" s="181" t="s">
        <v>179</v>
      </c>
    </row>
    <row r="167" spans="1:5" x14ac:dyDescent="0.2">
      <c r="A167" s="181">
        <v>134</v>
      </c>
      <c r="B167" s="181">
        <v>7</v>
      </c>
      <c r="C167" s="182" t="s">
        <v>1928</v>
      </c>
      <c r="D167" s="181" t="s">
        <v>180</v>
      </c>
    </row>
    <row r="168" spans="1:5" x14ac:dyDescent="0.2">
      <c r="A168" s="181">
        <v>135</v>
      </c>
      <c r="B168" s="181">
        <v>8</v>
      </c>
      <c r="C168" s="182" t="s">
        <v>2247</v>
      </c>
      <c r="D168" s="181" t="s">
        <v>180</v>
      </c>
    </row>
    <row r="169" spans="1:5" x14ac:dyDescent="0.2">
      <c r="A169" s="181">
        <v>136</v>
      </c>
      <c r="B169" s="181">
        <v>9</v>
      </c>
      <c r="C169" s="182" t="s">
        <v>1929</v>
      </c>
      <c r="D169" s="181" t="s">
        <v>180</v>
      </c>
    </row>
    <row r="170" spans="1:5" x14ac:dyDescent="0.2">
      <c r="A170" s="225" t="s">
        <v>2248</v>
      </c>
      <c r="B170" s="226"/>
      <c r="C170" s="227"/>
      <c r="D170" s="226"/>
    </row>
    <row r="171" spans="1:5" x14ac:dyDescent="0.2">
      <c r="A171" s="181">
        <v>137</v>
      </c>
      <c r="B171" s="181">
        <v>1</v>
      </c>
      <c r="C171" s="182" t="s">
        <v>2249</v>
      </c>
      <c r="D171" s="181" t="s">
        <v>179</v>
      </c>
    </row>
    <row r="172" spans="1:5" x14ac:dyDescent="0.2">
      <c r="A172" s="181">
        <v>138</v>
      </c>
      <c r="B172" s="181">
        <v>2</v>
      </c>
      <c r="C172" s="182" t="s">
        <v>2250</v>
      </c>
      <c r="D172" s="181" t="s">
        <v>179</v>
      </c>
    </row>
    <row r="173" spans="1:5" x14ac:dyDescent="0.2">
      <c r="A173" s="181">
        <v>139</v>
      </c>
      <c r="B173" s="181">
        <v>3</v>
      </c>
      <c r="C173" s="182" t="s">
        <v>2251</v>
      </c>
      <c r="D173" s="181" t="s">
        <v>179</v>
      </c>
    </row>
    <row r="174" spans="1:5" x14ac:dyDescent="0.2">
      <c r="A174" s="181">
        <v>140</v>
      </c>
      <c r="B174" s="181">
        <v>4</v>
      </c>
      <c r="C174" s="182" t="s">
        <v>2252</v>
      </c>
      <c r="D174" s="181" t="s">
        <v>179</v>
      </c>
    </row>
    <row r="175" spans="1:5" x14ac:dyDescent="0.2">
      <c r="A175" s="181">
        <v>141</v>
      </c>
      <c r="B175" s="181">
        <v>5</v>
      </c>
      <c r="C175" s="182" t="s">
        <v>2068</v>
      </c>
      <c r="D175" s="181" t="s">
        <v>179</v>
      </c>
    </row>
    <row r="176" spans="1:5" x14ac:dyDescent="0.2">
      <c r="A176" s="181">
        <v>142</v>
      </c>
      <c r="B176" s="181">
        <v>6</v>
      </c>
      <c r="C176" s="182" t="s">
        <v>2070</v>
      </c>
      <c r="D176" s="181" t="s">
        <v>179</v>
      </c>
    </row>
    <row r="177" spans="1:4" x14ac:dyDescent="0.2">
      <c r="A177" s="181">
        <v>143</v>
      </c>
      <c r="B177" s="181">
        <v>7</v>
      </c>
      <c r="C177" s="182" t="s">
        <v>2253</v>
      </c>
      <c r="D177" s="181" t="s">
        <v>179</v>
      </c>
    </row>
    <row r="178" spans="1:4" x14ac:dyDescent="0.2">
      <c r="A178" s="225" t="s">
        <v>2254</v>
      </c>
      <c r="B178" s="226"/>
      <c r="C178" s="227"/>
      <c r="D178" s="226"/>
    </row>
    <row r="179" spans="1:4" x14ac:dyDescent="0.2">
      <c r="A179" s="181">
        <v>144</v>
      </c>
      <c r="B179" s="181">
        <v>1</v>
      </c>
      <c r="C179" s="182" t="s">
        <v>2255</v>
      </c>
      <c r="D179" s="181" t="s">
        <v>180</v>
      </c>
    </row>
    <row r="180" spans="1:4" x14ac:dyDescent="0.2">
      <c r="A180" s="225" t="s">
        <v>2256</v>
      </c>
      <c r="B180" s="226"/>
      <c r="C180" s="227"/>
      <c r="D180" s="226"/>
    </row>
    <row r="181" spans="1:4" x14ac:dyDescent="0.2">
      <c r="A181" s="181">
        <v>145</v>
      </c>
      <c r="B181" s="181">
        <v>1</v>
      </c>
      <c r="C181" s="182" t="s">
        <v>2257</v>
      </c>
      <c r="D181" s="181" t="s">
        <v>180</v>
      </c>
    </row>
    <row r="182" spans="1:4" x14ac:dyDescent="0.2">
      <c r="A182" s="225" t="s">
        <v>2258</v>
      </c>
      <c r="B182" s="226"/>
      <c r="C182" s="227"/>
      <c r="D182" s="226"/>
    </row>
    <row r="183" spans="1:4" x14ac:dyDescent="0.2">
      <c r="A183" s="181">
        <v>146</v>
      </c>
      <c r="B183" s="181">
        <v>1</v>
      </c>
      <c r="C183" s="182" t="s">
        <v>2259</v>
      </c>
      <c r="D183" s="181" t="s">
        <v>179</v>
      </c>
    </row>
    <row r="184" spans="1:4" x14ac:dyDescent="0.2">
      <c r="A184" s="181">
        <v>147</v>
      </c>
      <c r="B184" s="181">
        <v>2</v>
      </c>
      <c r="C184" s="182" t="s">
        <v>2260</v>
      </c>
      <c r="D184" s="181" t="s">
        <v>179</v>
      </c>
    </row>
    <row r="185" spans="1:4" x14ac:dyDescent="0.2">
      <c r="A185" s="181">
        <v>148</v>
      </c>
      <c r="B185" s="181">
        <v>3</v>
      </c>
      <c r="C185" s="182" t="s">
        <v>2261</v>
      </c>
      <c r="D185" s="181" t="s">
        <v>179</v>
      </c>
    </row>
    <row r="186" spans="1:4" x14ac:dyDescent="0.2">
      <c r="A186" s="225" t="s">
        <v>2262</v>
      </c>
      <c r="B186" s="226"/>
      <c r="C186" s="227"/>
      <c r="D186" s="226"/>
    </row>
    <row r="187" spans="1:4" x14ac:dyDescent="0.2">
      <c r="A187" s="181">
        <v>149</v>
      </c>
      <c r="B187" s="181">
        <v>1</v>
      </c>
      <c r="C187" s="182" t="s">
        <v>2111</v>
      </c>
      <c r="D187" s="181" t="s">
        <v>180</v>
      </c>
    </row>
    <row r="188" spans="1:4" x14ac:dyDescent="0.2">
      <c r="A188" s="181">
        <v>150</v>
      </c>
      <c r="B188" s="181">
        <v>2</v>
      </c>
      <c r="C188" s="182" t="s">
        <v>2263</v>
      </c>
      <c r="D188" s="181" t="s">
        <v>180</v>
      </c>
    </row>
  </sheetData>
  <mergeCells count="36">
    <mergeCell ref="A170:D170"/>
    <mergeCell ref="A178:D178"/>
    <mergeCell ref="A180:D180"/>
    <mergeCell ref="A182:D182"/>
    <mergeCell ref="A186:D186"/>
    <mergeCell ref="A1:D1"/>
    <mergeCell ref="A4:D4"/>
    <mergeCell ref="A7:D7"/>
    <mergeCell ref="A9:D9"/>
    <mergeCell ref="A14:D14"/>
    <mergeCell ref="A25:D25"/>
    <mergeCell ref="A49:D49"/>
    <mergeCell ref="A61:D61"/>
    <mergeCell ref="A66:D66"/>
    <mergeCell ref="A81:D81"/>
    <mergeCell ref="A84:D84"/>
    <mergeCell ref="A86:D86"/>
    <mergeCell ref="A91:D91"/>
    <mergeCell ref="A97:D97"/>
    <mergeCell ref="A101:D101"/>
    <mergeCell ref="A160:D160"/>
    <mergeCell ref="A105:D105"/>
    <mergeCell ref="A132:D132"/>
    <mergeCell ref="A135:D135"/>
    <mergeCell ref="A138:D138"/>
    <mergeCell ref="A157:D157"/>
    <mergeCell ref="A109:D109"/>
    <mergeCell ref="A113:D113"/>
    <mergeCell ref="A115:D115"/>
    <mergeCell ref="A118:D118"/>
    <mergeCell ref="A125:D125"/>
    <mergeCell ref="A146:D146"/>
    <mergeCell ref="A148:D148"/>
    <mergeCell ref="A151:D151"/>
    <mergeCell ref="A153:D153"/>
    <mergeCell ref="A155:D155"/>
  </mergeCells>
  <printOptions horizontalCentered="1"/>
  <pageMargins left="0.31496062992125984" right="0.27559055118110237" top="0.35433070866141736" bottom="0.31496062992125984" header="0.31496062992125984" footer="0.31496062992125984"/>
  <pageSetup paperSize="9" scale="75" fitToHeight="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F1527-7D1A-E340-A626-1C3B45D68F9F}">
  <dimension ref="A1:J255"/>
  <sheetViews>
    <sheetView view="pageBreakPreview" zoomScale="114" zoomScaleNormal="130" zoomScaleSheetLayoutView="87" workbookViewId="0">
      <pane xSplit="1" ySplit="5" topLeftCell="B6" activePane="bottomRight" state="frozen"/>
      <selection pane="topRight" activeCell="B1" sqref="B1"/>
      <selection pane="bottomLeft" activeCell="A6" sqref="A6"/>
      <selection pane="bottomRight" activeCell="B6" sqref="B6"/>
    </sheetView>
  </sheetViews>
  <sheetFormatPr baseColWidth="10" defaultColWidth="9.1640625" defaultRowHeight="14" x14ac:dyDescent="0.15"/>
  <cols>
    <col min="1" max="1" width="9.1640625" style="21"/>
    <col min="2" max="2" width="81.83203125" style="20" customWidth="1"/>
    <col min="3" max="3" width="25" style="69" customWidth="1"/>
    <col min="4" max="4" width="13.1640625" style="21" bestFit="1" customWidth="1"/>
    <col min="5" max="5" width="16.5" style="21" customWidth="1"/>
    <col min="6" max="6" width="18.1640625" style="20" customWidth="1"/>
    <col min="7" max="7" width="44.5" style="78" customWidth="1"/>
    <col min="8" max="8" width="27.5" style="59" customWidth="1"/>
    <col min="9" max="9" width="15.5" style="20" customWidth="1"/>
    <col min="10" max="16384" width="9.1640625" style="20"/>
  </cols>
  <sheetData>
    <row r="1" spans="1:10" ht="16" x14ac:dyDescent="0.15">
      <c r="A1" s="228" t="s">
        <v>164</v>
      </c>
      <c r="B1" s="228"/>
      <c r="C1" s="228"/>
      <c r="D1" s="228"/>
      <c r="E1" s="228"/>
    </row>
    <row r="2" spans="1:10" x14ac:dyDescent="0.15">
      <c r="J2" s="58"/>
    </row>
    <row r="5" spans="1:10" ht="68" x14ac:dyDescent="0.15">
      <c r="A5" s="30" t="s">
        <v>272</v>
      </c>
      <c r="B5" s="30" t="s">
        <v>136</v>
      </c>
      <c r="C5" s="70" t="s">
        <v>940</v>
      </c>
      <c r="D5" s="30" t="s">
        <v>166</v>
      </c>
      <c r="E5" s="30" t="s">
        <v>271</v>
      </c>
      <c r="F5" s="33" t="s">
        <v>304</v>
      </c>
      <c r="G5" s="79" t="s">
        <v>1101</v>
      </c>
      <c r="H5" s="33" t="s">
        <v>939</v>
      </c>
    </row>
    <row r="6" spans="1:10" ht="17" x14ac:dyDescent="0.15">
      <c r="A6" s="25"/>
      <c r="B6" s="84" t="s">
        <v>6</v>
      </c>
      <c r="C6" s="71"/>
      <c r="D6" s="25"/>
      <c r="E6" s="27"/>
      <c r="F6" s="32"/>
      <c r="G6" s="80"/>
      <c r="H6" s="32"/>
    </row>
    <row r="7" spans="1:10" ht="17" x14ac:dyDescent="0.15">
      <c r="A7" s="25">
        <f>+MAX(A$3:A6)+1</f>
        <v>1</v>
      </c>
      <c r="B7" s="85" t="s">
        <v>7</v>
      </c>
      <c r="C7" s="72" t="s">
        <v>941</v>
      </c>
      <c r="D7" s="25">
        <v>1</v>
      </c>
      <c r="E7" s="27" t="s">
        <v>179</v>
      </c>
      <c r="F7" s="25">
        <v>1</v>
      </c>
      <c r="G7" s="81"/>
      <c r="H7" s="67" t="s">
        <v>306</v>
      </c>
    </row>
    <row r="8" spans="1:10" ht="17" x14ac:dyDescent="0.15">
      <c r="A8" s="25">
        <f>+MAX(A$3:A7)+1</f>
        <v>2</v>
      </c>
      <c r="B8" s="85" t="s">
        <v>8</v>
      </c>
      <c r="C8" s="72" t="s">
        <v>941</v>
      </c>
      <c r="D8" s="25">
        <v>1</v>
      </c>
      <c r="E8" s="27" t="s">
        <v>179</v>
      </c>
      <c r="F8" s="25">
        <v>1</v>
      </c>
      <c r="G8" s="82" t="s">
        <v>1111</v>
      </c>
      <c r="H8" s="67" t="s">
        <v>307</v>
      </c>
    </row>
    <row r="9" spans="1:10" ht="17" x14ac:dyDescent="0.15">
      <c r="A9" s="25">
        <f>+MAX(A$3:A8)+1</f>
        <v>3</v>
      </c>
      <c r="B9" s="85" t="s">
        <v>9</v>
      </c>
      <c r="C9" s="72" t="s">
        <v>942</v>
      </c>
      <c r="D9" s="25">
        <v>1</v>
      </c>
      <c r="E9" s="27" t="s">
        <v>179</v>
      </c>
      <c r="F9" s="25">
        <v>1</v>
      </c>
      <c r="G9" s="82"/>
      <c r="H9" s="67"/>
    </row>
    <row r="10" spans="1:10" ht="17" x14ac:dyDescent="0.15">
      <c r="A10" s="25">
        <f>+MAX(A$3:A9)+1</f>
        <v>4</v>
      </c>
      <c r="B10" s="85" t="s">
        <v>1115</v>
      </c>
      <c r="C10" s="72"/>
      <c r="D10" s="25"/>
      <c r="E10" s="27"/>
      <c r="F10" s="25"/>
      <c r="G10" s="82" t="s">
        <v>1116</v>
      </c>
      <c r="H10" s="67"/>
    </row>
    <row r="11" spans="1:10" ht="17" x14ac:dyDescent="0.15">
      <c r="A11" s="25"/>
      <c r="B11" s="84" t="s">
        <v>10</v>
      </c>
      <c r="C11" s="71"/>
      <c r="D11" s="25"/>
      <c r="E11" s="27"/>
      <c r="F11" s="25"/>
      <c r="G11" s="81"/>
      <c r="H11" s="67"/>
    </row>
    <row r="12" spans="1:10" ht="17" x14ac:dyDescent="0.15">
      <c r="A12" s="25">
        <f>+MAX(A$3:A11)+1</f>
        <v>5</v>
      </c>
      <c r="B12" s="85" t="s">
        <v>11</v>
      </c>
      <c r="C12" s="72" t="s">
        <v>941</v>
      </c>
      <c r="D12" s="25">
        <v>1</v>
      </c>
      <c r="E12" s="27" t="s">
        <v>180</v>
      </c>
      <c r="F12" s="25">
        <v>1</v>
      </c>
      <c r="G12" s="82" t="s">
        <v>1114</v>
      </c>
      <c r="H12" s="67" t="s">
        <v>308</v>
      </c>
    </row>
    <row r="13" spans="1:10" ht="17" x14ac:dyDescent="0.15">
      <c r="A13" s="25">
        <f>+MAX(A$3:A12)+1</f>
        <v>6</v>
      </c>
      <c r="B13" s="85" t="s">
        <v>1113</v>
      </c>
      <c r="C13" s="72" t="s">
        <v>941</v>
      </c>
      <c r="D13" s="25">
        <v>1</v>
      </c>
      <c r="E13" s="27" t="s">
        <v>180</v>
      </c>
      <c r="F13" s="25">
        <v>1</v>
      </c>
      <c r="G13" s="82" t="s">
        <v>1112</v>
      </c>
      <c r="H13" s="67"/>
    </row>
    <row r="14" spans="1:10" ht="17" x14ac:dyDescent="0.15">
      <c r="A14" s="25">
        <f>+MAX(A$3:A13)+1</f>
        <v>7</v>
      </c>
      <c r="B14" s="85" t="s">
        <v>12</v>
      </c>
      <c r="C14" s="72" t="s">
        <v>941</v>
      </c>
      <c r="D14" s="25">
        <v>1</v>
      </c>
      <c r="E14" s="27" t="s">
        <v>180</v>
      </c>
      <c r="F14" s="25">
        <v>1</v>
      </c>
      <c r="G14" s="81"/>
      <c r="H14" s="67" t="s">
        <v>309</v>
      </c>
      <c r="I14" s="20" t="s">
        <v>310</v>
      </c>
    </row>
    <row r="15" spans="1:10" ht="17" x14ac:dyDescent="0.15">
      <c r="A15" s="25">
        <f>+MAX(A$3:A14)+1</f>
        <v>8</v>
      </c>
      <c r="B15" s="85" t="s">
        <v>13</v>
      </c>
      <c r="C15" s="72" t="s">
        <v>942</v>
      </c>
      <c r="D15" s="25">
        <v>1</v>
      </c>
      <c r="E15" s="27" t="s">
        <v>180</v>
      </c>
      <c r="F15" s="25">
        <v>1</v>
      </c>
      <c r="G15" s="81"/>
      <c r="H15" s="67" t="s">
        <v>311</v>
      </c>
    </row>
    <row r="16" spans="1:10" ht="17" x14ac:dyDescent="0.15">
      <c r="A16" s="25">
        <f>+MAX(A$3:A15)+1</f>
        <v>9</v>
      </c>
      <c r="B16" s="85" t="s">
        <v>1117</v>
      </c>
      <c r="C16" s="72"/>
      <c r="D16" s="25">
        <v>1</v>
      </c>
      <c r="E16" s="27" t="s">
        <v>180</v>
      </c>
      <c r="F16" s="25">
        <v>1</v>
      </c>
      <c r="G16" s="81"/>
      <c r="H16" s="67"/>
    </row>
    <row r="17" spans="1:10" ht="17" x14ac:dyDescent="0.15">
      <c r="A17" s="25"/>
      <c r="B17" s="31" t="s">
        <v>270</v>
      </c>
      <c r="C17" s="73"/>
      <c r="D17" s="30"/>
      <c r="E17" s="25"/>
      <c r="F17" s="30"/>
      <c r="G17" s="31"/>
      <c r="H17" s="67"/>
    </row>
    <row r="18" spans="1:10" ht="34" x14ac:dyDescent="0.15">
      <c r="A18" s="25">
        <f>+MAX(A$3:A17)+1</f>
        <v>10</v>
      </c>
      <c r="B18" s="26" t="s">
        <v>336</v>
      </c>
      <c r="C18" s="72" t="s">
        <v>943</v>
      </c>
      <c r="D18" s="25">
        <v>1</v>
      </c>
      <c r="E18" s="25" t="s">
        <v>181</v>
      </c>
      <c r="F18" s="25">
        <v>1</v>
      </c>
      <c r="G18" s="81"/>
      <c r="H18" s="67" t="s">
        <v>312</v>
      </c>
    </row>
    <row r="19" spans="1:10" ht="34" x14ac:dyDescent="0.15">
      <c r="A19" s="25">
        <f>+MAX(A$3:A18)+1</f>
        <v>11</v>
      </c>
      <c r="B19" s="26" t="s">
        <v>269</v>
      </c>
      <c r="C19" s="72" t="s">
        <v>943</v>
      </c>
      <c r="D19" s="25"/>
      <c r="E19" s="25" t="s">
        <v>181</v>
      </c>
      <c r="F19" s="25">
        <v>2</v>
      </c>
      <c r="G19" s="81"/>
      <c r="H19" s="67"/>
      <c r="J19" s="20">
        <v>1</v>
      </c>
    </row>
    <row r="20" spans="1:10" ht="34" x14ac:dyDescent="0.15">
      <c r="A20" s="25">
        <f>+MAX(A$3:A19)+1</f>
        <v>12</v>
      </c>
      <c r="B20" s="26" t="s">
        <v>268</v>
      </c>
      <c r="C20" s="72" t="s">
        <v>943</v>
      </c>
      <c r="D20" s="25">
        <v>1</v>
      </c>
      <c r="E20" s="25" t="s">
        <v>181</v>
      </c>
      <c r="F20" s="25">
        <v>1</v>
      </c>
      <c r="G20" s="81"/>
      <c r="H20" s="67"/>
    </row>
    <row r="21" spans="1:10" ht="17" x14ac:dyDescent="0.15">
      <c r="A21" s="25">
        <f>+MAX(A$3:A20)+1</f>
        <v>13</v>
      </c>
      <c r="B21" s="26" t="s">
        <v>267</v>
      </c>
      <c r="C21" s="72" t="s">
        <v>943</v>
      </c>
      <c r="D21" s="25">
        <v>1</v>
      </c>
      <c r="E21" s="25" t="s">
        <v>181</v>
      </c>
      <c r="F21" s="25">
        <v>1</v>
      </c>
      <c r="G21" s="81"/>
      <c r="H21" s="67" t="s">
        <v>557</v>
      </c>
    </row>
    <row r="22" spans="1:10" ht="34" x14ac:dyDescent="0.15">
      <c r="A22" s="25">
        <f>+MAX(A$3:A21)+1</f>
        <v>14</v>
      </c>
      <c r="B22" s="26" t="s">
        <v>266</v>
      </c>
      <c r="C22" s="72" t="s">
        <v>943</v>
      </c>
      <c r="D22" s="25"/>
      <c r="E22" s="27" t="s">
        <v>180</v>
      </c>
      <c r="F22" s="25">
        <v>2</v>
      </c>
      <c r="G22" s="81"/>
      <c r="H22" s="67"/>
      <c r="J22" s="20">
        <v>1</v>
      </c>
    </row>
    <row r="23" spans="1:10" ht="34" x14ac:dyDescent="0.15">
      <c r="A23" s="25">
        <f>+MAX(A$3:A22)+1</f>
        <v>15</v>
      </c>
      <c r="B23" s="26" t="s">
        <v>265</v>
      </c>
      <c r="C23" s="72" t="s">
        <v>943</v>
      </c>
      <c r="D23" s="25"/>
      <c r="E23" s="25" t="s">
        <v>181</v>
      </c>
      <c r="F23" s="25">
        <v>2</v>
      </c>
      <c r="G23" s="81"/>
      <c r="H23" s="67"/>
      <c r="J23" s="20">
        <v>1</v>
      </c>
    </row>
    <row r="24" spans="1:10" ht="17" x14ac:dyDescent="0.15">
      <c r="A24" s="25"/>
      <c r="B24" s="28" t="s">
        <v>264</v>
      </c>
      <c r="C24" s="74"/>
      <c r="D24" s="25"/>
      <c r="E24" s="25"/>
      <c r="F24" s="25"/>
      <c r="G24" s="81"/>
      <c r="H24" s="67"/>
    </row>
    <row r="25" spans="1:10" ht="17" x14ac:dyDescent="0.15">
      <c r="A25" s="25">
        <f>+MAX(A$3:A24)+1</f>
        <v>16</v>
      </c>
      <c r="B25" s="26" t="s">
        <v>275</v>
      </c>
      <c r="C25" s="72" t="s">
        <v>942</v>
      </c>
      <c r="D25" s="25">
        <v>1</v>
      </c>
      <c r="E25" s="25" t="s">
        <v>180</v>
      </c>
      <c r="F25" s="25">
        <v>1</v>
      </c>
      <c r="G25" s="81"/>
      <c r="H25" s="67"/>
    </row>
    <row r="26" spans="1:10" ht="34" x14ac:dyDescent="0.15">
      <c r="A26" s="25">
        <f>+MAX(A$3:A25)+1</f>
        <v>17</v>
      </c>
      <c r="B26" s="26" t="s">
        <v>276</v>
      </c>
      <c r="C26" s="72" t="s">
        <v>941</v>
      </c>
      <c r="D26" s="25">
        <v>1</v>
      </c>
      <c r="E26" s="25" t="s">
        <v>180</v>
      </c>
      <c r="F26" s="25">
        <v>1</v>
      </c>
      <c r="G26" s="81"/>
      <c r="H26" s="67" t="s">
        <v>778</v>
      </c>
      <c r="I26" s="20" t="s">
        <v>779</v>
      </c>
    </row>
    <row r="27" spans="1:10" ht="17" x14ac:dyDescent="0.15">
      <c r="A27" s="25">
        <f>+MAX(A$3:A26)+1</f>
        <v>18</v>
      </c>
      <c r="B27" s="26" t="s">
        <v>277</v>
      </c>
      <c r="C27" s="72" t="s">
        <v>941</v>
      </c>
      <c r="D27" s="25">
        <v>1</v>
      </c>
      <c r="E27" s="27" t="s">
        <v>180</v>
      </c>
      <c r="F27" s="25">
        <v>1</v>
      </c>
      <c r="G27" s="81"/>
      <c r="H27" s="67" t="s">
        <v>854</v>
      </c>
    </row>
    <row r="28" spans="1:10" ht="17" x14ac:dyDescent="0.15">
      <c r="A28" s="25"/>
      <c r="B28" s="28" t="s">
        <v>263</v>
      </c>
      <c r="C28" s="74"/>
      <c r="D28" s="25"/>
      <c r="E28" s="25"/>
      <c r="F28" s="25"/>
      <c r="G28" s="81"/>
      <c r="H28" s="67"/>
    </row>
    <row r="29" spans="1:10" ht="51" x14ac:dyDescent="0.15">
      <c r="A29" s="25">
        <f>+MAX(A$3:A28)+1</f>
        <v>19</v>
      </c>
      <c r="B29" s="26" t="s">
        <v>325</v>
      </c>
      <c r="C29" s="72" t="s">
        <v>943</v>
      </c>
      <c r="D29" s="25">
        <v>1</v>
      </c>
      <c r="E29" s="27" t="s">
        <v>180</v>
      </c>
      <c r="F29" s="25">
        <v>1</v>
      </c>
      <c r="G29" s="81"/>
      <c r="H29" s="67" t="s">
        <v>326</v>
      </c>
    </row>
    <row r="30" spans="1:10" ht="34" x14ac:dyDescent="0.15">
      <c r="A30" s="25">
        <f>+MAX(A$3:A29)+1</f>
        <v>20</v>
      </c>
      <c r="B30" s="26" t="s">
        <v>327</v>
      </c>
      <c r="C30" s="72" t="s">
        <v>943</v>
      </c>
      <c r="D30" s="25">
        <v>1</v>
      </c>
      <c r="E30" s="27" t="s">
        <v>180</v>
      </c>
      <c r="F30" s="25">
        <v>1</v>
      </c>
      <c r="G30" s="81"/>
      <c r="H30" s="67" t="s">
        <v>328</v>
      </c>
    </row>
    <row r="31" spans="1:10" ht="34" x14ac:dyDescent="0.15">
      <c r="A31" s="25">
        <f>+MAX(A$3:A30)+1</f>
        <v>21</v>
      </c>
      <c r="B31" s="26" t="s">
        <v>329</v>
      </c>
      <c r="C31" s="72" t="s">
        <v>943</v>
      </c>
      <c r="D31" s="25">
        <v>1</v>
      </c>
      <c r="E31" s="27" t="s">
        <v>180</v>
      </c>
      <c r="F31" s="25">
        <v>1</v>
      </c>
      <c r="G31" s="81"/>
      <c r="H31" s="67" t="s">
        <v>330</v>
      </c>
    </row>
    <row r="32" spans="1:10" ht="34" x14ac:dyDescent="0.15">
      <c r="A32" s="25">
        <f>+MAX(A$3:A31)+1</f>
        <v>22</v>
      </c>
      <c r="B32" s="26" t="s">
        <v>331</v>
      </c>
      <c r="C32" s="72" t="s">
        <v>943</v>
      </c>
      <c r="D32" s="25">
        <v>1</v>
      </c>
      <c r="E32" s="25" t="s">
        <v>181</v>
      </c>
      <c r="F32" s="25">
        <v>1</v>
      </c>
      <c r="G32" s="81"/>
      <c r="H32" s="67" t="s">
        <v>332</v>
      </c>
    </row>
    <row r="33" spans="1:10" ht="17" x14ac:dyDescent="0.15">
      <c r="A33" s="25"/>
      <c r="B33" s="28" t="s">
        <v>262</v>
      </c>
      <c r="C33" s="74"/>
      <c r="D33" s="25"/>
      <c r="E33" s="25"/>
      <c r="F33" s="25"/>
      <c r="G33" s="81"/>
      <c r="H33" s="67"/>
    </row>
    <row r="34" spans="1:10" ht="17" x14ac:dyDescent="0.15">
      <c r="A34" s="25">
        <f>+MAX(A$3:A33)+1</f>
        <v>23</v>
      </c>
      <c r="B34" s="26" t="s">
        <v>944</v>
      </c>
      <c r="C34" s="72" t="s">
        <v>942</v>
      </c>
      <c r="D34" s="25">
        <v>1</v>
      </c>
      <c r="E34" s="25" t="s">
        <v>180</v>
      </c>
      <c r="F34" s="25">
        <v>1</v>
      </c>
      <c r="G34" s="82" t="s">
        <v>1124</v>
      </c>
      <c r="H34" s="67"/>
      <c r="J34" s="20">
        <v>1</v>
      </c>
    </row>
    <row r="35" spans="1:10" ht="17" x14ac:dyDescent="0.15">
      <c r="A35" s="25"/>
      <c r="B35" s="28" t="s">
        <v>260</v>
      </c>
      <c r="C35" s="74"/>
      <c r="D35" s="25"/>
      <c r="E35" s="25"/>
      <c r="F35" s="25"/>
      <c r="G35" s="81"/>
      <c r="H35" s="67"/>
    </row>
    <row r="36" spans="1:10" ht="34" x14ac:dyDescent="0.15">
      <c r="A36" s="25">
        <f>+MAX(A$3:A35)+1</f>
        <v>24</v>
      </c>
      <c r="B36" s="26" t="s">
        <v>278</v>
      </c>
      <c r="C36" s="72" t="s">
        <v>943</v>
      </c>
      <c r="D36" s="25"/>
      <c r="E36" s="25" t="s">
        <v>180</v>
      </c>
      <c r="F36" s="25">
        <v>2</v>
      </c>
      <c r="G36" s="81"/>
      <c r="H36" s="67"/>
      <c r="J36" s="20">
        <v>1</v>
      </c>
    </row>
    <row r="37" spans="1:10" ht="17" x14ac:dyDescent="0.15">
      <c r="A37" s="25"/>
      <c r="B37" s="28" t="s">
        <v>259</v>
      </c>
      <c r="C37" s="74"/>
      <c r="D37" s="25"/>
      <c r="E37" s="25"/>
      <c r="F37" s="25"/>
      <c r="G37" s="81"/>
      <c r="H37" s="67"/>
    </row>
    <row r="38" spans="1:10" ht="34" x14ac:dyDescent="0.15">
      <c r="A38" s="25">
        <f>+MAX(A$3:A37)+1</f>
        <v>25</v>
      </c>
      <c r="B38" s="26" t="s">
        <v>279</v>
      </c>
      <c r="C38" s="72" t="s">
        <v>941</v>
      </c>
      <c r="D38" s="25"/>
      <c r="E38" s="25" t="s">
        <v>180</v>
      </c>
      <c r="F38" s="25">
        <v>2</v>
      </c>
      <c r="G38" s="81"/>
      <c r="H38" s="67"/>
      <c r="J38" s="20">
        <v>1</v>
      </c>
    </row>
    <row r="39" spans="1:10" ht="36" x14ac:dyDescent="0.2">
      <c r="A39" s="25">
        <f>+MAX(A$3:A38)+1</f>
        <v>26</v>
      </c>
      <c r="B39" s="86" t="s">
        <v>280</v>
      </c>
      <c r="C39" s="72" t="s">
        <v>942</v>
      </c>
      <c r="D39" s="25"/>
      <c r="E39" s="25" t="s">
        <v>180</v>
      </c>
      <c r="F39" s="25">
        <v>2</v>
      </c>
      <c r="G39" s="81"/>
      <c r="H39" s="67"/>
      <c r="J39" s="20">
        <v>1</v>
      </c>
    </row>
    <row r="40" spans="1:10" ht="17" x14ac:dyDescent="0.15">
      <c r="A40" s="25"/>
      <c r="B40" s="28" t="s">
        <v>258</v>
      </c>
      <c r="C40" s="74"/>
      <c r="D40" s="25"/>
      <c r="E40" s="25"/>
      <c r="F40" s="25"/>
      <c r="G40" s="81"/>
      <c r="H40" s="67"/>
    </row>
    <row r="41" spans="1:10" ht="34" x14ac:dyDescent="0.15">
      <c r="A41" s="25">
        <f>+MAX(A$3:A40)+1</f>
        <v>27</v>
      </c>
      <c r="B41" s="26" t="s">
        <v>257</v>
      </c>
      <c r="C41" s="72" t="s">
        <v>943</v>
      </c>
      <c r="D41" s="25">
        <v>1</v>
      </c>
      <c r="E41" s="25" t="s">
        <v>179</v>
      </c>
      <c r="F41" s="25">
        <v>1</v>
      </c>
      <c r="G41" s="81"/>
      <c r="H41" s="67" t="s">
        <v>563</v>
      </c>
    </row>
    <row r="42" spans="1:10" ht="17" x14ac:dyDescent="0.15">
      <c r="A42" s="25">
        <f>+MAX(A$3:A41)+1</f>
        <v>28</v>
      </c>
      <c r="B42" s="26" t="s">
        <v>256</v>
      </c>
      <c r="C42" s="72" t="s">
        <v>943</v>
      </c>
      <c r="D42" s="25">
        <v>1</v>
      </c>
      <c r="E42" s="25" t="s">
        <v>179</v>
      </c>
      <c r="F42" s="25">
        <v>1</v>
      </c>
      <c r="G42" s="81"/>
      <c r="H42" s="67" t="s">
        <v>564</v>
      </c>
    </row>
    <row r="43" spans="1:10" ht="34" x14ac:dyDescent="0.15">
      <c r="A43" s="25">
        <f>+MAX(A$3:A42)+1</f>
        <v>29</v>
      </c>
      <c r="B43" s="26" t="s">
        <v>255</v>
      </c>
      <c r="C43" s="72" t="s">
        <v>943</v>
      </c>
      <c r="D43" s="25">
        <v>1</v>
      </c>
      <c r="E43" s="25" t="s">
        <v>179</v>
      </c>
      <c r="F43" s="25">
        <v>1</v>
      </c>
      <c r="G43" s="81"/>
      <c r="H43" s="67" t="s">
        <v>565</v>
      </c>
    </row>
    <row r="44" spans="1:10" ht="51" x14ac:dyDescent="0.15">
      <c r="A44" s="25">
        <f>+MAX(A$3:A43)+1</f>
        <v>30</v>
      </c>
      <c r="B44" s="26" t="s">
        <v>254</v>
      </c>
      <c r="C44" s="72" t="s">
        <v>943</v>
      </c>
      <c r="D44" s="25">
        <v>1</v>
      </c>
      <c r="E44" s="25" t="s">
        <v>179</v>
      </c>
      <c r="F44" s="25">
        <v>1</v>
      </c>
      <c r="G44" s="81"/>
      <c r="H44" s="67" t="s">
        <v>566</v>
      </c>
    </row>
    <row r="45" spans="1:10" ht="34" x14ac:dyDescent="0.15">
      <c r="A45" s="25">
        <f>+MAX(A$3:A44)+1</f>
        <v>31</v>
      </c>
      <c r="B45" s="26" t="s">
        <v>253</v>
      </c>
      <c r="C45" s="72" t="s">
        <v>943</v>
      </c>
      <c r="D45" s="25">
        <v>1</v>
      </c>
      <c r="E45" s="25" t="s">
        <v>179</v>
      </c>
      <c r="F45" s="25">
        <v>1</v>
      </c>
      <c r="G45" s="81"/>
      <c r="H45" s="67" t="s">
        <v>567</v>
      </c>
    </row>
    <row r="46" spans="1:10" ht="17" x14ac:dyDescent="0.15">
      <c r="A46" s="25">
        <f>+MAX(A$3:A45)+1</f>
        <v>32</v>
      </c>
      <c r="B46" s="26" t="s">
        <v>334</v>
      </c>
      <c r="C46" s="72" t="s">
        <v>943</v>
      </c>
      <c r="D46" s="25">
        <v>1</v>
      </c>
      <c r="E46" s="25" t="s">
        <v>180</v>
      </c>
      <c r="F46" s="25">
        <v>1</v>
      </c>
      <c r="G46" s="81"/>
      <c r="H46" s="67" t="s">
        <v>335</v>
      </c>
    </row>
    <row r="47" spans="1:10" ht="34" x14ac:dyDescent="0.15">
      <c r="A47" s="25">
        <f>+MAX(A$3:A46)+1</f>
        <v>33</v>
      </c>
      <c r="B47" s="26" t="s">
        <v>252</v>
      </c>
      <c r="C47" s="72" t="s">
        <v>943</v>
      </c>
      <c r="D47" s="25">
        <v>1</v>
      </c>
      <c r="E47" s="25" t="s">
        <v>179</v>
      </c>
      <c r="F47" s="25">
        <v>1</v>
      </c>
      <c r="G47" s="81"/>
      <c r="H47" s="67" t="s">
        <v>568</v>
      </c>
    </row>
    <row r="48" spans="1:10" ht="17" x14ac:dyDescent="0.15">
      <c r="A48" s="25">
        <f>+MAX(A$3:A47)+1</f>
        <v>34</v>
      </c>
      <c r="B48" s="26" t="s">
        <v>251</v>
      </c>
      <c r="C48" s="72" t="s">
        <v>943</v>
      </c>
      <c r="D48" s="25">
        <v>1</v>
      </c>
      <c r="E48" s="25" t="s">
        <v>179</v>
      </c>
      <c r="F48" s="25">
        <v>1</v>
      </c>
      <c r="G48" s="81"/>
      <c r="H48" s="67" t="s">
        <v>569</v>
      </c>
      <c r="J48" s="20">
        <v>1</v>
      </c>
    </row>
    <row r="49" spans="1:10" ht="17" x14ac:dyDescent="0.15">
      <c r="A49" s="25"/>
      <c r="B49" s="28" t="s">
        <v>250</v>
      </c>
      <c r="C49" s="74"/>
      <c r="D49" s="25"/>
      <c r="E49" s="25"/>
      <c r="F49" s="25"/>
      <c r="G49" s="81"/>
      <c r="H49" s="67"/>
    </row>
    <row r="50" spans="1:10" ht="17" x14ac:dyDescent="0.15">
      <c r="A50" s="25">
        <f>+MAX(A$3:A49)+1</f>
        <v>35</v>
      </c>
      <c r="B50" s="26" t="s">
        <v>281</v>
      </c>
      <c r="C50" s="72" t="s">
        <v>943</v>
      </c>
      <c r="D50" s="25">
        <v>1</v>
      </c>
      <c r="E50" s="25" t="s">
        <v>180</v>
      </c>
      <c r="F50" s="25">
        <v>1</v>
      </c>
      <c r="G50" s="81"/>
      <c r="H50" s="67"/>
      <c r="J50" s="20">
        <v>1</v>
      </c>
    </row>
    <row r="51" spans="1:10" ht="17" x14ac:dyDescent="0.15">
      <c r="A51" s="25">
        <f>+MAX(A$3:A50)+1</f>
        <v>36</v>
      </c>
      <c r="B51" s="26" t="s">
        <v>282</v>
      </c>
      <c r="C51" s="72" t="s">
        <v>943</v>
      </c>
      <c r="D51" s="25"/>
      <c r="E51" s="25" t="s">
        <v>179</v>
      </c>
      <c r="F51" s="25">
        <v>2</v>
      </c>
      <c r="G51" s="81"/>
      <c r="H51" s="67"/>
      <c r="J51" s="20">
        <v>1</v>
      </c>
    </row>
    <row r="52" spans="1:10" ht="34" x14ac:dyDescent="0.15">
      <c r="A52" s="25">
        <f>+MAX(A$3:A51)+1</f>
        <v>37</v>
      </c>
      <c r="B52" s="26" t="s">
        <v>283</v>
      </c>
      <c r="C52" s="72" t="s">
        <v>943</v>
      </c>
      <c r="D52" s="25">
        <v>1</v>
      </c>
      <c r="E52" s="25" t="s">
        <v>179</v>
      </c>
      <c r="F52" s="25">
        <v>1</v>
      </c>
      <c r="G52" s="81"/>
      <c r="H52" s="67" t="s">
        <v>333</v>
      </c>
    </row>
    <row r="53" spans="1:10" ht="17" x14ac:dyDescent="0.15">
      <c r="A53" s="25">
        <f>+MAX(A$3:A52)+1</f>
        <v>38</v>
      </c>
      <c r="B53" s="26" t="s">
        <v>284</v>
      </c>
      <c r="C53" s="72" t="s">
        <v>943</v>
      </c>
      <c r="D53" s="25">
        <v>1</v>
      </c>
      <c r="E53" s="25" t="s">
        <v>180</v>
      </c>
      <c r="F53" s="25">
        <v>1</v>
      </c>
      <c r="G53" s="81"/>
      <c r="H53" s="67"/>
      <c r="J53" s="20">
        <v>1</v>
      </c>
    </row>
    <row r="54" spans="1:10" ht="17" x14ac:dyDescent="0.15">
      <c r="A54" s="25"/>
      <c r="B54" s="28" t="s">
        <v>249</v>
      </c>
      <c r="C54" s="74"/>
      <c r="D54" s="25"/>
      <c r="E54" s="25"/>
      <c r="F54" s="25"/>
      <c r="G54" s="81"/>
      <c r="H54" s="67"/>
    </row>
    <row r="55" spans="1:10" ht="17" x14ac:dyDescent="0.15">
      <c r="A55" s="25">
        <f>+MAX(A$3:A54)+1</f>
        <v>39</v>
      </c>
      <c r="B55" s="26" t="s">
        <v>248</v>
      </c>
      <c r="C55" s="72" t="s">
        <v>943</v>
      </c>
      <c r="D55" s="25"/>
      <c r="E55" s="25" t="s">
        <v>182</v>
      </c>
      <c r="F55" s="25">
        <v>2</v>
      </c>
      <c r="G55" s="81"/>
      <c r="H55" s="67"/>
      <c r="J55" s="20">
        <v>1</v>
      </c>
    </row>
    <row r="56" spans="1:10" ht="34" x14ac:dyDescent="0.15">
      <c r="A56" s="25">
        <f>+MAX(A$3:A55)+1</f>
        <v>40</v>
      </c>
      <c r="B56" s="26" t="s">
        <v>247</v>
      </c>
      <c r="C56" s="72" t="s">
        <v>943</v>
      </c>
      <c r="D56" s="25"/>
      <c r="E56" s="25" t="s">
        <v>182</v>
      </c>
      <c r="F56" s="25">
        <v>2</v>
      </c>
      <c r="G56" s="81"/>
      <c r="H56" s="67"/>
      <c r="J56" s="20">
        <v>1</v>
      </c>
    </row>
    <row r="57" spans="1:10" ht="17" x14ac:dyDescent="0.15">
      <c r="A57" s="25">
        <f>+MAX(A$3:A56)+1</f>
        <v>41</v>
      </c>
      <c r="B57" s="26" t="s">
        <v>246</v>
      </c>
      <c r="C57" s="72" t="s">
        <v>943</v>
      </c>
      <c r="D57" s="25"/>
      <c r="E57" s="25" t="s">
        <v>182</v>
      </c>
      <c r="F57" s="25">
        <v>2</v>
      </c>
      <c r="G57" s="81"/>
      <c r="H57" s="67"/>
      <c r="J57" s="20">
        <v>1</v>
      </c>
    </row>
    <row r="58" spans="1:10" ht="34" x14ac:dyDescent="0.15">
      <c r="A58" s="25">
        <f>+MAX(A$3:A57)+1</f>
        <v>42</v>
      </c>
      <c r="B58" s="26" t="s">
        <v>245</v>
      </c>
      <c r="C58" s="72" t="s">
        <v>943</v>
      </c>
      <c r="D58" s="25"/>
      <c r="E58" s="25" t="s">
        <v>180</v>
      </c>
      <c r="F58" s="25">
        <v>2</v>
      </c>
      <c r="G58" s="81"/>
      <c r="H58" s="67"/>
      <c r="J58" s="20">
        <v>1</v>
      </c>
    </row>
    <row r="59" spans="1:10" ht="17" x14ac:dyDescent="0.15">
      <c r="A59" s="25"/>
      <c r="B59" s="28" t="s">
        <v>244</v>
      </c>
      <c r="C59" s="74"/>
      <c r="D59" s="25"/>
      <c r="E59" s="25"/>
      <c r="F59" s="25"/>
      <c r="G59" s="81"/>
      <c r="H59" s="67"/>
    </row>
    <row r="60" spans="1:10" ht="17" x14ac:dyDescent="0.15">
      <c r="A60" s="25">
        <f>+MAX(A$3:A59)+1</f>
        <v>43</v>
      </c>
      <c r="B60" s="26" t="s">
        <v>243</v>
      </c>
      <c r="C60" s="72" t="s">
        <v>943</v>
      </c>
      <c r="D60" s="25"/>
      <c r="E60" s="25" t="s">
        <v>182</v>
      </c>
      <c r="F60" s="25">
        <v>2</v>
      </c>
      <c r="G60" s="81"/>
      <c r="H60" s="67"/>
      <c r="J60" s="20">
        <v>1</v>
      </c>
    </row>
    <row r="61" spans="1:10" ht="17" x14ac:dyDescent="0.15">
      <c r="A61" s="25"/>
      <c r="B61" s="28" t="s">
        <v>242</v>
      </c>
      <c r="C61" s="74"/>
      <c r="D61" s="25"/>
      <c r="E61" s="25"/>
      <c r="F61" s="25"/>
      <c r="G61" s="81"/>
      <c r="H61" s="67"/>
    </row>
    <row r="62" spans="1:10" ht="34" x14ac:dyDescent="0.15">
      <c r="A62" s="25">
        <f>+MAX(A$3:A61)+1</f>
        <v>44</v>
      </c>
      <c r="B62" s="76" t="s">
        <v>1035</v>
      </c>
      <c r="C62" s="72" t="s">
        <v>941</v>
      </c>
      <c r="D62" s="25">
        <v>1</v>
      </c>
      <c r="E62" s="25" t="s">
        <v>180</v>
      </c>
      <c r="F62" s="25">
        <v>1</v>
      </c>
      <c r="G62" s="81" t="s">
        <v>1125</v>
      </c>
      <c r="H62" s="67"/>
    </row>
    <row r="63" spans="1:10" ht="17" x14ac:dyDescent="0.15">
      <c r="A63" s="25">
        <f>+MAX(A$3:A62)+1</f>
        <v>45</v>
      </c>
      <c r="B63" s="76" t="s">
        <v>1036</v>
      </c>
      <c r="C63" s="72" t="s">
        <v>941</v>
      </c>
      <c r="D63" s="25">
        <v>1</v>
      </c>
      <c r="E63" s="25" t="s">
        <v>180</v>
      </c>
      <c r="F63" s="25">
        <v>1</v>
      </c>
      <c r="G63" s="81" t="s">
        <v>1126</v>
      </c>
      <c r="H63" s="67"/>
    </row>
    <row r="64" spans="1:10" ht="34" x14ac:dyDescent="0.15">
      <c r="A64" s="25">
        <f>+MAX(A$3:A63)+1</f>
        <v>46</v>
      </c>
      <c r="B64" s="76" t="s">
        <v>1039</v>
      </c>
      <c r="C64" s="72" t="s">
        <v>941</v>
      </c>
      <c r="D64" s="25">
        <v>1</v>
      </c>
      <c r="E64" s="25" t="s">
        <v>180</v>
      </c>
      <c r="F64" s="25">
        <v>1</v>
      </c>
      <c r="G64" s="81" t="s">
        <v>1127</v>
      </c>
      <c r="H64" s="67"/>
    </row>
    <row r="65" spans="1:8" ht="17" x14ac:dyDescent="0.15">
      <c r="A65" s="25">
        <f>+MAX(A$3:A64)+1</f>
        <v>47</v>
      </c>
      <c r="B65" s="76" t="s">
        <v>1040</v>
      </c>
      <c r="C65" s="72" t="s">
        <v>941</v>
      </c>
      <c r="D65" s="25">
        <v>1</v>
      </c>
      <c r="E65" s="25" t="s">
        <v>180</v>
      </c>
      <c r="F65" s="25">
        <v>1</v>
      </c>
      <c r="G65" s="81" t="s">
        <v>1128</v>
      </c>
      <c r="H65" s="67"/>
    </row>
    <row r="66" spans="1:8" ht="17" x14ac:dyDescent="0.15">
      <c r="A66" s="25">
        <f>+MAX(A$3:A65)+1</f>
        <v>48</v>
      </c>
      <c r="B66" s="76" t="s">
        <v>1041</v>
      </c>
      <c r="C66" s="72" t="s">
        <v>941</v>
      </c>
      <c r="D66" s="25">
        <v>1</v>
      </c>
      <c r="E66" s="25" t="s">
        <v>180</v>
      </c>
      <c r="F66" s="25">
        <v>1</v>
      </c>
      <c r="G66" s="81" t="s">
        <v>1129</v>
      </c>
      <c r="H66" s="67"/>
    </row>
    <row r="67" spans="1:8" ht="17" x14ac:dyDescent="0.15">
      <c r="A67" s="25">
        <f>+MAX(A$3:A66)+1</f>
        <v>49</v>
      </c>
      <c r="B67" s="76" t="s">
        <v>1042</v>
      </c>
      <c r="C67" s="72" t="s">
        <v>941</v>
      </c>
      <c r="D67" s="25">
        <v>1</v>
      </c>
      <c r="E67" s="25" t="s">
        <v>180</v>
      </c>
      <c r="F67" s="25">
        <v>1</v>
      </c>
      <c r="G67" s="81" t="s">
        <v>1130</v>
      </c>
      <c r="H67" s="67"/>
    </row>
    <row r="68" spans="1:8" ht="17" x14ac:dyDescent="0.15">
      <c r="A68" s="25">
        <f>+MAX(A$3:A67)+1</f>
        <v>50</v>
      </c>
      <c r="B68" s="76" t="s">
        <v>1043</v>
      </c>
      <c r="C68" s="72" t="s">
        <v>941</v>
      </c>
      <c r="D68" s="25">
        <v>1</v>
      </c>
      <c r="E68" s="25" t="s">
        <v>180</v>
      </c>
      <c r="F68" s="25">
        <v>1</v>
      </c>
      <c r="G68" s="81" t="s">
        <v>1131</v>
      </c>
      <c r="H68" s="67"/>
    </row>
    <row r="69" spans="1:8" ht="17" x14ac:dyDescent="0.15">
      <c r="A69" s="25">
        <f>+MAX(A$3:A68)+1</f>
        <v>51</v>
      </c>
      <c r="B69" s="76" t="s">
        <v>1044</v>
      </c>
      <c r="C69" s="72" t="s">
        <v>941</v>
      </c>
      <c r="D69" s="25">
        <v>1</v>
      </c>
      <c r="E69" s="25" t="s">
        <v>180</v>
      </c>
      <c r="F69" s="25">
        <v>1</v>
      </c>
      <c r="G69" s="81" t="s">
        <v>1132</v>
      </c>
      <c r="H69" s="67"/>
    </row>
    <row r="70" spans="1:8" ht="17" x14ac:dyDescent="0.15">
      <c r="A70" s="25">
        <f>+MAX(A$3:A69)+1</f>
        <v>52</v>
      </c>
      <c r="B70" s="76" t="s">
        <v>1045</v>
      </c>
      <c r="C70" s="72" t="s">
        <v>941</v>
      </c>
      <c r="D70" s="25">
        <v>1</v>
      </c>
      <c r="E70" s="25" t="s">
        <v>180</v>
      </c>
      <c r="F70" s="25">
        <v>1</v>
      </c>
      <c r="G70" s="81" t="s">
        <v>1133</v>
      </c>
      <c r="H70" s="67"/>
    </row>
    <row r="71" spans="1:8" ht="34" x14ac:dyDescent="0.15">
      <c r="A71" s="25">
        <f>+MAX(A$3:A70)+1</f>
        <v>53</v>
      </c>
      <c r="B71" s="76" t="s">
        <v>1046</v>
      </c>
      <c r="C71" s="72" t="s">
        <v>941</v>
      </c>
      <c r="D71" s="25">
        <v>1</v>
      </c>
      <c r="E71" s="25" t="s">
        <v>180</v>
      </c>
      <c r="F71" s="25">
        <v>1</v>
      </c>
      <c r="G71" s="81" t="s">
        <v>1134</v>
      </c>
      <c r="H71" s="67"/>
    </row>
    <row r="72" spans="1:8" ht="17" x14ac:dyDescent="0.15">
      <c r="A72" s="25">
        <f>+MAX(A$3:A71)+1</f>
        <v>54</v>
      </c>
      <c r="B72" s="76" t="s">
        <v>1047</v>
      </c>
      <c r="C72" s="72" t="s">
        <v>941</v>
      </c>
      <c r="D72" s="25">
        <v>1</v>
      </c>
      <c r="E72" s="25" t="s">
        <v>180</v>
      </c>
      <c r="F72" s="25">
        <v>1</v>
      </c>
      <c r="G72" s="81" t="s">
        <v>1135</v>
      </c>
      <c r="H72" s="67"/>
    </row>
    <row r="73" spans="1:8" ht="17" x14ac:dyDescent="0.15">
      <c r="A73" s="25">
        <f>+MAX(A$3:A72)+1</f>
        <v>55</v>
      </c>
      <c r="B73" s="76" t="s">
        <v>1048</v>
      </c>
      <c r="C73" s="72" t="s">
        <v>941</v>
      </c>
      <c r="D73" s="25">
        <v>1</v>
      </c>
      <c r="E73" s="25" t="s">
        <v>180</v>
      </c>
      <c r="F73" s="25">
        <v>1</v>
      </c>
      <c r="G73" s="81" t="s">
        <v>1136</v>
      </c>
      <c r="H73" s="67"/>
    </row>
    <row r="74" spans="1:8" ht="34" x14ac:dyDescent="0.15">
      <c r="A74" s="25">
        <f>+MAX(A$3:A73)+1</f>
        <v>56</v>
      </c>
      <c r="B74" s="76" t="s">
        <v>1049</v>
      </c>
      <c r="C74" s="72" t="s">
        <v>941</v>
      </c>
      <c r="D74" s="25">
        <v>1</v>
      </c>
      <c r="E74" s="25" t="s">
        <v>180</v>
      </c>
      <c r="F74" s="25">
        <v>1</v>
      </c>
      <c r="G74" s="81" t="s">
        <v>1137</v>
      </c>
      <c r="H74" s="67"/>
    </row>
    <row r="75" spans="1:8" ht="17" x14ac:dyDescent="0.15">
      <c r="A75" s="25">
        <f>+MAX(A$3:A74)+1</f>
        <v>57</v>
      </c>
      <c r="B75" s="76" t="s">
        <v>1050</v>
      </c>
      <c r="C75" s="72" t="s">
        <v>941</v>
      </c>
      <c r="D75" s="25">
        <v>1</v>
      </c>
      <c r="E75" s="25" t="s">
        <v>180</v>
      </c>
      <c r="F75" s="25">
        <v>1</v>
      </c>
      <c r="G75" s="81" t="s">
        <v>1138</v>
      </c>
      <c r="H75" s="67"/>
    </row>
    <row r="76" spans="1:8" ht="17" x14ac:dyDescent="0.15">
      <c r="A76" s="25">
        <f>+MAX(A$3:A75)+1</f>
        <v>58</v>
      </c>
      <c r="B76" s="76" t="s">
        <v>1051</v>
      </c>
      <c r="C76" s="72" t="s">
        <v>941</v>
      </c>
      <c r="D76" s="25">
        <v>1</v>
      </c>
      <c r="E76" s="25" t="s">
        <v>180</v>
      </c>
      <c r="F76" s="25">
        <v>1</v>
      </c>
      <c r="G76" s="81" t="s">
        <v>1139</v>
      </c>
      <c r="H76" s="67"/>
    </row>
    <row r="77" spans="1:8" ht="34" x14ac:dyDescent="0.15">
      <c r="A77" s="25">
        <f>+MAX(A$3:A76)+1</f>
        <v>59</v>
      </c>
      <c r="B77" s="76" t="s">
        <v>1052</v>
      </c>
      <c r="C77" s="72" t="s">
        <v>941</v>
      </c>
      <c r="D77" s="25">
        <v>1</v>
      </c>
      <c r="E77" s="25" t="s">
        <v>180</v>
      </c>
      <c r="F77" s="25">
        <v>1</v>
      </c>
      <c r="G77" s="81" t="s">
        <v>1140</v>
      </c>
      <c r="H77" s="67"/>
    </row>
    <row r="78" spans="1:8" ht="17" x14ac:dyDescent="0.15">
      <c r="A78" s="25">
        <f>+MAX(A$3:A77)+1</f>
        <v>60</v>
      </c>
      <c r="B78" s="76" t="s">
        <v>1053</v>
      </c>
      <c r="C78" s="72" t="s">
        <v>941</v>
      </c>
      <c r="D78" s="25">
        <v>1</v>
      </c>
      <c r="E78" s="25" t="s">
        <v>180</v>
      </c>
      <c r="F78" s="25">
        <v>1</v>
      </c>
      <c r="G78" s="81" t="s">
        <v>1141</v>
      </c>
      <c r="H78" s="67" t="s">
        <v>314</v>
      </c>
    </row>
    <row r="79" spans="1:8" ht="17" x14ac:dyDescent="0.15">
      <c r="A79" s="25">
        <f>+MAX(A$3:A78)+1</f>
        <v>61</v>
      </c>
      <c r="B79" s="76" t="s">
        <v>1054</v>
      </c>
      <c r="C79" s="72" t="s">
        <v>941</v>
      </c>
      <c r="D79" s="25">
        <v>1</v>
      </c>
      <c r="E79" s="25" t="s">
        <v>180</v>
      </c>
      <c r="F79" s="25">
        <v>1</v>
      </c>
      <c r="G79" s="81" t="s">
        <v>1142</v>
      </c>
      <c r="H79" s="67" t="s">
        <v>313</v>
      </c>
    </row>
    <row r="80" spans="1:8" ht="17" x14ac:dyDescent="0.15">
      <c r="A80" s="25">
        <f>+MAX(A$3:A79)+1</f>
        <v>62</v>
      </c>
      <c r="B80" s="76" t="s">
        <v>1055</v>
      </c>
      <c r="C80" s="72" t="s">
        <v>941</v>
      </c>
      <c r="D80" s="25">
        <v>1</v>
      </c>
      <c r="E80" s="25" t="s">
        <v>179</v>
      </c>
      <c r="F80" s="25">
        <v>1</v>
      </c>
      <c r="G80" s="81" t="s">
        <v>1143</v>
      </c>
      <c r="H80" s="67" t="s">
        <v>315</v>
      </c>
    </row>
    <row r="81" spans="1:10" ht="17" x14ac:dyDescent="0.15">
      <c r="A81" s="25">
        <f>+MAX(A$3:A80)+1</f>
        <v>63</v>
      </c>
      <c r="B81" s="76" t="s">
        <v>1056</v>
      </c>
      <c r="C81" s="72" t="s">
        <v>941</v>
      </c>
      <c r="D81" s="25">
        <v>1</v>
      </c>
      <c r="E81" s="25" t="s">
        <v>182</v>
      </c>
      <c r="F81" s="25">
        <v>1</v>
      </c>
      <c r="G81" s="81" t="s">
        <v>1144</v>
      </c>
      <c r="H81" s="67" t="s">
        <v>561</v>
      </c>
    </row>
    <row r="82" spans="1:10" ht="17" x14ac:dyDescent="0.15">
      <c r="A82" s="25">
        <f>+MAX(A$3:A81)+1</f>
        <v>64</v>
      </c>
      <c r="B82" s="76" t="s">
        <v>1057</v>
      </c>
      <c r="C82" s="72" t="s">
        <v>941</v>
      </c>
      <c r="D82" s="25">
        <v>1</v>
      </c>
      <c r="E82" s="25" t="s">
        <v>180</v>
      </c>
      <c r="F82" s="25">
        <v>1</v>
      </c>
      <c r="G82" s="81" t="s">
        <v>1145</v>
      </c>
      <c r="H82" s="67" t="s">
        <v>316</v>
      </c>
    </row>
    <row r="83" spans="1:10" ht="34" x14ac:dyDescent="0.15">
      <c r="A83" s="25">
        <f>+MAX(A$3:A82)+1</f>
        <v>65</v>
      </c>
      <c r="B83" s="76" t="s">
        <v>1058</v>
      </c>
      <c r="C83" s="72" t="s">
        <v>941</v>
      </c>
      <c r="D83" s="25">
        <v>1</v>
      </c>
      <c r="E83" s="25" t="s">
        <v>182</v>
      </c>
      <c r="F83" s="25">
        <v>1</v>
      </c>
      <c r="G83" s="81" t="s">
        <v>1146</v>
      </c>
      <c r="H83" s="67" t="s">
        <v>855</v>
      </c>
    </row>
    <row r="84" spans="1:10" ht="17" x14ac:dyDescent="0.15">
      <c r="A84" s="25">
        <f>+MAX(A$3:A83)+1</f>
        <v>66</v>
      </c>
      <c r="B84" s="76" t="s">
        <v>1059</v>
      </c>
      <c r="C84" s="72" t="s">
        <v>941</v>
      </c>
      <c r="D84" s="25">
        <v>1</v>
      </c>
      <c r="E84" s="25" t="s">
        <v>180</v>
      </c>
      <c r="F84" s="25">
        <v>1</v>
      </c>
      <c r="G84" s="81" t="s">
        <v>1147</v>
      </c>
      <c r="H84" s="67" t="s">
        <v>570</v>
      </c>
    </row>
    <row r="85" spans="1:10" ht="17" x14ac:dyDescent="0.15">
      <c r="A85" s="25">
        <f>+MAX(A$3:A84)+1</f>
        <v>67</v>
      </c>
      <c r="B85" s="76" t="s">
        <v>1060</v>
      </c>
      <c r="C85" s="72" t="s">
        <v>941</v>
      </c>
      <c r="D85" s="25">
        <v>1</v>
      </c>
      <c r="E85" s="25" t="s">
        <v>180</v>
      </c>
      <c r="F85" s="25">
        <v>1</v>
      </c>
      <c r="G85" s="81" t="s">
        <v>1148</v>
      </c>
      <c r="H85" s="67" t="s">
        <v>856</v>
      </c>
    </row>
    <row r="86" spans="1:10" ht="17" x14ac:dyDescent="0.15">
      <c r="A86" s="25">
        <f>+MAX(A$3:A85)+1</f>
        <v>68</v>
      </c>
      <c r="B86" s="76" t="s">
        <v>1061</v>
      </c>
      <c r="C86" s="72" t="s">
        <v>943</v>
      </c>
      <c r="D86" s="25">
        <v>1</v>
      </c>
      <c r="E86" s="25" t="s">
        <v>180</v>
      </c>
      <c r="F86" s="25">
        <v>1</v>
      </c>
      <c r="G86" s="81" t="s">
        <v>1149</v>
      </c>
      <c r="H86" s="67" t="s">
        <v>317</v>
      </c>
    </row>
    <row r="87" spans="1:10" ht="17" x14ac:dyDescent="0.15">
      <c r="A87" s="25">
        <f>+MAX(A$3:A86)+1</f>
        <v>69</v>
      </c>
      <c r="B87" s="76" t="s">
        <v>1062</v>
      </c>
      <c r="C87" s="72" t="s">
        <v>943</v>
      </c>
      <c r="D87" s="25">
        <v>1</v>
      </c>
      <c r="E87" s="25" t="s">
        <v>179</v>
      </c>
      <c r="F87" s="25">
        <v>1</v>
      </c>
      <c r="G87" s="81" t="s">
        <v>1150</v>
      </c>
      <c r="H87" s="67" t="s">
        <v>576</v>
      </c>
    </row>
    <row r="88" spans="1:10" ht="17" x14ac:dyDescent="0.15">
      <c r="A88" s="25"/>
      <c r="B88" s="28" t="s">
        <v>241</v>
      </c>
      <c r="C88" s="74"/>
      <c r="D88" s="25"/>
      <c r="E88" s="25"/>
      <c r="F88" s="25"/>
      <c r="G88" s="81"/>
      <c r="H88" s="67"/>
    </row>
    <row r="89" spans="1:10" ht="34" x14ac:dyDescent="0.15">
      <c r="A89" s="25">
        <f>+MAX(A$3:A88)+1</f>
        <v>70</v>
      </c>
      <c r="B89" s="26" t="s">
        <v>1063</v>
      </c>
      <c r="C89" s="72" t="s">
        <v>943</v>
      </c>
      <c r="D89" s="25">
        <v>1</v>
      </c>
      <c r="E89" s="25" t="s">
        <v>180</v>
      </c>
      <c r="F89" s="25">
        <v>1</v>
      </c>
      <c r="G89" s="81" t="s">
        <v>1151</v>
      </c>
      <c r="H89" s="67"/>
    </row>
    <row r="90" spans="1:10" ht="34" x14ac:dyDescent="0.15">
      <c r="A90" s="25">
        <f>+MAX(A$3:A89)+1</f>
        <v>71</v>
      </c>
      <c r="B90" s="26" t="s">
        <v>1064</v>
      </c>
      <c r="C90" s="72" t="s">
        <v>943</v>
      </c>
      <c r="D90" s="25">
        <v>1</v>
      </c>
      <c r="E90" s="25" t="s">
        <v>180</v>
      </c>
      <c r="F90" s="25">
        <v>1</v>
      </c>
      <c r="G90" s="81" t="s">
        <v>1152</v>
      </c>
      <c r="H90" s="67"/>
    </row>
    <row r="91" spans="1:10" ht="17" x14ac:dyDescent="0.15">
      <c r="A91" s="25">
        <f>+MAX(A$3:A90)+1</f>
        <v>72</v>
      </c>
      <c r="B91" s="26" t="s">
        <v>240</v>
      </c>
      <c r="C91" s="72" t="s">
        <v>943</v>
      </c>
      <c r="D91" s="25">
        <v>1</v>
      </c>
      <c r="E91" s="25" t="s">
        <v>180</v>
      </c>
      <c r="F91" s="25">
        <v>1</v>
      </c>
      <c r="G91" s="81" t="s">
        <v>1153</v>
      </c>
      <c r="H91" s="67"/>
    </row>
    <row r="92" spans="1:10" ht="34" x14ac:dyDescent="0.15">
      <c r="A92" s="25">
        <f>+MAX(A$3:A91)+1</f>
        <v>73</v>
      </c>
      <c r="B92" s="26" t="s">
        <v>1065</v>
      </c>
      <c r="C92" s="72" t="s">
        <v>943</v>
      </c>
      <c r="D92" s="25">
        <v>1</v>
      </c>
      <c r="E92" s="25" t="s">
        <v>180</v>
      </c>
      <c r="F92" s="25">
        <v>1</v>
      </c>
      <c r="G92" s="81" t="s">
        <v>1154</v>
      </c>
      <c r="H92" s="67"/>
    </row>
    <row r="93" spans="1:10" ht="51" x14ac:dyDescent="0.15">
      <c r="A93" s="25">
        <f>+MAX(A$3:A92)+1</f>
        <v>74</v>
      </c>
      <c r="B93" s="26" t="s">
        <v>285</v>
      </c>
      <c r="C93" s="72" t="s">
        <v>943</v>
      </c>
      <c r="D93" s="25"/>
      <c r="E93" s="25" t="s">
        <v>180</v>
      </c>
      <c r="F93" s="25">
        <v>2</v>
      </c>
      <c r="G93" s="81"/>
      <c r="H93" s="67"/>
      <c r="J93" s="20">
        <v>1</v>
      </c>
    </row>
    <row r="94" spans="1:10" ht="17" x14ac:dyDescent="0.15">
      <c r="A94" s="25"/>
      <c r="B94" s="28" t="s">
        <v>239</v>
      </c>
      <c r="C94" s="74"/>
      <c r="D94" s="25"/>
      <c r="E94" s="25"/>
      <c r="F94" s="25"/>
      <c r="G94" s="81"/>
      <c r="H94" s="67"/>
    </row>
    <row r="95" spans="1:10" ht="34" x14ac:dyDescent="0.15">
      <c r="A95" s="25">
        <f>+MAX(A$3:A94)+1</f>
        <v>75</v>
      </c>
      <c r="B95" s="26" t="s">
        <v>238</v>
      </c>
      <c r="C95" s="72" t="s">
        <v>943</v>
      </c>
      <c r="D95" s="25">
        <v>1</v>
      </c>
      <c r="E95" s="25" t="s">
        <v>182</v>
      </c>
      <c r="F95" s="25">
        <v>1</v>
      </c>
      <c r="G95" s="81"/>
      <c r="H95" s="67"/>
    </row>
    <row r="96" spans="1:10" ht="17" x14ac:dyDescent="0.15">
      <c r="A96" s="25"/>
      <c r="B96" s="28" t="s">
        <v>237</v>
      </c>
      <c r="C96" s="74"/>
      <c r="D96" s="25"/>
      <c r="E96" s="25"/>
      <c r="F96" s="25"/>
      <c r="G96" s="81"/>
      <c r="H96" s="67"/>
    </row>
    <row r="97" spans="1:10" ht="17" x14ac:dyDescent="0.15">
      <c r="A97" s="25">
        <f>+MAX(A$3:A96)+1</f>
        <v>76</v>
      </c>
      <c r="B97" s="26" t="s">
        <v>1099</v>
      </c>
      <c r="C97" s="72" t="s">
        <v>942</v>
      </c>
      <c r="D97" s="25">
        <v>1</v>
      </c>
      <c r="E97" s="27" t="s">
        <v>179</v>
      </c>
      <c r="F97" s="25">
        <v>1</v>
      </c>
      <c r="G97" s="81"/>
      <c r="H97" s="67" t="s">
        <v>319</v>
      </c>
      <c r="J97" s="20">
        <v>1</v>
      </c>
    </row>
    <row r="98" spans="1:10" ht="17" x14ac:dyDescent="0.15">
      <c r="A98" s="25">
        <f>+MAX(A$3:A97)+1</f>
        <v>77</v>
      </c>
      <c r="B98" s="26" t="s">
        <v>1098</v>
      </c>
      <c r="C98" s="72" t="s">
        <v>942</v>
      </c>
      <c r="D98" s="25">
        <v>1</v>
      </c>
      <c r="E98" s="27" t="s">
        <v>179</v>
      </c>
      <c r="F98" s="25">
        <v>1</v>
      </c>
      <c r="G98" s="81"/>
      <c r="H98" s="67"/>
    </row>
    <row r="99" spans="1:10" ht="17" x14ac:dyDescent="0.15">
      <c r="A99" s="25">
        <f>+MAX(A$3:A98)+1</f>
        <v>78</v>
      </c>
      <c r="B99" s="26" t="s">
        <v>233</v>
      </c>
      <c r="C99" s="72" t="s">
        <v>943</v>
      </c>
      <c r="D99" s="25">
        <v>1</v>
      </c>
      <c r="E99" s="25" t="s">
        <v>180</v>
      </c>
      <c r="F99" s="25">
        <v>1</v>
      </c>
      <c r="G99" s="81"/>
      <c r="H99" s="67"/>
      <c r="J99" s="20">
        <v>1</v>
      </c>
    </row>
    <row r="100" spans="1:10" ht="17" x14ac:dyDescent="0.15">
      <c r="A100" s="25">
        <f>+MAX(A$3:A99)+1</f>
        <v>79</v>
      </c>
      <c r="B100" s="26" t="s">
        <v>1100</v>
      </c>
      <c r="C100" s="72" t="s">
        <v>942</v>
      </c>
      <c r="D100" s="25">
        <v>1</v>
      </c>
      <c r="E100" s="27" t="s">
        <v>179</v>
      </c>
      <c r="F100" s="25">
        <v>1</v>
      </c>
      <c r="G100" s="81"/>
      <c r="H100" s="67"/>
    </row>
    <row r="101" spans="1:10" ht="17" x14ac:dyDescent="0.15">
      <c r="A101" s="25"/>
      <c r="B101" s="28" t="s">
        <v>232</v>
      </c>
      <c r="C101" s="74"/>
      <c r="D101" s="25"/>
      <c r="E101" s="25"/>
      <c r="F101" s="25"/>
      <c r="G101" s="81"/>
      <c r="H101" s="67"/>
    </row>
    <row r="102" spans="1:10" ht="17" x14ac:dyDescent="0.15">
      <c r="A102" s="25">
        <f>+MAX(A$3:A101)+1</f>
        <v>80</v>
      </c>
      <c r="B102" s="26" t="s">
        <v>231</v>
      </c>
      <c r="C102" s="72" t="s">
        <v>942</v>
      </c>
      <c r="D102" s="25">
        <v>1</v>
      </c>
      <c r="E102" s="27" t="s">
        <v>179</v>
      </c>
      <c r="F102" s="25">
        <v>1</v>
      </c>
      <c r="G102" s="81"/>
      <c r="H102" s="67" t="s">
        <v>571</v>
      </c>
    </row>
    <row r="103" spans="1:10" ht="17" x14ac:dyDescent="0.15">
      <c r="A103" s="25">
        <f>+MAX(A$3:A102)+1</f>
        <v>81</v>
      </c>
      <c r="B103" s="26" t="s">
        <v>903</v>
      </c>
      <c r="C103" s="72" t="s">
        <v>942</v>
      </c>
      <c r="D103" s="25">
        <v>1</v>
      </c>
      <c r="E103" s="27" t="s">
        <v>179</v>
      </c>
      <c r="F103" s="25">
        <v>1</v>
      </c>
      <c r="G103" s="81"/>
      <c r="H103" s="67" t="s">
        <v>857</v>
      </c>
    </row>
    <row r="104" spans="1:10" ht="17" x14ac:dyDescent="0.15">
      <c r="A104" s="25">
        <f>+MAX(A$3:A103)+1</f>
        <v>82</v>
      </c>
      <c r="B104" s="26" t="s">
        <v>904</v>
      </c>
      <c r="C104" s="72" t="s">
        <v>942</v>
      </c>
      <c r="D104" s="25"/>
      <c r="E104" s="27" t="s">
        <v>179</v>
      </c>
      <c r="F104" s="25">
        <v>2</v>
      </c>
      <c r="G104" s="81"/>
      <c r="H104" s="67"/>
    </row>
    <row r="105" spans="1:10" ht="17" x14ac:dyDescent="0.15">
      <c r="A105" s="25">
        <f>+MAX(A$3:A103)+1</f>
        <v>82</v>
      </c>
      <c r="B105" s="26" t="s">
        <v>902</v>
      </c>
      <c r="C105" s="72" t="s">
        <v>942</v>
      </c>
      <c r="D105" s="25"/>
      <c r="E105" s="27" t="s">
        <v>180</v>
      </c>
      <c r="F105" s="25">
        <v>2</v>
      </c>
      <c r="G105" s="81"/>
      <c r="H105" s="67"/>
    </row>
    <row r="106" spans="1:10" ht="17" x14ac:dyDescent="0.15">
      <c r="A106" s="25">
        <f>+MAX(A$3:A103)+1</f>
        <v>82</v>
      </c>
      <c r="B106" s="26" t="s">
        <v>901</v>
      </c>
      <c r="C106" s="72" t="s">
        <v>942</v>
      </c>
      <c r="D106" s="25"/>
      <c r="E106" s="27" t="s">
        <v>179</v>
      </c>
      <c r="F106" s="25">
        <v>0</v>
      </c>
      <c r="G106" s="81"/>
      <c r="H106" s="67"/>
    </row>
    <row r="107" spans="1:10" ht="17" x14ac:dyDescent="0.15">
      <c r="A107" s="25">
        <f>+MAX(A$3:A106)+1</f>
        <v>83</v>
      </c>
      <c r="B107" s="26" t="s">
        <v>230</v>
      </c>
      <c r="C107" s="72" t="s">
        <v>942</v>
      </c>
      <c r="D107" s="25">
        <v>1</v>
      </c>
      <c r="E107" s="27" t="s">
        <v>179</v>
      </c>
      <c r="F107" s="25">
        <v>1</v>
      </c>
      <c r="G107" s="81"/>
      <c r="H107" s="67" t="s">
        <v>320</v>
      </c>
    </row>
    <row r="108" spans="1:10" ht="17" x14ac:dyDescent="0.15">
      <c r="A108" s="25"/>
      <c r="B108" s="28" t="s">
        <v>229</v>
      </c>
      <c r="C108" s="74"/>
      <c r="D108" s="25"/>
      <c r="E108" s="25"/>
      <c r="F108" s="25"/>
      <c r="G108" s="81"/>
      <c r="H108" s="67"/>
    </row>
    <row r="109" spans="1:10" ht="17" x14ac:dyDescent="0.15">
      <c r="A109" s="25">
        <f>+MAX(A$3:A108)+1</f>
        <v>84</v>
      </c>
      <c r="B109" s="26" t="s">
        <v>228</v>
      </c>
      <c r="C109" s="72" t="s">
        <v>943</v>
      </c>
      <c r="D109" s="25">
        <v>1</v>
      </c>
      <c r="E109" s="25" t="s">
        <v>182</v>
      </c>
      <c r="F109" s="25">
        <v>1</v>
      </c>
      <c r="G109" s="81"/>
      <c r="H109" s="67"/>
    </row>
    <row r="110" spans="1:10" ht="17" x14ac:dyDescent="0.15">
      <c r="A110" s="25">
        <f>+MAX(A$3:A109)+1</f>
        <v>85</v>
      </c>
      <c r="B110" s="26" t="s">
        <v>1027</v>
      </c>
      <c r="C110" s="72" t="s">
        <v>943</v>
      </c>
      <c r="D110" s="25"/>
      <c r="E110" s="25" t="s">
        <v>182</v>
      </c>
      <c r="F110" s="25">
        <v>2</v>
      </c>
      <c r="G110" s="82" t="s">
        <v>1121</v>
      </c>
      <c r="H110" s="67"/>
    </row>
    <row r="111" spans="1:10" ht="17" x14ac:dyDescent="0.15">
      <c r="A111" s="25">
        <f>+MAX(A$3:A110)+1</f>
        <v>86</v>
      </c>
      <c r="B111" s="26" t="s">
        <v>227</v>
      </c>
      <c r="C111" s="72" t="s">
        <v>943</v>
      </c>
      <c r="D111" s="25"/>
      <c r="E111" s="25" t="s">
        <v>182</v>
      </c>
      <c r="F111" s="25">
        <v>2</v>
      </c>
      <c r="G111" s="81"/>
      <c r="H111" s="67"/>
      <c r="J111" s="20">
        <v>1</v>
      </c>
    </row>
    <row r="112" spans="1:10" ht="17" x14ac:dyDescent="0.15">
      <c r="A112" s="25">
        <f>+MAX(A$3:A111)+1</f>
        <v>87</v>
      </c>
      <c r="B112" s="26" t="s">
        <v>338</v>
      </c>
      <c r="C112" s="72" t="s">
        <v>943</v>
      </c>
      <c r="D112" s="25"/>
      <c r="E112" s="25" t="s">
        <v>182</v>
      </c>
      <c r="F112" s="25">
        <v>2</v>
      </c>
      <c r="G112" s="81"/>
      <c r="H112" s="67"/>
      <c r="J112" s="20">
        <v>1</v>
      </c>
    </row>
    <row r="113" spans="1:8" ht="17" x14ac:dyDescent="0.15">
      <c r="A113" s="25">
        <f>+MAX(A$3:A112)+1</f>
        <v>88</v>
      </c>
      <c r="B113" s="26" t="s">
        <v>226</v>
      </c>
      <c r="C113" s="72" t="s">
        <v>943</v>
      </c>
      <c r="D113" s="25">
        <v>1</v>
      </c>
      <c r="E113" s="25" t="s">
        <v>182</v>
      </c>
      <c r="F113" s="25">
        <v>1</v>
      </c>
      <c r="G113" s="82" t="s">
        <v>1122</v>
      </c>
      <c r="H113" s="67" t="s">
        <v>577</v>
      </c>
    </row>
    <row r="114" spans="1:8" ht="17" x14ac:dyDescent="0.15">
      <c r="A114" s="25">
        <f>+MAX(A$3:A113)+1</f>
        <v>89</v>
      </c>
      <c r="B114" s="26" t="s">
        <v>225</v>
      </c>
      <c r="C114" s="72" t="s">
        <v>943</v>
      </c>
      <c r="D114" s="25">
        <v>1</v>
      </c>
      <c r="E114" s="25" t="s">
        <v>182</v>
      </c>
      <c r="F114" s="25">
        <v>1</v>
      </c>
      <c r="G114" s="82" t="s">
        <v>1123</v>
      </c>
      <c r="H114" s="67" t="s">
        <v>578</v>
      </c>
    </row>
    <row r="115" spans="1:8" ht="17" x14ac:dyDescent="0.15">
      <c r="A115" s="25"/>
      <c r="B115" s="28" t="s">
        <v>224</v>
      </c>
      <c r="C115" s="74"/>
      <c r="D115" s="25"/>
      <c r="E115" s="25"/>
      <c r="F115" s="25"/>
      <c r="G115" s="81"/>
      <c r="H115" s="67"/>
    </row>
    <row r="116" spans="1:8" ht="17" x14ac:dyDescent="0.15">
      <c r="A116" s="25">
        <f>+MAX(A$3:A115)+1</f>
        <v>90</v>
      </c>
      <c r="B116" s="26" t="s">
        <v>286</v>
      </c>
      <c r="C116" s="72" t="s">
        <v>943</v>
      </c>
      <c r="D116" s="25">
        <v>1</v>
      </c>
      <c r="E116" s="25" t="s">
        <v>182</v>
      </c>
      <c r="F116" s="25">
        <v>1</v>
      </c>
      <c r="G116" s="81"/>
      <c r="H116" s="67" t="s">
        <v>858</v>
      </c>
    </row>
    <row r="117" spans="1:8" ht="17" x14ac:dyDescent="0.15">
      <c r="A117" s="25">
        <f>+MAX(A$3:A116)+1</f>
        <v>91</v>
      </c>
      <c r="B117" s="26" t="s">
        <v>287</v>
      </c>
      <c r="C117" s="72" t="s">
        <v>943</v>
      </c>
      <c r="D117" s="25">
        <v>1</v>
      </c>
      <c r="E117" s="25" t="s">
        <v>182</v>
      </c>
      <c r="F117" s="25">
        <v>1</v>
      </c>
      <c r="G117" s="81"/>
      <c r="H117" s="67" t="s">
        <v>859</v>
      </c>
    </row>
    <row r="118" spans="1:8" ht="17" x14ac:dyDescent="0.15">
      <c r="A118" s="25">
        <f>+MAX(A$3:A117)+1</f>
        <v>92</v>
      </c>
      <c r="B118" s="26" t="s">
        <v>288</v>
      </c>
      <c r="C118" s="72" t="s">
        <v>943</v>
      </c>
      <c r="D118" s="25">
        <v>1</v>
      </c>
      <c r="E118" s="25" t="s">
        <v>182</v>
      </c>
      <c r="F118" s="25">
        <v>1</v>
      </c>
      <c r="G118" s="81"/>
      <c r="H118" s="67" t="s">
        <v>579</v>
      </c>
    </row>
    <row r="119" spans="1:8" ht="17" x14ac:dyDescent="0.15">
      <c r="A119" s="25"/>
      <c r="B119" s="28" t="s">
        <v>223</v>
      </c>
      <c r="C119" s="74"/>
      <c r="D119" s="25"/>
      <c r="E119" s="25"/>
      <c r="F119" s="25"/>
      <c r="G119" s="81"/>
      <c r="H119" s="67"/>
    </row>
    <row r="120" spans="1:8" ht="17" x14ac:dyDescent="0.15">
      <c r="A120" s="25">
        <f>+MAX(A$3:A119)+1</f>
        <v>93</v>
      </c>
      <c r="B120" s="26" t="s">
        <v>289</v>
      </c>
      <c r="C120" s="72" t="s">
        <v>943</v>
      </c>
      <c r="D120" s="25">
        <v>1</v>
      </c>
      <c r="E120" s="25" t="s">
        <v>182</v>
      </c>
      <c r="F120" s="25">
        <v>1</v>
      </c>
      <c r="G120" s="82" t="s">
        <v>1102</v>
      </c>
      <c r="H120" s="67" t="s">
        <v>552</v>
      </c>
    </row>
    <row r="121" spans="1:8" ht="34" x14ac:dyDescent="0.15">
      <c r="A121" s="25">
        <f>+MAX(A$3:A120)+1</f>
        <v>94</v>
      </c>
      <c r="B121" s="26" t="s">
        <v>290</v>
      </c>
      <c r="C121" s="72" t="s">
        <v>943</v>
      </c>
      <c r="D121" s="25">
        <v>1</v>
      </c>
      <c r="E121" s="25" t="s">
        <v>182</v>
      </c>
      <c r="F121" s="25">
        <v>1</v>
      </c>
      <c r="G121" s="81"/>
      <c r="H121" s="67" t="s">
        <v>556</v>
      </c>
    </row>
    <row r="122" spans="1:8" ht="34" x14ac:dyDescent="0.15">
      <c r="A122" s="25">
        <f>+MAX(A$3:A121)+1</f>
        <v>95</v>
      </c>
      <c r="B122" s="26" t="s">
        <v>291</v>
      </c>
      <c r="C122" s="72" t="s">
        <v>943</v>
      </c>
      <c r="D122" s="25">
        <v>1</v>
      </c>
      <c r="E122" s="25" t="s">
        <v>182</v>
      </c>
      <c r="F122" s="25">
        <v>1</v>
      </c>
      <c r="G122" s="82" t="s">
        <v>1106</v>
      </c>
      <c r="H122" s="67" t="s">
        <v>580</v>
      </c>
    </row>
    <row r="123" spans="1:8" ht="17" x14ac:dyDescent="0.15">
      <c r="A123" s="25">
        <f>+MAX(A$3:A122)+1</f>
        <v>96</v>
      </c>
      <c r="B123" s="26" t="s">
        <v>292</v>
      </c>
      <c r="C123" s="72" t="s">
        <v>943</v>
      </c>
      <c r="D123" s="25">
        <v>1</v>
      </c>
      <c r="E123" s="25" t="s">
        <v>182</v>
      </c>
      <c r="F123" s="25">
        <v>1</v>
      </c>
      <c r="G123" s="82" t="s">
        <v>1110</v>
      </c>
      <c r="H123" s="67" t="s">
        <v>553</v>
      </c>
    </row>
    <row r="124" spans="1:8" ht="17" x14ac:dyDescent="0.15">
      <c r="A124" s="25">
        <f>+MAX(A$3:A123)+1</f>
        <v>97</v>
      </c>
      <c r="B124" s="26" t="s">
        <v>1017</v>
      </c>
      <c r="C124" s="72" t="s">
        <v>943</v>
      </c>
      <c r="D124" s="25">
        <v>1</v>
      </c>
      <c r="E124" s="25" t="s">
        <v>182</v>
      </c>
      <c r="F124" s="25">
        <v>1</v>
      </c>
      <c r="G124" s="82" t="s">
        <v>1109</v>
      </c>
      <c r="H124" s="67"/>
    </row>
    <row r="125" spans="1:8" ht="17" x14ac:dyDescent="0.15">
      <c r="A125" s="25">
        <f>+MAX(A$3:A124)+1</f>
        <v>98</v>
      </c>
      <c r="B125" s="26" t="s">
        <v>293</v>
      </c>
      <c r="C125" s="72" t="s">
        <v>943</v>
      </c>
      <c r="D125" s="25">
        <v>1</v>
      </c>
      <c r="E125" s="25" t="s">
        <v>182</v>
      </c>
      <c r="F125" s="25">
        <v>1</v>
      </c>
      <c r="G125" s="82" t="s">
        <v>1107</v>
      </c>
      <c r="H125" s="67" t="s">
        <v>554</v>
      </c>
    </row>
    <row r="126" spans="1:8" ht="17" x14ac:dyDescent="0.15">
      <c r="A126" s="25">
        <f>+MAX(A$3:A125)+1</f>
        <v>99</v>
      </c>
      <c r="B126" s="26" t="s">
        <v>294</v>
      </c>
      <c r="C126" s="72" t="s">
        <v>943</v>
      </c>
      <c r="D126" s="25">
        <v>1</v>
      </c>
      <c r="E126" s="25" t="s">
        <v>182</v>
      </c>
      <c r="F126" s="25">
        <v>1</v>
      </c>
      <c r="G126" s="82" t="s">
        <v>1108</v>
      </c>
      <c r="H126" s="67" t="s">
        <v>555</v>
      </c>
    </row>
    <row r="127" spans="1:8" ht="17" x14ac:dyDescent="0.15">
      <c r="A127" s="25">
        <f>+MAX(A$3:A126)+1</f>
        <v>100</v>
      </c>
      <c r="B127" s="26" t="s">
        <v>295</v>
      </c>
      <c r="C127" s="72" t="s">
        <v>943</v>
      </c>
      <c r="D127" s="25">
        <v>1</v>
      </c>
      <c r="E127" s="25" t="s">
        <v>182</v>
      </c>
      <c r="F127" s="25">
        <v>1</v>
      </c>
      <c r="G127" s="81"/>
      <c r="H127" s="67" t="s">
        <v>556</v>
      </c>
    </row>
    <row r="128" spans="1:8" ht="17" x14ac:dyDescent="0.15">
      <c r="A128" s="25">
        <f>+MAX(A$3:A127)+1</f>
        <v>101</v>
      </c>
      <c r="B128" s="26" t="s">
        <v>296</v>
      </c>
      <c r="C128" s="72" t="s">
        <v>943</v>
      </c>
      <c r="D128" s="25">
        <v>1</v>
      </c>
      <c r="E128" s="25" t="s">
        <v>180</v>
      </c>
      <c r="F128" s="25">
        <v>1</v>
      </c>
      <c r="G128" s="82" t="s">
        <v>1103</v>
      </c>
      <c r="H128" s="67" t="s">
        <v>323</v>
      </c>
    </row>
    <row r="129" spans="1:10" ht="34" x14ac:dyDescent="0.15">
      <c r="A129" s="25">
        <f>+MAX(A$3:A128)+1</f>
        <v>102</v>
      </c>
      <c r="B129" s="26" t="s">
        <v>297</v>
      </c>
      <c r="C129" s="72" t="s">
        <v>943</v>
      </c>
      <c r="D129" s="25">
        <v>1</v>
      </c>
      <c r="E129" s="25" t="s">
        <v>180</v>
      </c>
      <c r="F129" s="25">
        <v>1</v>
      </c>
      <c r="G129" s="82" t="s">
        <v>1104</v>
      </c>
      <c r="H129" s="67" t="s">
        <v>321</v>
      </c>
    </row>
    <row r="130" spans="1:10" ht="34" x14ac:dyDescent="0.15">
      <c r="A130" s="25">
        <f>+MAX(A$3:A129)+1</f>
        <v>103</v>
      </c>
      <c r="B130" s="26" t="s">
        <v>298</v>
      </c>
      <c r="C130" s="72" t="s">
        <v>943</v>
      </c>
      <c r="D130" s="25">
        <v>1</v>
      </c>
      <c r="E130" s="25" t="s">
        <v>180</v>
      </c>
      <c r="F130" s="25">
        <v>1</v>
      </c>
      <c r="G130" s="82" t="s">
        <v>1105</v>
      </c>
      <c r="H130" s="67" t="s">
        <v>322</v>
      </c>
    </row>
    <row r="131" spans="1:10" ht="17" x14ac:dyDescent="0.15">
      <c r="A131" s="25"/>
      <c r="B131" s="28" t="s">
        <v>222</v>
      </c>
      <c r="C131" s="74"/>
      <c r="D131" s="25"/>
      <c r="E131" s="25"/>
      <c r="F131" s="25"/>
      <c r="G131" s="81"/>
      <c r="H131" s="67"/>
    </row>
    <row r="132" spans="1:10" ht="34" x14ac:dyDescent="0.15">
      <c r="A132" s="25">
        <f>+MAX(A$3:A131)+1</f>
        <v>104</v>
      </c>
      <c r="B132" s="26" t="s">
        <v>221</v>
      </c>
      <c r="C132" s="72" t="s">
        <v>943</v>
      </c>
      <c r="D132" s="25">
        <v>0</v>
      </c>
      <c r="E132" s="25" t="s">
        <v>182</v>
      </c>
      <c r="F132" s="25">
        <v>0</v>
      </c>
      <c r="G132" s="81"/>
      <c r="H132" s="67"/>
    </row>
    <row r="133" spans="1:10" ht="34" x14ac:dyDescent="0.15">
      <c r="A133" s="25">
        <f>+MAX(A$3:A132)+1</f>
        <v>105</v>
      </c>
      <c r="B133" s="26" t="s">
        <v>220</v>
      </c>
      <c r="C133" s="72" t="s">
        <v>943</v>
      </c>
      <c r="D133" s="25">
        <v>0</v>
      </c>
      <c r="E133" s="25" t="s">
        <v>182</v>
      </c>
      <c r="F133" s="25">
        <v>0</v>
      </c>
      <c r="G133" s="81"/>
      <c r="H133" s="67"/>
    </row>
    <row r="134" spans="1:10" ht="34" x14ac:dyDescent="0.15">
      <c r="A134" s="25">
        <f>+MAX(A$3:A133)+1</f>
        <v>106</v>
      </c>
      <c r="B134" s="26" t="s">
        <v>219</v>
      </c>
      <c r="C134" s="72" t="s">
        <v>943</v>
      </c>
      <c r="D134" s="25">
        <v>0</v>
      </c>
      <c r="E134" s="25" t="s">
        <v>182</v>
      </c>
      <c r="F134" s="25">
        <v>0</v>
      </c>
      <c r="G134" s="81"/>
      <c r="H134" s="67"/>
    </row>
    <row r="135" spans="1:10" ht="34" x14ac:dyDescent="0.15">
      <c r="A135" s="25">
        <f>+MAX(A$3:A134)+1</f>
        <v>107</v>
      </c>
      <c r="B135" s="26" t="s">
        <v>218</v>
      </c>
      <c r="C135" s="72" t="s">
        <v>943</v>
      </c>
      <c r="D135" s="25">
        <v>1</v>
      </c>
      <c r="E135" s="25" t="s">
        <v>182</v>
      </c>
      <c r="F135" s="25">
        <v>1</v>
      </c>
      <c r="G135" s="81"/>
      <c r="H135" s="67" t="s">
        <v>581</v>
      </c>
    </row>
    <row r="136" spans="1:10" ht="17" x14ac:dyDescent="0.15">
      <c r="A136" s="25">
        <f>+MAX(A$3:A135)+1</f>
        <v>108</v>
      </c>
      <c r="B136" s="29" t="s">
        <v>217</v>
      </c>
      <c r="C136" s="72" t="s">
        <v>943</v>
      </c>
      <c r="D136" s="25"/>
      <c r="E136" s="25" t="s">
        <v>182</v>
      </c>
      <c r="F136" s="25">
        <v>2</v>
      </c>
      <c r="G136" s="81"/>
      <c r="H136" s="67"/>
      <c r="J136" s="20">
        <v>1</v>
      </c>
    </row>
    <row r="137" spans="1:10" ht="34" x14ac:dyDescent="0.15">
      <c r="A137" s="25">
        <f>+MAX(A$3:A136)+1</f>
        <v>109</v>
      </c>
      <c r="B137" s="29" t="s">
        <v>216</v>
      </c>
      <c r="C137" s="72" t="s">
        <v>943</v>
      </c>
      <c r="D137" s="25">
        <v>1</v>
      </c>
      <c r="E137" s="25" t="s">
        <v>182</v>
      </c>
      <c r="F137" s="25">
        <v>1</v>
      </c>
      <c r="G137" s="82" t="s">
        <v>1120</v>
      </c>
      <c r="H137" s="67" t="s">
        <v>582</v>
      </c>
    </row>
    <row r="138" spans="1:10" ht="17" x14ac:dyDescent="0.15">
      <c r="A138" s="25">
        <f>+MAX(A$3:A137)+1</f>
        <v>110</v>
      </c>
      <c r="B138" s="29" t="s">
        <v>215</v>
      </c>
      <c r="C138" s="72" t="s">
        <v>943</v>
      </c>
      <c r="D138" s="25">
        <v>1</v>
      </c>
      <c r="E138" s="25" t="s">
        <v>182</v>
      </c>
      <c r="F138" s="25">
        <v>1</v>
      </c>
      <c r="G138" s="82" t="s">
        <v>1119</v>
      </c>
      <c r="H138" s="67" t="s">
        <v>583</v>
      </c>
    </row>
    <row r="139" spans="1:10" ht="17" x14ac:dyDescent="0.15">
      <c r="A139" s="25">
        <f>+MAX(A$3:A138)+1</f>
        <v>111</v>
      </c>
      <c r="B139" s="29" t="s">
        <v>214</v>
      </c>
      <c r="C139" s="72" t="s">
        <v>943</v>
      </c>
      <c r="D139" s="25">
        <v>1</v>
      </c>
      <c r="E139" s="25" t="s">
        <v>182</v>
      </c>
      <c r="F139" s="25">
        <v>1</v>
      </c>
      <c r="G139" s="82" t="s">
        <v>1118</v>
      </c>
      <c r="H139" s="67" t="s">
        <v>584</v>
      </c>
    </row>
    <row r="140" spans="1:10" ht="17" x14ac:dyDescent="0.15">
      <c r="A140" s="25">
        <f>+MAX(A$3:A139)+1</f>
        <v>112</v>
      </c>
      <c r="B140" s="29" t="s">
        <v>1159</v>
      </c>
      <c r="C140" s="72" t="s">
        <v>943</v>
      </c>
      <c r="D140" s="25">
        <v>0</v>
      </c>
      <c r="E140" s="25" t="s">
        <v>179</v>
      </c>
      <c r="F140" s="25">
        <v>1</v>
      </c>
      <c r="G140" s="82" t="s">
        <v>1176</v>
      </c>
      <c r="H140" s="67"/>
    </row>
    <row r="141" spans="1:10" ht="17" x14ac:dyDescent="0.15">
      <c r="A141" s="25">
        <f>+MAX(A$3:A140)+1</f>
        <v>113</v>
      </c>
      <c r="B141" s="29" t="s">
        <v>1160</v>
      </c>
      <c r="C141" s="72" t="s">
        <v>943</v>
      </c>
      <c r="D141" s="25">
        <v>0</v>
      </c>
      <c r="E141" s="25" t="s">
        <v>179</v>
      </c>
      <c r="F141" s="25">
        <v>1</v>
      </c>
      <c r="G141" s="82" t="s">
        <v>1177</v>
      </c>
      <c r="H141" s="67"/>
    </row>
    <row r="142" spans="1:10" ht="17" x14ac:dyDescent="0.15">
      <c r="A142" s="25">
        <f>+MAX(A$3:A141)+1</f>
        <v>114</v>
      </c>
      <c r="B142" s="29" t="s">
        <v>1161</v>
      </c>
      <c r="C142" s="72" t="s">
        <v>943</v>
      </c>
      <c r="D142" s="25">
        <v>0</v>
      </c>
      <c r="E142" s="25" t="s">
        <v>179</v>
      </c>
      <c r="F142" s="25">
        <v>1</v>
      </c>
      <c r="G142" s="82" t="s">
        <v>1178</v>
      </c>
      <c r="H142" s="67"/>
    </row>
    <row r="143" spans="1:10" ht="17" x14ac:dyDescent="0.15">
      <c r="A143" s="25">
        <f>+MAX(A$3:A142)+1</f>
        <v>115</v>
      </c>
      <c r="B143" s="29" t="s">
        <v>1162</v>
      </c>
      <c r="C143" s="72" t="s">
        <v>943</v>
      </c>
      <c r="D143" s="25">
        <v>0</v>
      </c>
      <c r="E143" s="25" t="s">
        <v>179</v>
      </c>
      <c r="F143" s="25">
        <v>1</v>
      </c>
      <c r="G143" s="82" t="s">
        <v>1179</v>
      </c>
      <c r="H143" s="67"/>
    </row>
    <row r="144" spans="1:10" ht="51" x14ac:dyDescent="0.15">
      <c r="A144" s="25">
        <f>+MAX(A$3:A143)+1</f>
        <v>116</v>
      </c>
      <c r="B144" s="29" t="s">
        <v>1163</v>
      </c>
      <c r="C144" s="72" t="s">
        <v>943</v>
      </c>
      <c r="D144" s="25">
        <v>0</v>
      </c>
      <c r="E144" s="25" t="s">
        <v>179</v>
      </c>
      <c r="F144" s="25">
        <v>1</v>
      </c>
      <c r="G144" s="82" t="s">
        <v>1180</v>
      </c>
      <c r="H144" s="67"/>
    </row>
    <row r="145" spans="1:8" ht="68" x14ac:dyDescent="0.15">
      <c r="A145" s="25">
        <f>+MAX(A$3:A144)+1</f>
        <v>117</v>
      </c>
      <c r="B145" s="29" t="s">
        <v>1164</v>
      </c>
      <c r="C145" s="72" t="s">
        <v>943</v>
      </c>
      <c r="D145" s="25">
        <v>0</v>
      </c>
      <c r="E145" s="25" t="s">
        <v>179</v>
      </c>
      <c r="F145" s="25">
        <v>1</v>
      </c>
      <c r="G145" s="82" t="s">
        <v>1181</v>
      </c>
      <c r="H145" s="67"/>
    </row>
    <row r="146" spans="1:8" ht="85" x14ac:dyDescent="0.15">
      <c r="A146" s="25">
        <f>+MAX(A$3:A145)+1</f>
        <v>118</v>
      </c>
      <c r="B146" s="29" t="s">
        <v>1165</v>
      </c>
      <c r="C146" s="72" t="s">
        <v>943</v>
      </c>
      <c r="D146" s="25">
        <v>0</v>
      </c>
      <c r="E146" s="25" t="s">
        <v>179</v>
      </c>
      <c r="F146" s="25">
        <v>1</v>
      </c>
      <c r="G146" s="82" t="s">
        <v>1182</v>
      </c>
      <c r="H146" s="67"/>
    </row>
    <row r="147" spans="1:8" ht="34" x14ac:dyDescent="0.15">
      <c r="A147" s="25">
        <f>+MAX(A$3:A146)+1</f>
        <v>119</v>
      </c>
      <c r="B147" s="29" t="s">
        <v>1058</v>
      </c>
      <c r="C147" s="72" t="s">
        <v>943</v>
      </c>
      <c r="D147" s="25">
        <v>0</v>
      </c>
      <c r="E147" s="25" t="s">
        <v>179</v>
      </c>
      <c r="F147" s="25">
        <v>1</v>
      </c>
      <c r="G147" s="82" t="s">
        <v>1183</v>
      </c>
      <c r="H147" s="67"/>
    </row>
    <row r="148" spans="1:8" ht="68" x14ac:dyDescent="0.15">
      <c r="A148" s="25">
        <f>+MAX(A$3:A147)+1</f>
        <v>120</v>
      </c>
      <c r="B148" s="29" t="s">
        <v>1166</v>
      </c>
      <c r="C148" s="72" t="s">
        <v>943</v>
      </c>
      <c r="D148" s="25">
        <v>0</v>
      </c>
      <c r="E148" s="25" t="s">
        <v>179</v>
      </c>
      <c r="F148" s="25">
        <v>1</v>
      </c>
      <c r="G148" s="82" t="s">
        <v>1184</v>
      </c>
      <c r="H148" s="67"/>
    </row>
    <row r="149" spans="1:8" ht="34" x14ac:dyDescent="0.15">
      <c r="A149" s="25">
        <f>+MAX(A$3:A148)+1</f>
        <v>121</v>
      </c>
      <c r="B149" s="29" t="s">
        <v>1167</v>
      </c>
      <c r="C149" s="72" t="s">
        <v>943</v>
      </c>
      <c r="D149" s="25">
        <v>0</v>
      </c>
      <c r="E149" s="25" t="s">
        <v>179</v>
      </c>
      <c r="F149" s="25">
        <v>1</v>
      </c>
      <c r="G149" s="82" t="s">
        <v>1185</v>
      </c>
      <c r="H149" s="67"/>
    </row>
    <row r="150" spans="1:8" ht="51" x14ac:dyDescent="0.15">
      <c r="A150" s="25">
        <f>+MAX(A$3:A149)+1</f>
        <v>122</v>
      </c>
      <c r="B150" s="29" t="s">
        <v>1168</v>
      </c>
      <c r="C150" s="72" t="s">
        <v>943</v>
      </c>
      <c r="D150" s="25">
        <v>0</v>
      </c>
      <c r="E150" s="25" t="s">
        <v>179</v>
      </c>
      <c r="F150" s="25">
        <v>1</v>
      </c>
      <c r="G150" s="82" t="s">
        <v>1186</v>
      </c>
      <c r="H150" s="67"/>
    </row>
    <row r="151" spans="1:8" ht="34" x14ac:dyDescent="0.15">
      <c r="A151" s="25">
        <f>+MAX(A$3:A150)+1</f>
        <v>123</v>
      </c>
      <c r="B151" s="29" t="s">
        <v>1169</v>
      </c>
      <c r="C151" s="72" t="s">
        <v>943</v>
      </c>
      <c r="D151" s="25">
        <v>0</v>
      </c>
      <c r="E151" s="25" t="s">
        <v>179</v>
      </c>
      <c r="F151" s="25">
        <v>1</v>
      </c>
      <c r="G151" s="82" t="s">
        <v>1187</v>
      </c>
      <c r="H151" s="67"/>
    </row>
    <row r="152" spans="1:8" ht="34" x14ac:dyDescent="0.15">
      <c r="A152" s="25">
        <f>+MAX(A$3:A151)+1</f>
        <v>124</v>
      </c>
      <c r="B152" s="29" t="s">
        <v>1170</v>
      </c>
      <c r="C152" s="72" t="s">
        <v>943</v>
      </c>
      <c r="D152" s="25">
        <v>0</v>
      </c>
      <c r="E152" s="25" t="s">
        <v>179</v>
      </c>
      <c r="F152" s="25">
        <v>1</v>
      </c>
      <c r="G152" s="82" t="s">
        <v>1188</v>
      </c>
      <c r="H152" s="67"/>
    </row>
    <row r="153" spans="1:8" ht="34" x14ac:dyDescent="0.15">
      <c r="A153" s="25">
        <f>+MAX(A$3:A152)+1</f>
        <v>125</v>
      </c>
      <c r="B153" s="29" t="s">
        <v>1171</v>
      </c>
      <c r="C153" s="72" t="s">
        <v>943</v>
      </c>
      <c r="D153" s="25">
        <v>0</v>
      </c>
      <c r="E153" s="25" t="s">
        <v>179</v>
      </c>
      <c r="F153" s="25">
        <v>1</v>
      </c>
      <c r="G153" s="82" t="s">
        <v>1189</v>
      </c>
      <c r="H153" s="67"/>
    </row>
    <row r="154" spans="1:8" ht="34" x14ac:dyDescent="0.15">
      <c r="A154" s="25">
        <f>+MAX(A$3:A153)+1</f>
        <v>126</v>
      </c>
      <c r="B154" s="29" t="s">
        <v>1172</v>
      </c>
      <c r="C154" s="72" t="s">
        <v>943</v>
      </c>
      <c r="D154" s="25">
        <v>0</v>
      </c>
      <c r="E154" s="25" t="s">
        <v>179</v>
      </c>
      <c r="F154" s="25">
        <v>1</v>
      </c>
      <c r="G154" s="82" t="s">
        <v>1188</v>
      </c>
      <c r="H154" s="67"/>
    </row>
    <row r="155" spans="1:8" ht="34" x14ac:dyDescent="0.15">
      <c r="A155" s="25">
        <f>+MAX(A$3:A154)+1</f>
        <v>127</v>
      </c>
      <c r="B155" s="29" t="s">
        <v>1173</v>
      </c>
      <c r="C155" s="72" t="s">
        <v>943</v>
      </c>
      <c r="D155" s="25">
        <v>0</v>
      </c>
      <c r="E155" s="25" t="s">
        <v>179</v>
      </c>
      <c r="F155" s="25">
        <v>1</v>
      </c>
      <c r="G155" s="82" t="s">
        <v>1190</v>
      </c>
      <c r="H155" s="67"/>
    </row>
    <row r="156" spans="1:8" ht="34" x14ac:dyDescent="0.15">
      <c r="A156" s="25">
        <f>+MAX(A$3:A155)+1</f>
        <v>128</v>
      </c>
      <c r="B156" s="29" t="s">
        <v>1174</v>
      </c>
      <c r="C156" s="72" t="s">
        <v>943</v>
      </c>
      <c r="D156" s="25">
        <v>0</v>
      </c>
      <c r="E156" s="25" t="s">
        <v>179</v>
      </c>
      <c r="F156" s="25">
        <v>1</v>
      </c>
      <c r="G156" s="82" t="s">
        <v>1191</v>
      </c>
      <c r="H156" s="67"/>
    </row>
    <row r="157" spans="1:8" ht="51" x14ac:dyDescent="0.15">
      <c r="A157" s="25">
        <f>+MAX(A$3:A156)+1</f>
        <v>129</v>
      </c>
      <c r="B157" s="29" t="s">
        <v>1175</v>
      </c>
      <c r="C157" s="72" t="s">
        <v>943</v>
      </c>
      <c r="D157" s="25">
        <v>0</v>
      </c>
      <c r="E157" s="25" t="s">
        <v>179</v>
      </c>
      <c r="F157" s="25">
        <v>1</v>
      </c>
      <c r="G157" s="82" t="s">
        <v>1192</v>
      </c>
      <c r="H157" s="67"/>
    </row>
    <row r="158" spans="1:8" ht="34" x14ac:dyDescent="0.15">
      <c r="A158" s="25">
        <f>+MAX(A$3:A157)+1</f>
        <v>130</v>
      </c>
      <c r="B158" s="26" t="s">
        <v>299</v>
      </c>
      <c r="C158" s="72" t="s">
        <v>943</v>
      </c>
      <c r="D158" s="25">
        <v>1</v>
      </c>
      <c r="E158" s="25" t="s">
        <v>179</v>
      </c>
      <c r="F158" s="25">
        <v>1</v>
      </c>
      <c r="G158" s="81"/>
      <c r="H158" s="67" t="s">
        <v>585</v>
      </c>
    </row>
    <row r="159" spans="1:8" ht="17" x14ac:dyDescent="0.15">
      <c r="A159" s="25"/>
      <c r="B159" s="28" t="s">
        <v>213</v>
      </c>
      <c r="C159" s="74"/>
      <c r="D159" s="25"/>
      <c r="E159" s="25"/>
      <c r="F159" s="25"/>
      <c r="G159" s="81"/>
      <c r="H159" s="67"/>
    </row>
    <row r="160" spans="1:8" ht="34" x14ac:dyDescent="0.15">
      <c r="A160" s="25">
        <f>+MAX(A$3:A159)+1</f>
        <v>131</v>
      </c>
      <c r="B160" s="26" t="s">
        <v>339</v>
      </c>
      <c r="C160" s="72" t="s">
        <v>941</v>
      </c>
      <c r="D160" s="25">
        <v>1</v>
      </c>
      <c r="E160" s="25" t="s">
        <v>179</v>
      </c>
      <c r="F160" s="25">
        <v>1</v>
      </c>
      <c r="G160" s="81"/>
      <c r="H160" s="67" t="s">
        <v>860</v>
      </c>
    </row>
    <row r="161" spans="1:10" ht="34" x14ac:dyDescent="0.15">
      <c r="A161" s="25">
        <f>+MAX(A$3:A160)+1</f>
        <v>132</v>
      </c>
      <c r="B161" s="26" t="s">
        <v>212</v>
      </c>
      <c r="C161" s="72" t="s">
        <v>941</v>
      </c>
      <c r="D161" s="25">
        <v>1</v>
      </c>
      <c r="E161" s="25" t="s">
        <v>179</v>
      </c>
      <c r="F161" s="25">
        <v>1</v>
      </c>
      <c r="G161" s="81"/>
      <c r="H161" s="67" t="s">
        <v>558</v>
      </c>
    </row>
    <row r="162" spans="1:10" ht="34" x14ac:dyDescent="0.15">
      <c r="A162" s="25">
        <f>+MAX(A$3:A161)+1</f>
        <v>133</v>
      </c>
      <c r="B162" s="26" t="s">
        <v>211</v>
      </c>
      <c r="C162" s="72" t="s">
        <v>941</v>
      </c>
      <c r="D162" s="25">
        <v>1</v>
      </c>
      <c r="E162" s="25" t="s">
        <v>179</v>
      </c>
      <c r="F162" s="25">
        <v>1</v>
      </c>
      <c r="G162" s="81"/>
      <c r="H162" s="67" t="s">
        <v>559</v>
      </c>
    </row>
    <row r="163" spans="1:10" ht="17" x14ac:dyDescent="0.15">
      <c r="A163" s="25"/>
      <c r="B163" s="28" t="s">
        <v>210</v>
      </c>
      <c r="C163" s="74"/>
      <c r="D163" s="25"/>
      <c r="E163" s="25"/>
      <c r="F163" s="25"/>
      <c r="G163" s="81"/>
      <c r="H163" s="67"/>
    </row>
    <row r="164" spans="1:10" ht="34" x14ac:dyDescent="0.15">
      <c r="A164" s="25">
        <f>+MAX(A$3:A163)+1</f>
        <v>134</v>
      </c>
      <c r="B164" s="87" t="s">
        <v>300</v>
      </c>
      <c r="C164" s="72" t="s">
        <v>941</v>
      </c>
      <c r="D164" s="25">
        <v>1</v>
      </c>
      <c r="E164" s="25" t="s">
        <v>179</v>
      </c>
      <c r="F164" s="25">
        <v>1</v>
      </c>
      <c r="G164" s="81"/>
      <c r="H164" s="67" t="s">
        <v>573</v>
      </c>
    </row>
    <row r="165" spans="1:10" ht="17" x14ac:dyDescent="0.15">
      <c r="A165" s="25">
        <f>+MAX(A$3:A164)+1</f>
        <v>135</v>
      </c>
      <c r="B165" s="87" t="s">
        <v>301</v>
      </c>
      <c r="C165" s="72" t="s">
        <v>941</v>
      </c>
      <c r="D165" s="25">
        <v>1</v>
      </c>
      <c r="E165" s="25" t="s">
        <v>179</v>
      </c>
      <c r="F165" s="25">
        <v>1</v>
      </c>
      <c r="G165" s="81"/>
      <c r="H165" s="67" t="s">
        <v>572</v>
      </c>
    </row>
    <row r="166" spans="1:10" ht="34" x14ac:dyDescent="0.15">
      <c r="A166" s="25">
        <f>+MAX(A$3:A165)+1</f>
        <v>136</v>
      </c>
      <c r="B166" s="26" t="s">
        <v>302</v>
      </c>
      <c r="C166" s="72" t="s">
        <v>941</v>
      </c>
      <c r="D166" s="25">
        <v>1</v>
      </c>
      <c r="E166" s="25" t="s">
        <v>179</v>
      </c>
      <c r="F166" s="25">
        <v>1</v>
      </c>
      <c r="G166" s="81"/>
      <c r="H166" s="67" t="s">
        <v>560</v>
      </c>
    </row>
    <row r="167" spans="1:10" ht="17" x14ac:dyDescent="0.15">
      <c r="A167" s="25"/>
      <c r="B167" s="28" t="s">
        <v>209</v>
      </c>
      <c r="C167" s="74"/>
      <c r="D167" s="25"/>
      <c r="E167" s="25"/>
      <c r="F167" s="25"/>
      <c r="G167" s="81"/>
      <c r="H167" s="67"/>
    </row>
    <row r="168" spans="1:10" ht="17" x14ac:dyDescent="0.15">
      <c r="A168" s="25">
        <f>+MAX(A$3:A167)+1</f>
        <v>137</v>
      </c>
      <c r="B168" s="26" t="s">
        <v>208</v>
      </c>
      <c r="C168" s="72" t="s">
        <v>943</v>
      </c>
      <c r="D168" s="25"/>
      <c r="E168" s="25" t="s">
        <v>182</v>
      </c>
      <c r="F168" s="25">
        <v>2</v>
      </c>
      <c r="G168" s="81"/>
      <c r="H168" s="67"/>
      <c r="J168" s="20">
        <v>1</v>
      </c>
    </row>
    <row r="169" spans="1:10" ht="34" x14ac:dyDescent="0.15">
      <c r="A169" s="25">
        <f>+MAX(A$3:A168)+1</f>
        <v>138</v>
      </c>
      <c r="B169" s="26" t="s">
        <v>303</v>
      </c>
      <c r="C169" s="72" t="s">
        <v>943</v>
      </c>
      <c r="D169" s="25"/>
      <c r="E169" s="25" t="s">
        <v>182</v>
      </c>
      <c r="F169" s="25">
        <v>2</v>
      </c>
      <c r="G169" s="81"/>
      <c r="H169" s="67"/>
      <c r="J169" s="20">
        <v>1</v>
      </c>
    </row>
    <row r="170" spans="1:10" ht="17" x14ac:dyDescent="0.15">
      <c r="A170" s="25"/>
      <c r="B170" s="28" t="s">
        <v>207</v>
      </c>
      <c r="C170" s="74"/>
      <c r="D170" s="25"/>
      <c r="E170" s="25"/>
      <c r="F170" s="25"/>
      <c r="G170" s="81"/>
      <c r="H170" s="67"/>
    </row>
    <row r="171" spans="1:10" ht="17" x14ac:dyDescent="0.15">
      <c r="A171" s="25">
        <f>+MAX(A$3:A170)+1</f>
        <v>139</v>
      </c>
      <c r="B171" s="29" t="s">
        <v>1005</v>
      </c>
      <c r="C171" s="72" t="s">
        <v>943</v>
      </c>
      <c r="D171" s="25">
        <v>1</v>
      </c>
      <c r="E171" s="25" t="s">
        <v>182</v>
      </c>
      <c r="F171" s="25">
        <v>1</v>
      </c>
      <c r="G171" s="81"/>
      <c r="H171" s="67" t="s">
        <v>324</v>
      </c>
    </row>
    <row r="172" spans="1:10" ht="17" x14ac:dyDescent="0.15">
      <c r="A172" s="25">
        <f>+MAX(A$3:A171)+1</f>
        <v>140</v>
      </c>
      <c r="B172" s="29" t="s">
        <v>206</v>
      </c>
      <c r="C172" s="72" t="s">
        <v>943</v>
      </c>
      <c r="D172" s="25"/>
      <c r="E172" s="25" t="s">
        <v>180</v>
      </c>
      <c r="F172" s="25">
        <v>2</v>
      </c>
      <c r="G172" s="81"/>
      <c r="H172" s="32"/>
      <c r="J172" s="20">
        <v>1</v>
      </c>
    </row>
    <row r="173" spans="1:10" ht="17" x14ac:dyDescent="0.15">
      <c r="A173" s="25">
        <f>+MAX(A$3:A172)+1</f>
        <v>141</v>
      </c>
      <c r="B173" s="29" t="s">
        <v>205</v>
      </c>
      <c r="C173" s="72" t="s">
        <v>943</v>
      </c>
      <c r="D173" s="25"/>
      <c r="E173" s="25" t="s">
        <v>180</v>
      </c>
      <c r="F173" s="25">
        <v>2</v>
      </c>
      <c r="G173" s="81"/>
      <c r="H173" s="32"/>
      <c r="J173" s="20">
        <v>1</v>
      </c>
    </row>
    <row r="174" spans="1:10" ht="17" x14ac:dyDescent="0.15">
      <c r="A174" s="25">
        <f>+MAX(A$3:A173)+1</f>
        <v>142</v>
      </c>
      <c r="B174" s="29" t="s">
        <v>204</v>
      </c>
      <c r="C174" s="72" t="s">
        <v>943</v>
      </c>
      <c r="D174" s="25">
        <v>1</v>
      </c>
      <c r="E174" s="25" t="s">
        <v>182</v>
      </c>
      <c r="F174" s="25">
        <v>1</v>
      </c>
      <c r="G174" s="81"/>
      <c r="H174" s="67" t="s">
        <v>324</v>
      </c>
    </row>
    <row r="175" spans="1:10" ht="34" x14ac:dyDescent="0.15">
      <c r="A175" s="25">
        <f>+MAX(A$3:A174)+1</f>
        <v>143</v>
      </c>
      <c r="B175" s="26" t="s">
        <v>203</v>
      </c>
      <c r="C175" s="72" t="s">
        <v>943</v>
      </c>
      <c r="D175" s="25">
        <v>1</v>
      </c>
      <c r="E175" s="25" t="s">
        <v>180</v>
      </c>
      <c r="F175" s="25">
        <v>2</v>
      </c>
      <c r="G175" s="81"/>
      <c r="H175" s="32" t="s">
        <v>774</v>
      </c>
      <c r="I175" s="20" t="s">
        <v>776</v>
      </c>
      <c r="J175" s="20">
        <v>1</v>
      </c>
    </row>
    <row r="176" spans="1:10" ht="17" x14ac:dyDescent="0.15">
      <c r="A176" s="25"/>
      <c r="B176" s="28" t="s">
        <v>202</v>
      </c>
      <c r="C176" s="74"/>
      <c r="D176" s="25"/>
      <c r="E176" s="25"/>
      <c r="F176" s="25"/>
      <c r="G176" s="81"/>
      <c r="H176" s="32"/>
    </row>
    <row r="177" spans="1:10" ht="34" x14ac:dyDescent="0.15">
      <c r="A177" s="25">
        <f>+MAX(A$3:A176)+1</f>
        <v>144</v>
      </c>
      <c r="B177" s="29" t="s">
        <v>201</v>
      </c>
      <c r="C177" s="72" t="s">
        <v>943</v>
      </c>
      <c r="D177" s="25"/>
      <c r="E177" s="25" t="s">
        <v>182</v>
      </c>
      <c r="F177" s="25">
        <v>2</v>
      </c>
      <c r="G177" s="81"/>
      <c r="H177" s="32"/>
      <c r="J177" s="20">
        <v>1</v>
      </c>
    </row>
    <row r="178" spans="1:10" ht="34" x14ac:dyDescent="0.15">
      <c r="A178" s="25">
        <f>+MAX(A$3:A177)+1</f>
        <v>145</v>
      </c>
      <c r="B178" s="26" t="s">
        <v>200</v>
      </c>
      <c r="C178" s="72" t="s">
        <v>943</v>
      </c>
      <c r="D178" s="25"/>
      <c r="E178" s="25" t="s">
        <v>182</v>
      </c>
      <c r="F178" s="25">
        <v>2</v>
      </c>
      <c r="G178" s="81"/>
      <c r="H178" s="32"/>
      <c r="J178" s="20">
        <v>1</v>
      </c>
    </row>
    <row r="179" spans="1:10" ht="17" x14ac:dyDescent="0.15">
      <c r="A179" s="25"/>
      <c r="B179" s="28" t="s">
        <v>199</v>
      </c>
      <c r="C179" s="74"/>
      <c r="D179" s="25"/>
      <c r="E179" s="25"/>
      <c r="F179" s="25"/>
      <c r="G179" s="81"/>
      <c r="H179" s="32"/>
    </row>
    <row r="180" spans="1:10" ht="17" x14ac:dyDescent="0.15">
      <c r="A180" s="25">
        <f>+MAX(A$3:A179)+1</f>
        <v>146</v>
      </c>
      <c r="B180" s="29" t="s">
        <v>198</v>
      </c>
      <c r="C180" s="72" t="s">
        <v>943</v>
      </c>
      <c r="D180" s="25"/>
      <c r="E180" s="25" t="s">
        <v>182</v>
      </c>
      <c r="F180" s="25">
        <v>2</v>
      </c>
      <c r="G180" s="81"/>
      <c r="H180" s="32"/>
      <c r="J180" s="20">
        <v>1</v>
      </c>
    </row>
    <row r="181" spans="1:10" ht="17" x14ac:dyDescent="0.15">
      <c r="A181" s="25">
        <f>+MAX(A$3:A180)+1</f>
        <v>147</v>
      </c>
      <c r="B181" s="29" t="s">
        <v>197</v>
      </c>
      <c r="C181" s="72" t="s">
        <v>943</v>
      </c>
      <c r="D181" s="25"/>
      <c r="E181" s="25" t="s">
        <v>182</v>
      </c>
      <c r="F181" s="25">
        <v>2</v>
      </c>
      <c r="G181" s="81"/>
      <c r="H181" s="32"/>
      <c r="J181" s="20">
        <v>1</v>
      </c>
    </row>
    <row r="182" spans="1:10" ht="17" x14ac:dyDescent="0.15">
      <c r="A182" s="25">
        <f>+MAX(A$3:A181)+1</f>
        <v>148</v>
      </c>
      <c r="B182" s="29" t="s">
        <v>196</v>
      </c>
      <c r="C182" s="72" t="s">
        <v>943</v>
      </c>
      <c r="D182" s="25"/>
      <c r="E182" s="25" t="s">
        <v>182</v>
      </c>
      <c r="F182" s="25">
        <v>2</v>
      </c>
      <c r="G182" s="81"/>
      <c r="H182" s="32"/>
      <c r="J182" s="20">
        <v>1</v>
      </c>
    </row>
    <row r="183" spans="1:10" ht="34" x14ac:dyDescent="0.15">
      <c r="A183" s="25">
        <f>+MAX(A$3:A182)+1</f>
        <v>149</v>
      </c>
      <c r="B183" s="29" t="s">
        <v>195</v>
      </c>
      <c r="C183" s="72" t="s">
        <v>943</v>
      </c>
      <c r="D183" s="25"/>
      <c r="E183" s="25" t="s">
        <v>182</v>
      </c>
      <c r="F183" s="25">
        <v>2</v>
      </c>
      <c r="G183" s="81"/>
      <c r="H183" s="32"/>
      <c r="J183" s="20">
        <v>1</v>
      </c>
    </row>
    <row r="184" spans="1:10" ht="17" x14ac:dyDescent="0.15">
      <c r="A184" s="25"/>
      <c r="B184" s="28" t="s">
        <v>194</v>
      </c>
      <c r="C184" s="74"/>
      <c r="D184" s="25"/>
      <c r="E184" s="25"/>
      <c r="F184" s="25"/>
      <c r="G184" s="81"/>
      <c r="H184" s="32"/>
    </row>
    <row r="185" spans="1:10" ht="34" x14ac:dyDescent="0.15">
      <c r="A185" s="25">
        <f>+MAX(A$3:A184)+1</f>
        <v>150</v>
      </c>
      <c r="B185" s="29" t="s">
        <v>193</v>
      </c>
      <c r="C185" s="72" t="s">
        <v>943</v>
      </c>
      <c r="D185" s="25"/>
      <c r="E185" s="25" t="s">
        <v>179</v>
      </c>
      <c r="F185" s="25">
        <v>2</v>
      </c>
      <c r="G185" s="81"/>
      <c r="H185" s="32"/>
      <c r="J185" s="20">
        <v>1</v>
      </c>
    </row>
    <row r="186" spans="1:10" ht="34" x14ac:dyDescent="0.15">
      <c r="A186" s="25">
        <f>+MAX(A$3:A185)+1</f>
        <v>151</v>
      </c>
      <c r="B186" s="26" t="s">
        <v>192</v>
      </c>
      <c r="C186" s="72" t="s">
        <v>943</v>
      </c>
      <c r="D186" s="25"/>
      <c r="E186" s="25" t="s">
        <v>180</v>
      </c>
      <c r="F186" s="25">
        <v>2</v>
      </c>
      <c r="G186" s="81"/>
      <c r="H186" s="32"/>
      <c r="J186" s="20">
        <v>1</v>
      </c>
    </row>
    <row r="187" spans="1:10" ht="17" x14ac:dyDescent="0.15">
      <c r="A187" s="25"/>
      <c r="B187" s="28" t="s">
        <v>191</v>
      </c>
      <c r="C187" s="74"/>
      <c r="D187" s="25"/>
      <c r="E187" s="25"/>
      <c r="F187" s="25"/>
      <c r="G187" s="81"/>
      <c r="H187" s="32"/>
    </row>
    <row r="188" spans="1:10" ht="34" x14ac:dyDescent="0.15">
      <c r="A188" s="25">
        <f>+MAX(A$3:A187)+1</f>
        <v>152</v>
      </c>
      <c r="B188" s="26" t="s">
        <v>190</v>
      </c>
      <c r="C188" s="72" t="s">
        <v>943</v>
      </c>
      <c r="D188" s="25"/>
      <c r="E188" s="25" t="s">
        <v>182</v>
      </c>
      <c r="F188" s="25">
        <v>2</v>
      </c>
      <c r="G188" s="81"/>
      <c r="H188" s="32"/>
      <c r="J188" s="20">
        <v>1</v>
      </c>
    </row>
    <row r="189" spans="1:10" ht="34" x14ac:dyDescent="0.15">
      <c r="A189" s="25">
        <f>+MAX(A$3:A188)+1</f>
        <v>153</v>
      </c>
      <c r="B189" s="26" t="s">
        <v>189</v>
      </c>
      <c r="C189" s="72" t="s">
        <v>943</v>
      </c>
      <c r="D189" s="25"/>
      <c r="E189" s="25" t="s">
        <v>182</v>
      </c>
      <c r="F189" s="25">
        <v>2</v>
      </c>
      <c r="G189" s="81"/>
      <c r="H189" s="32"/>
      <c r="J189" s="20">
        <v>1</v>
      </c>
    </row>
    <row r="190" spans="1:10" ht="17" x14ac:dyDescent="0.15">
      <c r="A190" s="25">
        <f>+MAX(A$3:A189)+1</f>
        <v>154</v>
      </c>
      <c r="B190" s="26" t="s">
        <v>188</v>
      </c>
      <c r="C190" s="72" t="s">
        <v>943</v>
      </c>
      <c r="D190" s="25"/>
      <c r="E190" s="25" t="s">
        <v>182</v>
      </c>
      <c r="F190" s="25">
        <v>2</v>
      </c>
      <c r="G190" s="81"/>
      <c r="H190" s="32"/>
      <c r="J190" s="20">
        <v>1</v>
      </c>
    </row>
    <row r="191" spans="1:10" ht="17" x14ac:dyDescent="0.15">
      <c r="A191" s="25"/>
      <c r="B191" s="24" t="s">
        <v>187</v>
      </c>
      <c r="C191" s="75"/>
      <c r="D191" s="22"/>
      <c r="E191" s="22"/>
      <c r="F191" s="22"/>
      <c r="G191" s="83"/>
      <c r="H191" s="32"/>
    </row>
    <row r="192" spans="1:10" ht="34" x14ac:dyDescent="0.15">
      <c r="A192" s="25">
        <f>+MAX(A$3:A191)+1</f>
        <v>155</v>
      </c>
      <c r="B192" s="23" t="s">
        <v>186</v>
      </c>
      <c r="C192" s="72" t="s">
        <v>943</v>
      </c>
      <c r="D192" s="22"/>
      <c r="E192" s="22" t="s">
        <v>182</v>
      </c>
      <c r="F192" s="22">
        <v>2</v>
      </c>
      <c r="G192" s="83"/>
      <c r="H192" s="32"/>
      <c r="J192" s="20">
        <v>1</v>
      </c>
    </row>
    <row r="193" spans="1:10" ht="34" x14ac:dyDescent="0.15">
      <c r="A193" s="25">
        <f>+MAX(A$3:A192)+1</f>
        <v>156</v>
      </c>
      <c r="B193" s="23" t="s">
        <v>185</v>
      </c>
      <c r="C193" s="72" t="s">
        <v>943</v>
      </c>
      <c r="D193" s="22"/>
      <c r="E193" s="22" t="s">
        <v>182</v>
      </c>
      <c r="F193" s="22">
        <v>2</v>
      </c>
      <c r="G193" s="83"/>
      <c r="H193" s="32"/>
      <c r="J193" s="20">
        <v>1</v>
      </c>
    </row>
    <row r="194" spans="1:10" ht="17" x14ac:dyDescent="0.15">
      <c r="A194" s="25">
        <f>+MAX(A$3:A193)+1</f>
        <v>157</v>
      </c>
      <c r="B194" s="24" t="s">
        <v>1195</v>
      </c>
      <c r="C194" s="75"/>
      <c r="D194" s="22"/>
      <c r="E194" s="22"/>
      <c r="F194" s="22"/>
      <c r="G194" s="83"/>
      <c r="H194" s="68"/>
    </row>
    <row r="195" spans="1:10" ht="17" x14ac:dyDescent="0.15">
      <c r="A195" s="25">
        <f>+MAX(A$3:A194)+1</f>
        <v>158</v>
      </c>
      <c r="B195" s="23" t="s">
        <v>1198</v>
      </c>
      <c r="C195" s="72" t="s">
        <v>1257</v>
      </c>
      <c r="D195" s="22">
        <v>1</v>
      </c>
      <c r="E195" s="22" t="s">
        <v>180</v>
      </c>
      <c r="F195" s="22">
        <v>1</v>
      </c>
      <c r="G195" s="83"/>
      <c r="H195" s="68"/>
    </row>
    <row r="196" spans="1:10" ht="17" x14ac:dyDescent="0.15">
      <c r="A196" s="25">
        <f>+MAX(A$3:A195)+1</f>
        <v>159</v>
      </c>
      <c r="B196" s="23" t="s">
        <v>1199</v>
      </c>
      <c r="C196" s="72" t="s">
        <v>1257</v>
      </c>
      <c r="D196" s="22">
        <v>1</v>
      </c>
      <c r="E196" s="22" t="s">
        <v>180</v>
      </c>
      <c r="F196" s="22">
        <v>1</v>
      </c>
      <c r="G196" s="83"/>
      <c r="H196" s="68"/>
    </row>
    <row r="197" spans="1:10" ht="17" x14ac:dyDescent="0.15">
      <c r="A197" s="25">
        <f>+MAX(A$3:A196)+1</f>
        <v>160</v>
      </c>
      <c r="B197" s="23" t="s">
        <v>1200</v>
      </c>
      <c r="C197" s="72" t="s">
        <v>1257</v>
      </c>
      <c r="D197" s="22">
        <v>1</v>
      </c>
      <c r="E197" s="22" t="s">
        <v>180</v>
      </c>
      <c r="F197" s="22">
        <v>1</v>
      </c>
      <c r="G197" s="83"/>
      <c r="H197" s="68"/>
    </row>
    <row r="198" spans="1:10" ht="17" x14ac:dyDescent="0.15">
      <c r="A198" s="25">
        <f>+MAX(A$3:A197)+1</f>
        <v>161</v>
      </c>
      <c r="B198" s="23" t="s">
        <v>1201</v>
      </c>
      <c r="C198" s="72" t="s">
        <v>1257</v>
      </c>
      <c r="D198" s="22">
        <v>1</v>
      </c>
      <c r="E198" s="22" t="s">
        <v>180</v>
      </c>
      <c r="F198" s="22">
        <v>1</v>
      </c>
      <c r="G198" s="83"/>
      <c r="H198" s="68"/>
    </row>
    <row r="199" spans="1:10" ht="17" x14ac:dyDescent="0.15">
      <c r="A199" s="25">
        <f>+MAX(A$3:A198)+1</f>
        <v>162</v>
      </c>
      <c r="B199" s="23" t="s">
        <v>1202</v>
      </c>
      <c r="C199" s="72" t="s">
        <v>1257</v>
      </c>
      <c r="D199" s="22">
        <v>1</v>
      </c>
      <c r="E199" s="22" t="s">
        <v>180</v>
      </c>
      <c r="F199" s="22">
        <v>1</v>
      </c>
      <c r="G199" s="83"/>
      <c r="H199" s="68"/>
    </row>
    <row r="200" spans="1:10" ht="17" x14ac:dyDescent="0.15">
      <c r="A200" s="25">
        <f>+MAX(A$3:A199)+1</f>
        <v>163</v>
      </c>
      <c r="B200" s="23" t="s">
        <v>1203</v>
      </c>
      <c r="C200" s="72" t="s">
        <v>1257</v>
      </c>
      <c r="D200" s="22">
        <v>1</v>
      </c>
      <c r="E200" s="22" t="s">
        <v>180</v>
      </c>
      <c r="F200" s="22">
        <v>1</v>
      </c>
      <c r="G200" s="83"/>
      <c r="H200" s="68"/>
    </row>
    <row r="201" spans="1:10" ht="17" x14ac:dyDescent="0.15">
      <c r="A201" s="25">
        <f>+MAX(A$3:A200)+1</f>
        <v>164</v>
      </c>
      <c r="B201" s="23" t="s">
        <v>1204</v>
      </c>
      <c r="C201" s="72" t="s">
        <v>1257</v>
      </c>
      <c r="D201" s="22">
        <v>1</v>
      </c>
      <c r="E201" s="22" t="s">
        <v>180</v>
      </c>
      <c r="F201" s="22">
        <v>1</v>
      </c>
      <c r="G201" s="83"/>
      <c r="H201" s="68"/>
    </row>
    <row r="202" spans="1:10" ht="17" x14ac:dyDescent="0.15">
      <c r="A202" s="25">
        <f>+MAX(A$3:A201)+1</f>
        <v>165</v>
      </c>
      <c r="B202" s="23" t="s">
        <v>1205</v>
      </c>
      <c r="C202" s="72" t="s">
        <v>1257</v>
      </c>
      <c r="D202" s="22">
        <v>1</v>
      </c>
      <c r="E202" s="22" t="s">
        <v>180</v>
      </c>
      <c r="F202" s="22">
        <v>1</v>
      </c>
      <c r="G202" s="83"/>
      <c r="H202" s="68"/>
    </row>
    <row r="203" spans="1:10" ht="17" x14ac:dyDescent="0.15">
      <c r="A203" s="25">
        <f>+MAX(A$3:A202)+1</f>
        <v>166</v>
      </c>
      <c r="B203" s="23" t="s">
        <v>1206</v>
      </c>
      <c r="C203" s="72" t="s">
        <v>1257</v>
      </c>
      <c r="D203" s="22">
        <v>1</v>
      </c>
      <c r="E203" s="22" t="s">
        <v>180</v>
      </c>
      <c r="F203" s="22">
        <v>1</v>
      </c>
      <c r="G203" s="83"/>
      <c r="H203" s="68"/>
    </row>
    <row r="204" spans="1:10" ht="17" x14ac:dyDescent="0.15">
      <c r="A204" s="25">
        <f>+MAX(A$3:A203)+1</f>
        <v>167</v>
      </c>
      <c r="B204" s="23" t="s">
        <v>1207</v>
      </c>
      <c r="C204" s="72" t="s">
        <v>1257</v>
      </c>
      <c r="D204" s="22">
        <v>1</v>
      </c>
      <c r="E204" s="22" t="s">
        <v>180</v>
      </c>
      <c r="F204" s="22">
        <v>1</v>
      </c>
      <c r="G204" s="83"/>
      <c r="H204" s="68"/>
    </row>
    <row r="205" spans="1:10" ht="17" x14ac:dyDescent="0.15">
      <c r="A205" s="25">
        <f>+MAX(A$3:A204)+1</f>
        <v>168</v>
      </c>
      <c r="B205" s="23" t="s">
        <v>1208</v>
      </c>
      <c r="C205" s="72" t="s">
        <v>1257</v>
      </c>
      <c r="D205" s="22">
        <v>1</v>
      </c>
      <c r="E205" s="22" t="s">
        <v>180</v>
      </c>
      <c r="F205" s="22">
        <v>1</v>
      </c>
      <c r="G205" s="83"/>
      <c r="H205" s="68"/>
    </row>
    <row r="206" spans="1:10" ht="17" x14ac:dyDescent="0.15">
      <c r="A206" s="25">
        <f>+MAX(A$3:A205)+1</f>
        <v>169</v>
      </c>
      <c r="B206" s="23" t="s">
        <v>1209</v>
      </c>
      <c r="C206" s="72" t="s">
        <v>1257</v>
      </c>
      <c r="D206" s="22">
        <v>1</v>
      </c>
      <c r="E206" s="22" t="s">
        <v>180</v>
      </c>
      <c r="F206" s="22">
        <v>1</v>
      </c>
      <c r="G206" s="83"/>
      <c r="H206" s="68"/>
    </row>
    <row r="207" spans="1:10" ht="17" x14ac:dyDescent="0.15">
      <c r="A207" s="25">
        <f>+MAX(A$3:A206)+1</f>
        <v>170</v>
      </c>
      <c r="B207" s="23" t="s">
        <v>1210</v>
      </c>
      <c r="C207" s="72" t="s">
        <v>1257</v>
      </c>
      <c r="D207" s="22">
        <v>1</v>
      </c>
      <c r="E207" s="22" t="s">
        <v>180</v>
      </c>
      <c r="F207" s="22">
        <v>1</v>
      </c>
      <c r="G207" s="83"/>
      <c r="H207" s="68"/>
    </row>
    <row r="208" spans="1:10" ht="17" x14ac:dyDescent="0.15">
      <c r="A208" s="25">
        <f>+MAX(A$3:A207)+1</f>
        <v>171</v>
      </c>
      <c r="B208" s="23" t="s">
        <v>1211</v>
      </c>
      <c r="C208" s="72" t="s">
        <v>1257</v>
      </c>
      <c r="D208" s="22">
        <v>1</v>
      </c>
      <c r="E208" s="22" t="s">
        <v>180</v>
      </c>
      <c r="F208" s="22">
        <v>1</v>
      </c>
      <c r="G208" s="83"/>
      <c r="H208" s="68"/>
    </row>
    <row r="209" spans="1:8" ht="17" x14ac:dyDescent="0.15">
      <c r="A209" s="25">
        <f>+MAX(A$3:A208)+1</f>
        <v>172</v>
      </c>
      <c r="B209" s="23" t="s">
        <v>1212</v>
      </c>
      <c r="C209" s="72" t="s">
        <v>1257</v>
      </c>
      <c r="D209" s="22">
        <v>1</v>
      </c>
      <c r="E209" s="22" t="s">
        <v>180</v>
      </c>
      <c r="F209" s="22">
        <v>1</v>
      </c>
      <c r="G209" s="83"/>
      <c r="H209" s="68"/>
    </row>
    <row r="210" spans="1:8" ht="17" x14ac:dyDescent="0.15">
      <c r="A210" s="25">
        <f>+MAX(A$3:A209)+1</f>
        <v>173</v>
      </c>
      <c r="B210" s="23" t="s">
        <v>1213</v>
      </c>
      <c r="C210" s="72" t="s">
        <v>1257</v>
      </c>
      <c r="D210" s="22">
        <v>1</v>
      </c>
      <c r="E210" s="22" t="s">
        <v>180</v>
      </c>
      <c r="F210" s="22">
        <v>1</v>
      </c>
      <c r="G210" s="83"/>
      <c r="H210" s="68"/>
    </row>
    <row r="211" spans="1:8" ht="34" x14ac:dyDescent="0.15">
      <c r="A211" s="25">
        <f>+MAX(A$3:A210)+1</f>
        <v>174</v>
      </c>
      <c r="B211" s="23" t="s">
        <v>1214</v>
      </c>
      <c r="C211" s="72" t="s">
        <v>1257</v>
      </c>
      <c r="D211" s="22">
        <v>1</v>
      </c>
      <c r="E211" s="22" t="s">
        <v>180</v>
      </c>
      <c r="F211" s="22">
        <v>1</v>
      </c>
      <c r="G211" s="83"/>
      <c r="H211" s="68"/>
    </row>
    <row r="212" spans="1:8" ht="17" x14ac:dyDescent="0.15">
      <c r="A212" s="25">
        <f>+MAX(A$3:A211)+1</f>
        <v>175</v>
      </c>
      <c r="B212" s="23" t="s">
        <v>1215</v>
      </c>
      <c r="C212" s="72" t="s">
        <v>1257</v>
      </c>
      <c r="D212" s="22">
        <v>1</v>
      </c>
      <c r="E212" s="22" t="s">
        <v>180</v>
      </c>
      <c r="F212" s="22">
        <v>1</v>
      </c>
      <c r="G212" s="83"/>
      <c r="H212" s="68"/>
    </row>
    <row r="213" spans="1:8" ht="17" x14ac:dyDescent="0.15">
      <c r="A213" s="25">
        <f>+MAX(A$3:A212)+1</f>
        <v>176</v>
      </c>
      <c r="B213" s="23" t="s">
        <v>1216</v>
      </c>
      <c r="C213" s="72" t="s">
        <v>1257</v>
      </c>
      <c r="D213" s="22">
        <v>1</v>
      </c>
      <c r="E213" s="22" t="s">
        <v>180</v>
      </c>
      <c r="F213" s="22">
        <v>1</v>
      </c>
      <c r="G213" s="83"/>
      <c r="H213" s="68"/>
    </row>
    <row r="214" spans="1:8" ht="17" x14ac:dyDescent="0.15">
      <c r="A214" s="25">
        <f>+MAX(A$3:A213)+1</f>
        <v>177</v>
      </c>
      <c r="B214" s="23" t="s">
        <v>1217</v>
      </c>
      <c r="C214" s="72" t="s">
        <v>1257</v>
      </c>
      <c r="D214" s="22">
        <v>1</v>
      </c>
      <c r="E214" s="22" t="s">
        <v>180</v>
      </c>
      <c r="F214" s="22">
        <v>1</v>
      </c>
      <c r="G214" s="83"/>
      <c r="H214" s="68"/>
    </row>
    <row r="215" spans="1:8" ht="34" x14ac:dyDescent="0.15">
      <c r="A215" s="25">
        <f>+MAX(A$3:A214)+1</f>
        <v>178</v>
      </c>
      <c r="B215" s="23" t="s">
        <v>1218</v>
      </c>
      <c r="C215" s="72" t="s">
        <v>1257</v>
      </c>
      <c r="D215" s="22">
        <v>1</v>
      </c>
      <c r="E215" s="22" t="s">
        <v>180</v>
      </c>
      <c r="F215" s="22">
        <v>1</v>
      </c>
      <c r="G215" s="83"/>
      <c r="H215" s="68"/>
    </row>
    <row r="216" spans="1:8" ht="17" x14ac:dyDescent="0.15">
      <c r="A216" s="25">
        <f>+MAX(A$3:A215)+1</f>
        <v>179</v>
      </c>
      <c r="B216" s="23" t="s">
        <v>1219</v>
      </c>
      <c r="C216" s="72" t="s">
        <v>1257</v>
      </c>
      <c r="D216" s="22">
        <v>1</v>
      </c>
      <c r="E216" s="22" t="s">
        <v>180</v>
      </c>
      <c r="F216" s="22">
        <v>1</v>
      </c>
      <c r="G216" s="83"/>
      <c r="H216" s="68"/>
    </row>
    <row r="217" spans="1:8" ht="17" x14ac:dyDescent="0.15">
      <c r="A217" s="25">
        <f>+MAX(A$3:A216)+1</f>
        <v>180</v>
      </c>
      <c r="B217" s="23" t="s">
        <v>1220</v>
      </c>
      <c r="C217" s="72" t="s">
        <v>1257</v>
      </c>
      <c r="D217" s="22">
        <v>1</v>
      </c>
      <c r="E217" s="22" t="s">
        <v>180</v>
      </c>
      <c r="F217" s="22">
        <v>1</v>
      </c>
      <c r="G217" s="83"/>
      <c r="H217" s="68"/>
    </row>
    <row r="218" spans="1:8" ht="17" x14ac:dyDescent="0.15">
      <c r="A218" s="25">
        <f>+MAX(A$3:A217)+1</f>
        <v>181</v>
      </c>
      <c r="B218" s="23" t="s">
        <v>1221</v>
      </c>
      <c r="C218" s="72" t="s">
        <v>1257</v>
      </c>
      <c r="D218" s="22">
        <v>1</v>
      </c>
      <c r="E218" s="22" t="s">
        <v>180</v>
      </c>
      <c r="F218" s="22">
        <v>1</v>
      </c>
      <c r="G218" s="83"/>
      <c r="H218" s="68"/>
    </row>
    <row r="219" spans="1:8" ht="17" x14ac:dyDescent="0.15">
      <c r="A219" s="25">
        <f>+MAX(A$3:A218)+1</f>
        <v>182</v>
      </c>
      <c r="B219" s="23" t="s">
        <v>1222</v>
      </c>
      <c r="C219" s="72" t="s">
        <v>1257</v>
      </c>
      <c r="D219" s="22">
        <v>1</v>
      </c>
      <c r="E219" s="22" t="s">
        <v>180</v>
      </c>
      <c r="F219" s="22">
        <v>1</v>
      </c>
      <c r="G219" s="83"/>
      <c r="H219" s="68"/>
    </row>
    <row r="220" spans="1:8" ht="17" x14ac:dyDescent="0.15">
      <c r="A220" s="25">
        <f>+MAX(A$3:A219)+1</f>
        <v>183</v>
      </c>
      <c r="B220" s="23" t="s">
        <v>1223</v>
      </c>
      <c r="C220" s="72" t="s">
        <v>1257</v>
      </c>
      <c r="D220" s="22">
        <v>1</v>
      </c>
      <c r="E220" s="22" t="s">
        <v>180</v>
      </c>
      <c r="F220" s="22">
        <v>1</v>
      </c>
      <c r="G220" s="83"/>
      <c r="H220" s="68"/>
    </row>
    <row r="221" spans="1:8" ht="34" x14ac:dyDescent="0.15">
      <c r="A221" s="25">
        <f>+MAX(A$3:A220)+1</f>
        <v>184</v>
      </c>
      <c r="B221" s="23" t="s">
        <v>1224</v>
      </c>
      <c r="C221" s="72" t="s">
        <v>1257</v>
      </c>
      <c r="D221" s="22">
        <v>1</v>
      </c>
      <c r="E221" s="22" t="s">
        <v>180</v>
      </c>
      <c r="F221" s="22">
        <v>1</v>
      </c>
      <c r="G221" s="83"/>
      <c r="H221" s="68"/>
    </row>
    <row r="222" spans="1:8" ht="17" x14ac:dyDescent="0.15">
      <c r="A222" s="25">
        <f>+MAX(A$3:A221)+1</f>
        <v>185</v>
      </c>
      <c r="B222" s="23" t="s">
        <v>1225</v>
      </c>
      <c r="C222" s="72" t="s">
        <v>1257</v>
      </c>
      <c r="D222" s="22">
        <v>1</v>
      </c>
      <c r="E222" s="22" t="s">
        <v>180</v>
      </c>
      <c r="F222" s="22">
        <v>1</v>
      </c>
      <c r="G222" s="83"/>
      <c r="H222" s="68"/>
    </row>
    <row r="223" spans="1:8" ht="17" x14ac:dyDescent="0.15">
      <c r="A223" s="25">
        <f>+MAX(A$3:A222)+1</f>
        <v>186</v>
      </c>
      <c r="B223" s="23" t="s">
        <v>1226</v>
      </c>
      <c r="C223" s="72" t="s">
        <v>1257</v>
      </c>
      <c r="D223" s="22">
        <v>1</v>
      </c>
      <c r="E223" s="22" t="s">
        <v>180</v>
      </c>
      <c r="F223" s="22">
        <v>1</v>
      </c>
      <c r="G223" s="83"/>
      <c r="H223" s="68"/>
    </row>
    <row r="224" spans="1:8" ht="34" x14ac:dyDescent="0.15">
      <c r="A224" s="25">
        <f>+MAX(A$3:A223)+1</f>
        <v>187</v>
      </c>
      <c r="B224" s="23" t="s">
        <v>1227</v>
      </c>
      <c r="C224" s="72" t="s">
        <v>1257</v>
      </c>
      <c r="D224" s="22">
        <v>1</v>
      </c>
      <c r="E224" s="22" t="s">
        <v>180</v>
      </c>
      <c r="F224" s="22">
        <v>1</v>
      </c>
      <c r="G224" s="83"/>
      <c r="H224" s="68"/>
    </row>
    <row r="225" spans="1:8" ht="17" x14ac:dyDescent="0.15">
      <c r="A225" s="25">
        <f>+MAX(A$3:A224)+1</f>
        <v>188</v>
      </c>
      <c r="B225" s="23" t="s">
        <v>1228</v>
      </c>
      <c r="C225" s="72" t="s">
        <v>1257</v>
      </c>
      <c r="D225" s="22">
        <v>1</v>
      </c>
      <c r="E225" s="22" t="s">
        <v>180</v>
      </c>
      <c r="F225" s="22">
        <v>1</v>
      </c>
      <c r="G225" s="83"/>
      <c r="H225" s="68"/>
    </row>
    <row r="226" spans="1:8" ht="17" x14ac:dyDescent="0.15">
      <c r="A226" s="25">
        <f>+MAX(A$3:A225)+1</f>
        <v>189</v>
      </c>
      <c r="B226" s="23" t="s">
        <v>1229</v>
      </c>
      <c r="C226" s="72" t="s">
        <v>1257</v>
      </c>
      <c r="D226" s="22">
        <v>1</v>
      </c>
      <c r="E226" s="22" t="s">
        <v>180</v>
      </c>
      <c r="F226" s="22">
        <v>1</v>
      </c>
      <c r="G226" s="83"/>
      <c r="H226" s="68"/>
    </row>
    <row r="227" spans="1:8" ht="34" x14ac:dyDescent="0.15">
      <c r="A227" s="25">
        <f>+MAX(A$3:A226)+1</f>
        <v>190</v>
      </c>
      <c r="B227" s="23" t="s">
        <v>1230</v>
      </c>
      <c r="C227" s="72" t="s">
        <v>1257</v>
      </c>
      <c r="D227" s="22">
        <v>1</v>
      </c>
      <c r="E227" s="22" t="s">
        <v>180</v>
      </c>
      <c r="F227" s="22">
        <v>1</v>
      </c>
      <c r="G227" s="83"/>
      <c r="H227" s="68"/>
    </row>
    <row r="228" spans="1:8" ht="17" x14ac:dyDescent="0.15">
      <c r="A228" s="25">
        <f>+MAX(A$3:A227)+1</f>
        <v>191</v>
      </c>
      <c r="B228" s="23" t="s">
        <v>1231</v>
      </c>
      <c r="C228" s="72" t="s">
        <v>1257</v>
      </c>
      <c r="D228" s="22">
        <v>1</v>
      </c>
      <c r="E228" s="22" t="s">
        <v>180</v>
      </c>
      <c r="F228" s="22">
        <v>1</v>
      </c>
      <c r="G228" s="83"/>
      <c r="H228" s="68"/>
    </row>
    <row r="229" spans="1:8" ht="34" x14ac:dyDescent="0.15">
      <c r="A229" s="25">
        <f>+MAX(A$3:A228)+1</f>
        <v>192</v>
      </c>
      <c r="B229" s="23" t="s">
        <v>1232</v>
      </c>
      <c r="C229" s="72" t="s">
        <v>1257</v>
      </c>
      <c r="D229" s="22">
        <v>1</v>
      </c>
      <c r="E229" s="22" t="s">
        <v>180</v>
      </c>
      <c r="F229" s="22">
        <v>1</v>
      </c>
      <c r="G229" s="83"/>
      <c r="H229" s="68"/>
    </row>
    <row r="230" spans="1:8" ht="17" x14ac:dyDescent="0.15">
      <c r="A230" s="25">
        <f>+MAX(A$3:A229)+1</f>
        <v>193</v>
      </c>
      <c r="B230" s="23" t="s">
        <v>1233</v>
      </c>
      <c r="C230" s="72" t="s">
        <v>1257</v>
      </c>
      <c r="D230" s="22">
        <v>1</v>
      </c>
      <c r="E230" s="22" t="s">
        <v>180</v>
      </c>
      <c r="F230" s="22">
        <v>1</v>
      </c>
      <c r="G230" s="83"/>
      <c r="H230" s="68"/>
    </row>
    <row r="231" spans="1:8" ht="34" x14ac:dyDescent="0.15">
      <c r="A231" s="25">
        <f>+MAX(A$3:A230)+1</f>
        <v>194</v>
      </c>
      <c r="B231" s="23" t="s">
        <v>1234</v>
      </c>
      <c r="C231" s="72" t="s">
        <v>1257</v>
      </c>
      <c r="D231" s="22">
        <v>1</v>
      </c>
      <c r="E231" s="22" t="s">
        <v>180</v>
      </c>
      <c r="F231" s="22">
        <v>1</v>
      </c>
      <c r="G231" s="83"/>
      <c r="H231" s="68"/>
    </row>
    <row r="232" spans="1:8" ht="17" x14ac:dyDescent="0.15">
      <c r="A232" s="25">
        <f>+MAX(A$3:A231)+1</f>
        <v>195</v>
      </c>
      <c r="B232" s="23" t="s">
        <v>1235</v>
      </c>
      <c r="C232" s="72" t="s">
        <v>1257</v>
      </c>
      <c r="D232" s="22">
        <v>1</v>
      </c>
      <c r="E232" s="22" t="s">
        <v>180</v>
      </c>
      <c r="F232" s="22">
        <v>1</v>
      </c>
      <c r="G232" s="83"/>
      <c r="H232" s="68"/>
    </row>
    <row r="233" spans="1:8" ht="17" x14ac:dyDescent="0.15">
      <c r="A233" s="25">
        <f>+MAX(A$3:A232)+1</f>
        <v>196</v>
      </c>
      <c r="B233" s="23" t="s">
        <v>1236</v>
      </c>
      <c r="C233" s="72" t="s">
        <v>1257</v>
      </c>
      <c r="D233" s="22">
        <v>1</v>
      </c>
      <c r="E233" s="22" t="s">
        <v>180</v>
      </c>
      <c r="F233" s="22">
        <v>1</v>
      </c>
      <c r="G233" s="83"/>
      <c r="H233" s="68"/>
    </row>
    <row r="234" spans="1:8" ht="17" x14ac:dyDescent="0.15">
      <c r="A234" s="25">
        <f>+MAX(A$3:A233)+1</f>
        <v>197</v>
      </c>
      <c r="B234" s="23" t="s">
        <v>1237</v>
      </c>
      <c r="C234" s="72" t="s">
        <v>1257</v>
      </c>
      <c r="D234" s="22">
        <v>1</v>
      </c>
      <c r="E234" s="22" t="s">
        <v>180</v>
      </c>
      <c r="F234" s="22">
        <v>1</v>
      </c>
      <c r="G234" s="83"/>
      <c r="H234" s="68"/>
    </row>
    <row r="235" spans="1:8" ht="34" x14ac:dyDescent="0.15">
      <c r="A235" s="25">
        <f>+MAX(A$3:A234)+1</f>
        <v>198</v>
      </c>
      <c r="B235" s="23" t="s">
        <v>1238</v>
      </c>
      <c r="C235" s="72" t="s">
        <v>1257</v>
      </c>
      <c r="D235" s="22">
        <v>1</v>
      </c>
      <c r="E235" s="22" t="s">
        <v>180</v>
      </c>
      <c r="F235" s="22">
        <v>1</v>
      </c>
      <c r="G235" s="83"/>
      <c r="H235" s="68"/>
    </row>
    <row r="236" spans="1:8" ht="17" x14ac:dyDescent="0.15">
      <c r="A236" s="25">
        <f>+MAX(A$3:A235)+1</f>
        <v>199</v>
      </c>
      <c r="B236" s="23" t="s">
        <v>1239</v>
      </c>
      <c r="C236" s="72" t="s">
        <v>1257</v>
      </c>
      <c r="D236" s="22">
        <v>1</v>
      </c>
      <c r="E236" s="22" t="s">
        <v>180</v>
      </c>
      <c r="F236" s="22">
        <v>1</v>
      </c>
      <c r="G236" s="83"/>
      <c r="H236" s="68"/>
    </row>
    <row r="237" spans="1:8" ht="17" x14ac:dyDescent="0.15">
      <c r="A237" s="25">
        <f>+MAX(A$3:A236)+1</f>
        <v>200</v>
      </c>
      <c r="B237" s="23" t="s">
        <v>1240</v>
      </c>
      <c r="C237" s="72" t="s">
        <v>1257</v>
      </c>
      <c r="D237" s="22">
        <v>1</v>
      </c>
      <c r="E237" s="22" t="s">
        <v>180</v>
      </c>
      <c r="F237" s="22">
        <v>1</v>
      </c>
      <c r="G237" s="83"/>
      <c r="H237" s="68"/>
    </row>
    <row r="238" spans="1:8" ht="17" x14ac:dyDescent="0.15">
      <c r="A238" s="25">
        <f>+MAX(A$3:A237)+1</f>
        <v>201</v>
      </c>
      <c r="B238" s="23" t="s">
        <v>1241</v>
      </c>
      <c r="C238" s="72" t="s">
        <v>1257</v>
      </c>
      <c r="D238" s="22">
        <v>1</v>
      </c>
      <c r="E238" s="22" t="s">
        <v>180</v>
      </c>
      <c r="F238" s="22">
        <v>1</v>
      </c>
      <c r="G238" s="83"/>
      <c r="H238" s="68"/>
    </row>
    <row r="239" spans="1:8" ht="34" x14ac:dyDescent="0.15">
      <c r="A239" s="25">
        <f>+MAX(A$3:A238)+1</f>
        <v>202</v>
      </c>
      <c r="B239" s="23" t="s">
        <v>1242</v>
      </c>
      <c r="C239" s="72" t="s">
        <v>1257</v>
      </c>
      <c r="D239" s="22">
        <v>1</v>
      </c>
      <c r="E239" s="22" t="s">
        <v>180</v>
      </c>
      <c r="F239" s="22">
        <v>1</v>
      </c>
      <c r="G239" s="83"/>
      <c r="H239" s="68"/>
    </row>
    <row r="240" spans="1:8" ht="17" x14ac:dyDescent="0.15">
      <c r="A240" s="25">
        <f>+MAX(A$3:A239)+1</f>
        <v>203</v>
      </c>
      <c r="B240" s="23" t="s">
        <v>1243</v>
      </c>
      <c r="C240" s="72" t="s">
        <v>1257</v>
      </c>
      <c r="D240" s="22">
        <v>1</v>
      </c>
      <c r="E240" s="22" t="s">
        <v>180</v>
      </c>
      <c r="F240" s="22">
        <v>1</v>
      </c>
      <c r="G240" s="83"/>
      <c r="H240" s="68"/>
    </row>
    <row r="241" spans="1:8" ht="17" x14ac:dyDescent="0.15">
      <c r="A241" s="25">
        <f>+MAX(A$3:A240)+1</f>
        <v>204</v>
      </c>
      <c r="B241" s="23" t="s">
        <v>1244</v>
      </c>
      <c r="C241" s="72" t="s">
        <v>1257</v>
      </c>
      <c r="D241" s="22">
        <v>1</v>
      </c>
      <c r="E241" s="22" t="s">
        <v>180</v>
      </c>
      <c r="F241" s="22">
        <v>1</v>
      </c>
      <c r="G241" s="83"/>
      <c r="H241" s="68"/>
    </row>
    <row r="242" spans="1:8" ht="17" x14ac:dyDescent="0.15">
      <c r="A242" s="25">
        <f>+MAX(A$3:A241)+1</f>
        <v>205</v>
      </c>
      <c r="B242" s="23" t="s">
        <v>1245</v>
      </c>
      <c r="C242" s="72" t="s">
        <v>1257</v>
      </c>
      <c r="D242" s="22">
        <v>1</v>
      </c>
      <c r="E242" s="22" t="s">
        <v>180</v>
      </c>
      <c r="F242" s="22">
        <v>1</v>
      </c>
      <c r="G242" s="83"/>
      <c r="H242" s="68"/>
    </row>
    <row r="243" spans="1:8" ht="34" x14ac:dyDescent="0.15">
      <c r="A243" s="25">
        <f>+MAX(A$3:A242)+1</f>
        <v>206</v>
      </c>
      <c r="B243" s="23" t="s">
        <v>1246</v>
      </c>
      <c r="C243" s="72" t="s">
        <v>1257</v>
      </c>
      <c r="D243" s="22">
        <v>1</v>
      </c>
      <c r="E243" s="22" t="s">
        <v>180</v>
      </c>
      <c r="F243" s="22">
        <v>1</v>
      </c>
      <c r="G243" s="83"/>
      <c r="H243" s="68"/>
    </row>
    <row r="244" spans="1:8" ht="51" x14ac:dyDescent="0.15">
      <c r="A244" s="25">
        <f>+MAX(A$3:A243)+1</f>
        <v>207</v>
      </c>
      <c r="B244" s="23" t="s">
        <v>1247</v>
      </c>
      <c r="C244" s="72" t="s">
        <v>1257</v>
      </c>
      <c r="D244" s="22">
        <v>1</v>
      </c>
      <c r="E244" s="22" t="s">
        <v>180</v>
      </c>
      <c r="F244" s="22">
        <v>1</v>
      </c>
      <c r="G244" s="83"/>
      <c r="H244" s="68"/>
    </row>
    <row r="245" spans="1:8" ht="51" x14ac:dyDescent="0.15">
      <c r="A245" s="25">
        <f>+MAX(A$3:A244)+1</f>
        <v>208</v>
      </c>
      <c r="B245" s="23" t="s">
        <v>1248</v>
      </c>
      <c r="C245" s="72" t="s">
        <v>1257</v>
      </c>
      <c r="D245" s="22">
        <v>1</v>
      </c>
      <c r="E245" s="22" t="s">
        <v>180</v>
      </c>
      <c r="F245" s="22">
        <v>1</v>
      </c>
      <c r="G245" s="83"/>
      <c r="H245" s="68"/>
    </row>
    <row r="246" spans="1:8" ht="34" x14ac:dyDescent="0.15">
      <c r="A246" s="25">
        <f>+MAX(A$3:A245)+1</f>
        <v>209</v>
      </c>
      <c r="B246" s="23" t="s">
        <v>1249</v>
      </c>
      <c r="C246" s="72" t="s">
        <v>1257</v>
      </c>
      <c r="D246" s="22">
        <v>1</v>
      </c>
      <c r="E246" s="22" t="s">
        <v>180</v>
      </c>
      <c r="F246" s="22">
        <v>1</v>
      </c>
      <c r="G246" s="83"/>
      <c r="H246" s="68"/>
    </row>
    <row r="247" spans="1:8" ht="17" x14ac:dyDescent="0.15">
      <c r="A247" s="25">
        <f>+MAX(A$3:A246)+1</f>
        <v>210</v>
      </c>
      <c r="B247" s="23" t="s">
        <v>1250</v>
      </c>
      <c r="C247" s="72" t="s">
        <v>1257</v>
      </c>
      <c r="D247" s="22">
        <v>1</v>
      </c>
      <c r="E247" s="22" t="s">
        <v>180</v>
      </c>
      <c r="F247" s="22">
        <v>1</v>
      </c>
      <c r="G247" s="83"/>
      <c r="H247" s="68"/>
    </row>
    <row r="248" spans="1:8" ht="85" x14ac:dyDescent="0.15">
      <c r="A248" s="25">
        <f>+MAX(A$3:A247)+1</f>
        <v>211</v>
      </c>
      <c r="B248" s="23" t="s">
        <v>1251</v>
      </c>
      <c r="C248" s="72" t="s">
        <v>1257</v>
      </c>
      <c r="D248" s="22">
        <v>1</v>
      </c>
      <c r="E248" s="22" t="s">
        <v>180</v>
      </c>
      <c r="F248" s="22">
        <v>1</v>
      </c>
      <c r="G248" s="83"/>
      <c r="H248" s="68"/>
    </row>
    <row r="249" spans="1:8" ht="34" x14ac:dyDescent="0.15">
      <c r="A249" s="25">
        <f>+MAX(A$3:A248)+1</f>
        <v>212</v>
      </c>
      <c r="B249" s="23" t="s">
        <v>1252</v>
      </c>
      <c r="C249" s="72" t="s">
        <v>1257</v>
      </c>
      <c r="D249" s="22">
        <v>1</v>
      </c>
      <c r="E249" s="22" t="s">
        <v>180</v>
      </c>
      <c r="F249" s="22">
        <v>1</v>
      </c>
      <c r="G249" s="83"/>
      <c r="H249" s="68"/>
    </row>
    <row r="250" spans="1:8" ht="34" x14ac:dyDescent="0.15">
      <c r="A250" s="25">
        <f>+MAX(A$3:A249)+1</f>
        <v>213</v>
      </c>
      <c r="B250" s="23" t="s">
        <v>1253</v>
      </c>
      <c r="C250" s="72" t="s">
        <v>1257</v>
      </c>
      <c r="D250" s="22">
        <v>1</v>
      </c>
      <c r="E250" s="22" t="s">
        <v>180</v>
      </c>
      <c r="F250" s="22">
        <v>1</v>
      </c>
      <c r="G250" s="83"/>
      <c r="H250" s="68"/>
    </row>
    <row r="251" spans="1:8" ht="68" x14ac:dyDescent="0.15">
      <c r="A251" s="25">
        <f>+MAX(A$3:A250)+1</f>
        <v>214</v>
      </c>
      <c r="B251" s="23" t="s">
        <v>1254</v>
      </c>
      <c r="C251" s="72" t="s">
        <v>1257</v>
      </c>
      <c r="D251" s="22">
        <v>1</v>
      </c>
      <c r="E251" s="22" t="s">
        <v>180</v>
      </c>
      <c r="F251" s="22">
        <v>1</v>
      </c>
      <c r="G251" s="83"/>
      <c r="H251" s="68"/>
    </row>
    <row r="252" spans="1:8" ht="17" x14ac:dyDescent="0.15">
      <c r="A252" s="25">
        <f>+MAX(A$3:A251)+1</f>
        <v>215</v>
      </c>
      <c r="B252" s="23" t="s">
        <v>1255</v>
      </c>
      <c r="C252" s="72" t="s">
        <v>1257</v>
      </c>
      <c r="D252" s="22">
        <v>1</v>
      </c>
      <c r="E252" s="22" t="s">
        <v>180</v>
      </c>
      <c r="F252" s="22">
        <v>1</v>
      </c>
      <c r="G252" s="83"/>
      <c r="H252" s="68"/>
    </row>
    <row r="253" spans="1:8" ht="51" x14ac:dyDescent="0.15">
      <c r="A253" s="25">
        <f>+MAX(A$3:A252)+1</f>
        <v>216</v>
      </c>
      <c r="B253" s="23" t="s">
        <v>1256</v>
      </c>
      <c r="C253" s="72" t="s">
        <v>1257</v>
      </c>
      <c r="D253" s="22">
        <v>1</v>
      </c>
      <c r="E253" s="22" t="s">
        <v>180</v>
      </c>
      <c r="F253" s="22">
        <v>1</v>
      </c>
      <c r="G253" s="83"/>
      <c r="H253" s="68"/>
    </row>
    <row r="254" spans="1:8" ht="17" x14ac:dyDescent="0.15">
      <c r="A254" s="25">
        <f>+MAX(A$3:A253)+1</f>
        <v>217</v>
      </c>
      <c r="B254" s="23" t="s">
        <v>1193</v>
      </c>
      <c r="C254" s="72" t="s">
        <v>943</v>
      </c>
      <c r="D254" s="22">
        <v>0</v>
      </c>
      <c r="E254" s="22" t="s">
        <v>180</v>
      </c>
      <c r="F254" s="22">
        <v>1</v>
      </c>
      <c r="G254" s="83" t="s">
        <v>1196</v>
      </c>
      <c r="H254" s="68"/>
    </row>
    <row r="255" spans="1:8" ht="34" x14ac:dyDescent="0.15">
      <c r="A255" s="25">
        <f>+MAX(A$3:A254)+1</f>
        <v>218</v>
      </c>
      <c r="B255" s="23" t="s">
        <v>1194</v>
      </c>
      <c r="C255" s="72" t="s">
        <v>943</v>
      </c>
      <c r="D255" s="22">
        <v>0</v>
      </c>
      <c r="E255" s="22" t="s">
        <v>180</v>
      </c>
      <c r="F255" s="22">
        <v>1</v>
      </c>
      <c r="G255" s="83" t="s">
        <v>1197</v>
      </c>
      <c r="H255" s="68"/>
    </row>
  </sheetData>
  <autoFilter ref="A5:J255" xr:uid="{00000000-0001-0000-0100-000000000000}"/>
  <mergeCells count="1">
    <mergeCell ref="A1:E1"/>
  </mergeCells>
  <hyperlinks>
    <hyperlink ref="G120" r:id="rId1" xr:uid="{880FE6F7-8E07-5B46-A3EE-B09C326BBD33}"/>
    <hyperlink ref="G128" r:id="rId2" xr:uid="{9D3B9906-F9D4-3044-9D11-157FF173CB96}"/>
    <hyperlink ref="G129" r:id="rId3" xr:uid="{290E287B-91B2-0F45-9FCB-337BE9FA75F6}"/>
    <hyperlink ref="G130" r:id="rId4" xr:uid="{6A8FCD4C-E412-134C-9991-5F5D681EA195}"/>
    <hyperlink ref="G122" r:id="rId5" xr:uid="{78B96496-A1A6-DD48-A709-3E96DD5B3567}"/>
    <hyperlink ref="G125" r:id="rId6" xr:uid="{B2EA6694-2D0A-254C-A1DB-7D3518CA521F}"/>
    <hyperlink ref="G126" r:id="rId7" xr:uid="{6B18CABF-1A5F-B249-B3E3-56F9EFFD2832}"/>
    <hyperlink ref="G123" r:id="rId8" xr:uid="{3902F748-81CB-A84F-8BF0-833E0FC52CC5}"/>
    <hyperlink ref="G124" r:id="rId9" xr:uid="{A32F82BB-5883-9546-945B-2D49BADCB7F7}"/>
    <hyperlink ref="G8" r:id="rId10" xr:uid="{6444D402-0575-6040-8556-A7D0DFF7F2A5}"/>
    <hyperlink ref="G13" r:id="rId11" xr:uid="{6520ACD7-C66A-EA45-8DE7-07139041B3E5}"/>
    <hyperlink ref="G12" r:id="rId12" xr:uid="{B5307A04-D828-2D41-B5CB-D730E82EBBD5}"/>
    <hyperlink ref="G10" r:id="rId13" xr:uid="{8D037832-C520-E042-B28E-588F7CDC5BCB}"/>
    <hyperlink ref="G139" r:id="rId14" xr:uid="{FDF81D4E-68F8-9C4B-996F-8E5B594A7531}"/>
    <hyperlink ref="G138" r:id="rId15" xr:uid="{1E094E26-2D82-4142-B734-7AEFD25D50B9}"/>
    <hyperlink ref="G137" r:id="rId16" xr:uid="{6346F6D8-A854-F641-ABEB-DC31DC55DCD4}"/>
    <hyperlink ref="G110" r:id="rId17" xr:uid="{5985F84E-5A22-B340-BFDD-95FD66F46E32}"/>
    <hyperlink ref="G113" r:id="rId18" xr:uid="{512F1E98-2008-4941-91A6-4DD46480221B}"/>
    <hyperlink ref="G114" r:id="rId19" xr:uid="{993BB008-605D-3445-971C-8E87B8FCFCAD}"/>
    <hyperlink ref="G34" r:id="rId20" xr:uid="{A9DF75C8-3DBA-9A4F-BB9D-18955A17A979}"/>
  </hyperlinks>
  <pageMargins left="0.31496062992125984" right="0.27559055118110237" top="0.35433070866141736" bottom="0.31496062992125984" header="0.31496062992125984" footer="0.31496062992125984"/>
  <pageSetup paperSize="9" scale="66" orientation="portrait" r:id="rId2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B3442-165A-E74B-98CB-F06B2FA012F9}">
  <sheetPr>
    <pageSetUpPr fitToPage="1"/>
  </sheetPr>
  <dimension ref="A1:D610"/>
  <sheetViews>
    <sheetView view="pageBreakPreview" topLeftCell="A478" zoomScale="85" zoomScaleNormal="130" zoomScaleSheetLayoutView="85" workbookViewId="0">
      <selection activeCell="C580" sqref="C580"/>
    </sheetView>
  </sheetViews>
  <sheetFormatPr baseColWidth="10" defaultColWidth="9.1640625" defaultRowHeight="15" x14ac:dyDescent="0.2"/>
  <cols>
    <col min="1" max="1" width="5.5" style="114" customWidth="1"/>
    <col min="2" max="2" width="4.83203125" style="114" customWidth="1"/>
    <col min="3" max="3" width="92.33203125" style="110" customWidth="1"/>
    <col min="4" max="4" width="21.33203125" style="115" customWidth="1"/>
    <col min="5" max="16384" width="9.1640625" style="110"/>
  </cols>
  <sheetData>
    <row r="1" spans="1:4" ht="19" x14ac:dyDescent="0.2">
      <c r="A1" s="215" t="s">
        <v>1095</v>
      </c>
      <c r="B1" s="215"/>
      <c r="C1" s="215"/>
      <c r="D1" s="215"/>
    </row>
    <row r="3" spans="1:4" ht="80" x14ac:dyDescent="0.2">
      <c r="A3" s="184" t="s">
        <v>272</v>
      </c>
      <c r="B3" s="184" t="s">
        <v>2119</v>
      </c>
      <c r="C3" s="184" t="s">
        <v>136</v>
      </c>
      <c r="D3" s="184" t="s">
        <v>2140</v>
      </c>
    </row>
    <row r="4" spans="1:4" ht="15" customHeight="1" x14ac:dyDescent="0.2">
      <c r="A4" s="229" t="s">
        <v>1084</v>
      </c>
      <c r="B4" s="230"/>
      <c r="C4" s="230"/>
      <c r="D4" s="231"/>
    </row>
    <row r="5" spans="1:4" ht="16" x14ac:dyDescent="0.2">
      <c r="A5" s="177">
        <f>MAX(A$3:A4)+1</f>
        <v>1</v>
      </c>
      <c r="B5" s="177">
        <f>B4+1</f>
        <v>1</v>
      </c>
      <c r="C5" s="185" t="s">
        <v>1006</v>
      </c>
      <c r="D5" s="177">
        <v>1</v>
      </c>
    </row>
    <row r="6" spans="1:4" ht="16" x14ac:dyDescent="0.2">
      <c r="A6" s="178">
        <f>MAX(A$4:A5)+1</f>
        <v>2</v>
      </c>
      <c r="B6" s="177">
        <f t="shared" ref="B6:B69" si="0">B5+1</f>
        <v>2</v>
      </c>
      <c r="C6" s="156" t="s">
        <v>1258</v>
      </c>
      <c r="D6" s="178">
        <v>1</v>
      </c>
    </row>
    <row r="7" spans="1:4" ht="16" x14ac:dyDescent="0.2">
      <c r="A7" s="178">
        <f>MAX(A$4:A6)+1</f>
        <v>3</v>
      </c>
      <c r="B7" s="177">
        <f t="shared" si="0"/>
        <v>3</v>
      </c>
      <c r="C7" s="156" t="s">
        <v>1005</v>
      </c>
      <c r="D7" s="178">
        <v>1</v>
      </c>
    </row>
    <row r="8" spans="1:4" ht="16" x14ac:dyDescent="0.2">
      <c r="A8" s="178">
        <f>MAX(A$4:A7)+1</f>
        <v>4</v>
      </c>
      <c r="B8" s="177">
        <f t="shared" si="0"/>
        <v>4</v>
      </c>
      <c r="C8" s="156" t="s">
        <v>2122</v>
      </c>
      <c r="D8" s="178">
        <v>1</v>
      </c>
    </row>
    <row r="9" spans="1:4" ht="16" x14ac:dyDescent="0.2">
      <c r="A9" s="178">
        <f>MAX(A$4:A8)+1</f>
        <v>5</v>
      </c>
      <c r="B9" s="177">
        <f t="shared" si="0"/>
        <v>5</v>
      </c>
      <c r="C9" s="156" t="s">
        <v>2322</v>
      </c>
      <c r="D9" s="178">
        <v>3</v>
      </c>
    </row>
    <row r="10" spans="1:4" ht="16" x14ac:dyDescent="0.2">
      <c r="A10" s="178">
        <f>MAX(A$4:A9)+1</f>
        <v>6</v>
      </c>
      <c r="B10" s="177">
        <f t="shared" si="0"/>
        <v>6</v>
      </c>
      <c r="C10" s="156" t="s">
        <v>2123</v>
      </c>
      <c r="D10" s="178">
        <v>1</v>
      </c>
    </row>
    <row r="11" spans="1:4" ht="16" x14ac:dyDescent="0.2">
      <c r="A11" s="178">
        <f>MAX(A$4:A10)+1</f>
        <v>7</v>
      </c>
      <c r="B11" s="177">
        <f t="shared" si="0"/>
        <v>7</v>
      </c>
      <c r="C11" s="156" t="s">
        <v>2270</v>
      </c>
      <c r="D11" s="178">
        <v>1</v>
      </c>
    </row>
    <row r="12" spans="1:4" ht="16" x14ac:dyDescent="0.2">
      <c r="A12" s="178">
        <f>MAX(A$4:A11)+1</f>
        <v>8</v>
      </c>
      <c r="B12" s="177">
        <f t="shared" si="0"/>
        <v>8</v>
      </c>
      <c r="C12" s="156" t="s">
        <v>2124</v>
      </c>
      <c r="D12" s="178">
        <v>1</v>
      </c>
    </row>
    <row r="13" spans="1:4" ht="16" x14ac:dyDescent="0.2">
      <c r="A13" s="178">
        <f>MAX(A$4:A12)+1</f>
        <v>9</v>
      </c>
      <c r="B13" s="177">
        <f t="shared" si="0"/>
        <v>9</v>
      </c>
      <c r="C13" s="156" t="s">
        <v>2125</v>
      </c>
      <c r="D13" s="178">
        <v>1</v>
      </c>
    </row>
    <row r="14" spans="1:4" ht="16" x14ac:dyDescent="0.2">
      <c r="A14" s="178">
        <f>MAX(A$4:A13)+1</f>
        <v>10</v>
      </c>
      <c r="B14" s="177">
        <f t="shared" si="0"/>
        <v>10</v>
      </c>
      <c r="C14" s="156" t="s">
        <v>1694</v>
      </c>
      <c r="D14" s="178">
        <v>1</v>
      </c>
    </row>
    <row r="15" spans="1:4" ht="16" x14ac:dyDescent="0.2">
      <c r="A15" s="178">
        <f>MAX(A$4:A14)+1</f>
        <v>11</v>
      </c>
      <c r="B15" s="177">
        <f t="shared" si="0"/>
        <v>11</v>
      </c>
      <c r="C15" s="156" t="s">
        <v>2126</v>
      </c>
      <c r="D15" s="178">
        <v>1</v>
      </c>
    </row>
    <row r="16" spans="1:4" ht="16" x14ac:dyDescent="0.2">
      <c r="A16" s="178">
        <f>MAX(A$4:A15)+1</f>
        <v>12</v>
      </c>
      <c r="B16" s="177">
        <f t="shared" si="0"/>
        <v>12</v>
      </c>
      <c r="C16" s="156" t="s">
        <v>2127</v>
      </c>
      <c r="D16" s="178">
        <v>1</v>
      </c>
    </row>
    <row r="17" spans="1:4" ht="32" x14ac:dyDescent="0.2">
      <c r="A17" s="178">
        <f>MAX(A$4:A16)+1</f>
        <v>13</v>
      </c>
      <c r="B17" s="177">
        <f t="shared" si="0"/>
        <v>13</v>
      </c>
      <c r="C17" s="156" t="s">
        <v>2153</v>
      </c>
      <c r="D17" s="178">
        <v>1</v>
      </c>
    </row>
    <row r="18" spans="1:4" x14ac:dyDescent="0.2">
      <c r="A18" s="229" t="s">
        <v>1085</v>
      </c>
      <c r="B18" s="230"/>
      <c r="C18" s="230"/>
      <c r="D18" s="231"/>
    </row>
    <row r="19" spans="1:4" ht="16" x14ac:dyDescent="0.2">
      <c r="A19" s="178">
        <f>MAX(A$4:A18)+1</f>
        <v>14</v>
      </c>
      <c r="B19" s="177">
        <f t="shared" si="0"/>
        <v>1</v>
      </c>
      <c r="C19" s="156" t="s">
        <v>1007</v>
      </c>
      <c r="D19" s="178">
        <v>1</v>
      </c>
    </row>
    <row r="20" spans="1:4" ht="16" x14ac:dyDescent="0.2">
      <c r="A20" s="178">
        <f>MAX(A$4:A19)+1</f>
        <v>15</v>
      </c>
      <c r="B20" s="177">
        <f t="shared" si="0"/>
        <v>2</v>
      </c>
      <c r="C20" s="156" t="s">
        <v>1008</v>
      </c>
      <c r="D20" s="178">
        <v>1</v>
      </c>
    </row>
    <row r="21" spans="1:4" ht="16" x14ac:dyDescent="0.2">
      <c r="A21" s="178">
        <f>MAX(A$4:A20)+1</f>
        <v>16</v>
      </c>
      <c r="B21" s="177">
        <f t="shared" si="0"/>
        <v>3</v>
      </c>
      <c r="C21" s="156" t="s">
        <v>1009</v>
      </c>
      <c r="D21" s="178">
        <v>1</v>
      </c>
    </row>
    <row r="22" spans="1:4" ht="16" x14ac:dyDescent="0.2">
      <c r="A22" s="178">
        <f>MAX(A$4:A21)+1</f>
        <v>17</v>
      </c>
      <c r="B22" s="177">
        <f t="shared" si="0"/>
        <v>4</v>
      </c>
      <c r="C22" s="156" t="s">
        <v>1010</v>
      </c>
      <c r="D22" s="178">
        <v>1</v>
      </c>
    </row>
    <row r="23" spans="1:4" ht="16" x14ac:dyDescent="0.2">
      <c r="A23" s="178">
        <f>MAX(A$4:A22)+1</f>
        <v>18</v>
      </c>
      <c r="B23" s="177">
        <f t="shared" si="0"/>
        <v>5</v>
      </c>
      <c r="C23" s="111" t="s">
        <v>1011</v>
      </c>
      <c r="D23" s="178">
        <v>1</v>
      </c>
    </row>
    <row r="24" spans="1:4" ht="16" x14ac:dyDescent="0.2">
      <c r="A24" s="178">
        <f>MAX(A$4:A23)+1</f>
        <v>19</v>
      </c>
      <c r="B24" s="177">
        <f t="shared" si="0"/>
        <v>6</v>
      </c>
      <c r="C24" s="111" t="s">
        <v>1012</v>
      </c>
      <c r="D24" s="178">
        <v>1</v>
      </c>
    </row>
    <row r="25" spans="1:4" ht="16" x14ac:dyDescent="0.2">
      <c r="A25" s="178">
        <f>MAX(A$4:A24)+1</f>
        <v>20</v>
      </c>
      <c r="B25" s="177">
        <f t="shared" si="0"/>
        <v>7</v>
      </c>
      <c r="C25" s="111" t="s">
        <v>1013</v>
      </c>
      <c r="D25" s="178">
        <v>1</v>
      </c>
    </row>
    <row r="26" spans="1:4" ht="16" x14ac:dyDescent="0.2">
      <c r="A26" s="178">
        <f>MAX(A$4:A25)+1</f>
        <v>21</v>
      </c>
      <c r="B26" s="177">
        <f t="shared" si="0"/>
        <v>8</v>
      </c>
      <c r="C26" s="111" t="s">
        <v>1014</v>
      </c>
      <c r="D26" s="178">
        <v>1</v>
      </c>
    </row>
    <row r="27" spans="1:4" ht="16" x14ac:dyDescent="0.2">
      <c r="A27" s="178">
        <f>MAX(A$4:A26)+1</f>
        <v>22</v>
      </c>
      <c r="B27" s="177">
        <f t="shared" si="0"/>
        <v>9</v>
      </c>
      <c r="C27" s="111" t="s">
        <v>1983</v>
      </c>
      <c r="D27" s="178">
        <v>1</v>
      </c>
    </row>
    <row r="28" spans="1:4" ht="16" x14ac:dyDescent="0.2">
      <c r="A28" s="178">
        <f>MAX(A$4:A27)+1</f>
        <v>23</v>
      </c>
      <c r="B28" s="177">
        <f t="shared" si="0"/>
        <v>10</v>
      </c>
      <c r="C28" s="111" t="s">
        <v>1984</v>
      </c>
      <c r="D28" s="178">
        <v>1</v>
      </c>
    </row>
    <row r="29" spans="1:4" x14ac:dyDescent="0.2">
      <c r="A29" s="229" t="s">
        <v>1086</v>
      </c>
      <c r="B29" s="230"/>
      <c r="C29" s="230"/>
      <c r="D29" s="231"/>
    </row>
    <row r="30" spans="1:4" ht="16" x14ac:dyDescent="0.2">
      <c r="A30" s="178">
        <f>MAX(A$4:A29)+1</f>
        <v>24</v>
      </c>
      <c r="B30" s="177">
        <f t="shared" si="0"/>
        <v>1</v>
      </c>
      <c r="C30" s="111" t="s">
        <v>1884</v>
      </c>
      <c r="D30" s="178">
        <v>1</v>
      </c>
    </row>
    <row r="31" spans="1:4" ht="16" x14ac:dyDescent="0.2">
      <c r="A31" s="178">
        <f>MAX(A$4:A30)+1</f>
        <v>25</v>
      </c>
      <c r="B31" s="177">
        <f t="shared" si="0"/>
        <v>2</v>
      </c>
      <c r="C31" s="111" t="s">
        <v>1885</v>
      </c>
      <c r="D31" s="178">
        <v>1</v>
      </c>
    </row>
    <row r="32" spans="1:4" ht="16" x14ac:dyDescent="0.2">
      <c r="A32" s="178">
        <f>MAX(A$4:A31)+1</f>
        <v>26</v>
      </c>
      <c r="B32" s="177">
        <f t="shared" si="0"/>
        <v>3</v>
      </c>
      <c r="C32" s="111" t="s">
        <v>1886</v>
      </c>
      <c r="D32" s="178">
        <v>1</v>
      </c>
    </row>
    <row r="33" spans="1:4" ht="16" x14ac:dyDescent="0.2">
      <c r="A33" s="178">
        <f>MAX(A$4:A32)+1</f>
        <v>27</v>
      </c>
      <c r="B33" s="177">
        <f t="shared" si="0"/>
        <v>4</v>
      </c>
      <c r="C33" s="186" t="s">
        <v>1887</v>
      </c>
      <c r="D33" s="178">
        <v>1</v>
      </c>
    </row>
    <row r="34" spans="1:4" ht="32" x14ac:dyDescent="0.2">
      <c r="A34" s="178">
        <f>MAX(A$4:A33)+1</f>
        <v>28</v>
      </c>
      <c r="B34" s="177">
        <f t="shared" si="0"/>
        <v>5</v>
      </c>
      <c r="C34" s="186" t="s">
        <v>1888</v>
      </c>
      <c r="D34" s="178">
        <v>1</v>
      </c>
    </row>
    <row r="35" spans="1:4" ht="32" x14ac:dyDescent="0.2">
      <c r="A35" s="178">
        <f>MAX(A$4:A34)+1</f>
        <v>29</v>
      </c>
      <c r="B35" s="177">
        <f t="shared" si="0"/>
        <v>6</v>
      </c>
      <c r="C35" s="111" t="s">
        <v>2154</v>
      </c>
      <c r="D35" s="178">
        <v>1</v>
      </c>
    </row>
    <row r="36" spans="1:4" ht="16" x14ac:dyDescent="0.2">
      <c r="A36" s="178">
        <f>MAX(A$4:A35)+1</f>
        <v>30</v>
      </c>
      <c r="B36" s="177">
        <f t="shared" si="0"/>
        <v>7</v>
      </c>
      <c r="C36" s="111" t="s">
        <v>2155</v>
      </c>
      <c r="D36" s="178">
        <v>1</v>
      </c>
    </row>
    <row r="37" spans="1:4" ht="16" x14ac:dyDescent="0.2">
      <c r="A37" s="178">
        <f>MAX(A$4:A36)+1</f>
        <v>31</v>
      </c>
      <c r="B37" s="177">
        <f t="shared" si="0"/>
        <v>8</v>
      </c>
      <c r="C37" s="111" t="s">
        <v>2156</v>
      </c>
      <c r="D37" s="178">
        <v>1</v>
      </c>
    </row>
    <row r="38" spans="1:4" ht="16" x14ac:dyDescent="0.2">
      <c r="A38" s="178">
        <f>MAX(A$4:A37)+1</f>
        <v>32</v>
      </c>
      <c r="B38" s="177">
        <f t="shared" si="0"/>
        <v>9</v>
      </c>
      <c r="C38" s="186" t="s">
        <v>2157</v>
      </c>
      <c r="D38" s="178">
        <v>1</v>
      </c>
    </row>
    <row r="39" spans="1:4" ht="16" x14ac:dyDescent="0.2">
      <c r="A39" s="178">
        <f>MAX(A$4:A38)+1</f>
        <v>33</v>
      </c>
      <c r="B39" s="177">
        <f t="shared" si="0"/>
        <v>10</v>
      </c>
      <c r="C39" s="186" t="s">
        <v>2158</v>
      </c>
      <c r="D39" s="178">
        <v>1</v>
      </c>
    </row>
    <row r="40" spans="1:4" ht="16" x14ac:dyDescent="0.2">
      <c r="A40" s="178">
        <f>MAX(A$4:A39)+1</f>
        <v>34</v>
      </c>
      <c r="B40" s="177">
        <f t="shared" si="0"/>
        <v>11</v>
      </c>
      <c r="C40" s="111" t="s">
        <v>2159</v>
      </c>
      <c r="D40" s="178">
        <v>1</v>
      </c>
    </row>
    <row r="41" spans="1:4" ht="16" x14ac:dyDescent="0.2">
      <c r="A41" s="178">
        <f>MAX(A$4:A40)+1</f>
        <v>35</v>
      </c>
      <c r="B41" s="177">
        <f t="shared" si="0"/>
        <v>12</v>
      </c>
      <c r="C41" s="111" t="s">
        <v>2160</v>
      </c>
      <c r="D41" s="178">
        <v>1</v>
      </c>
    </row>
    <row r="42" spans="1:4" ht="16" x14ac:dyDescent="0.2">
      <c r="A42" s="178">
        <f>MAX(A$4:A41)+1</f>
        <v>36</v>
      </c>
      <c r="B42" s="177">
        <f t="shared" si="0"/>
        <v>13</v>
      </c>
      <c r="C42" s="111" t="s">
        <v>2161</v>
      </c>
      <c r="D42" s="178">
        <v>1</v>
      </c>
    </row>
    <row r="43" spans="1:4" ht="32" x14ac:dyDescent="0.2">
      <c r="A43" s="178">
        <f>MAX(A$4:A42)+1</f>
        <v>37</v>
      </c>
      <c r="B43" s="177">
        <f t="shared" si="0"/>
        <v>14</v>
      </c>
      <c r="C43" s="186" t="s">
        <v>2162</v>
      </c>
      <c r="D43" s="178">
        <v>1</v>
      </c>
    </row>
    <row r="44" spans="1:4" ht="32" x14ac:dyDescent="0.2">
      <c r="A44" s="178">
        <f>MAX(A$4:A43)+1</f>
        <v>38</v>
      </c>
      <c r="B44" s="177">
        <f t="shared" si="0"/>
        <v>15</v>
      </c>
      <c r="C44" s="186" t="s">
        <v>2163</v>
      </c>
      <c r="D44" s="178">
        <v>1</v>
      </c>
    </row>
    <row r="45" spans="1:4" ht="16" x14ac:dyDescent="0.2">
      <c r="A45" s="178">
        <f>MAX(A$4:A44)+1</f>
        <v>39</v>
      </c>
      <c r="B45" s="177">
        <f t="shared" si="0"/>
        <v>16</v>
      </c>
      <c r="C45" s="186" t="s">
        <v>2164</v>
      </c>
      <c r="D45" s="178">
        <v>1</v>
      </c>
    </row>
    <row r="46" spans="1:4" x14ac:dyDescent="0.2">
      <c r="A46" s="229" t="s">
        <v>1087</v>
      </c>
      <c r="B46" s="230"/>
      <c r="C46" s="230"/>
      <c r="D46" s="231"/>
    </row>
    <row r="47" spans="1:4" ht="16" x14ac:dyDescent="0.2">
      <c r="A47" s="178">
        <f>MAX(A$4:A46)+1</f>
        <v>40</v>
      </c>
      <c r="B47" s="177">
        <f t="shared" si="0"/>
        <v>1</v>
      </c>
      <c r="C47" s="111" t="s">
        <v>1259</v>
      </c>
      <c r="D47" s="178">
        <v>1</v>
      </c>
    </row>
    <row r="48" spans="1:4" ht="16" x14ac:dyDescent="0.2">
      <c r="A48" s="178">
        <f>MAX(A$4:A47)+1</f>
        <v>41</v>
      </c>
      <c r="B48" s="177">
        <f t="shared" si="0"/>
        <v>2</v>
      </c>
      <c r="C48" s="111" t="s">
        <v>1260</v>
      </c>
      <c r="D48" s="178">
        <v>1</v>
      </c>
    </row>
    <row r="49" spans="1:4" ht="16" x14ac:dyDescent="0.2">
      <c r="A49" s="178">
        <f>MAX(A$4:A48)+1</f>
        <v>42</v>
      </c>
      <c r="B49" s="177">
        <f t="shared" si="0"/>
        <v>3</v>
      </c>
      <c r="C49" s="111" t="s">
        <v>1261</v>
      </c>
      <c r="D49" s="178">
        <v>1</v>
      </c>
    </row>
    <row r="50" spans="1:4" ht="32" x14ac:dyDescent="0.2">
      <c r="A50" s="178">
        <f>MAX(A$4:A49)+1</f>
        <v>43</v>
      </c>
      <c r="B50" s="177">
        <f t="shared" si="0"/>
        <v>4</v>
      </c>
      <c r="C50" s="111" t="s">
        <v>1987</v>
      </c>
      <c r="D50" s="178">
        <v>1</v>
      </c>
    </row>
    <row r="51" spans="1:4" ht="32" x14ac:dyDescent="0.2">
      <c r="A51" s="178">
        <f>MAX(A$4:A50)+1</f>
        <v>44</v>
      </c>
      <c r="B51" s="177">
        <f t="shared" si="0"/>
        <v>5</v>
      </c>
      <c r="C51" s="111" t="s">
        <v>1988</v>
      </c>
      <c r="D51" s="178">
        <v>1</v>
      </c>
    </row>
    <row r="52" spans="1:4" ht="32" x14ac:dyDescent="0.2">
      <c r="A52" s="178">
        <f>MAX(A$4:A51)+1</f>
        <v>45</v>
      </c>
      <c r="B52" s="177">
        <f t="shared" si="0"/>
        <v>6</v>
      </c>
      <c r="C52" s="111" t="s">
        <v>1989</v>
      </c>
      <c r="D52" s="178">
        <v>1</v>
      </c>
    </row>
    <row r="53" spans="1:4" x14ac:dyDescent="0.2">
      <c r="A53" s="229" t="s">
        <v>1712</v>
      </c>
      <c r="B53" s="230"/>
      <c r="C53" s="230"/>
      <c r="D53" s="231"/>
    </row>
    <row r="54" spans="1:4" ht="16" x14ac:dyDescent="0.2">
      <c r="A54" s="178">
        <f>MAX(A$4:A53)+1</f>
        <v>46</v>
      </c>
      <c r="B54" s="177">
        <f t="shared" si="0"/>
        <v>1</v>
      </c>
      <c r="C54" s="186" t="s">
        <v>1016</v>
      </c>
      <c r="D54" s="178">
        <v>1</v>
      </c>
    </row>
    <row r="55" spans="1:4" ht="16" x14ac:dyDescent="0.2">
      <c r="A55" s="178">
        <f>MAX(A$4:A54)+1</f>
        <v>47</v>
      </c>
      <c r="B55" s="177">
        <f t="shared" si="0"/>
        <v>2</v>
      </c>
      <c r="C55" s="186" t="s">
        <v>1262</v>
      </c>
      <c r="D55" s="178">
        <v>1</v>
      </c>
    </row>
    <row r="56" spans="1:4" ht="16" x14ac:dyDescent="0.2">
      <c r="A56" s="178">
        <f>MAX(A$4:A55)+1</f>
        <v>48</v>
      </c>
      <c r="B56" s="177">
        <f t="shared" si="0"/>
        <v>3</v>
      </c>
      <c r="C56" s="186" t="s">
        <v>1263</v>
      </c>
      <c r="D56" s="178">
        <v>1</v>
      </c>
    </row>
    <row r="57" spans="1:4" ht="16" x14ac:dyDescent="0.2">
      <c r="A57" s="178">
        <f>MAX(A$4:A56)+1</f>
        <v>49</v>
      </c>
      <c r="B57" s="177">
        <f t="shared" si="0"/>
        <v>4</v>
      </c>
      <c r="C57" s="186" t="s">
        <v>1264</v>
      </c>
      <c r="D57" s="178">
        <v>1</v>
      </c>
    </row>
    <row r="58" spans="1:4" ht="16" x14ac:dyDescent="0.2">
      <c r="A58" s="178">
        <f>MAX(A$4:A57)+1</f>
        <v>50</v>
      </c>
      <c r="B58" s="177">
        <f t="shared" si="0"/>
        <v>5</v>
      </c>
      <c r="C58" s="186" t="s">
        <v>1017</v>
      </c>
      <c r="D58" s="178">
        <v>1</v>
      </c>
    </row>
    <row r="59" spans="1:4" ht="16" x14ac:dyDescent="0.2">
      <c r="A59" s="178">
        <f>MAX(A$4:A58)+1</f>
        <v>51</v>
      </c>
      <c r="B59" s="177">
        <f t="shared" si="0"/>
        <v>6</v>
      </c>
      <c r="C59" s="186" t="s">
        <v>1265</v>
      </c>
      <c r="D59" s="178">
        <v>1</v>
      </c>
    </row>
    <row r="60" spans="1:4" ht="16" x14ac:dyDescent="0.2">
      <c r="A60" s="178">
        <f>MAX(A$4:A59)+1</f>
        <v>52</v>
      </c>
      <c r="B60" s="177">
        <f t="shared" si="0"/>
        <v>7</v>
      </c>
      <c r="C60" s="186" t="s">
        <v>2323</v>
      </c>
      <c r="D60" s="178">
        <v>3</v>
      </c>
    </row>
    <row r="61" spans="1:4" ht="16" x14ac:dyDescent="0.2">
      <c r="A61" s="178">
        <f>MAX(A$4:A60)+1</f>
        <v>53</v>
      </c>
      <c r="B61" s="177">
        <f t="shared" si="0"/>
        <v>8</v>
      </c>
      <c r="C61" s="186" t="s">
        <v>2324</v>
      </c>
      <c r="D61" s="178">
        <v>1</v>
      </c>
    </row>
    <row r="62" spans="1:4" x14ac:dyDescent="0.2">
      <c r="A62" s="229" t="s">
        <v>1088</v>
      </c>
      <c r="B62" s="230"/>
      <c r="C62" s="230"/>
      <c r="D62" s="231"/>
    </row>
    <row r="63" spans="1:4" ht="16" x14ac:dyDescent="0.2">
      <c r="A63" s="178">
        <f>MAX(A$4:A62)+1</f>
        <v>54</v>
      </c>
      <c r="B63" s="177">
        <f t="shared" si="0"/>
        <v>1</v>
      </c>
      <c r="C63" s="111" t="s">
        <v>1018</v>
      </c>
      <c r="D63" s="178">
        <v>1</v>
      </c>
    </row>
    <row r="64" spans="1:4" ht="16" x14ac:dyDescent="0.2">
      <c r="A64" s="178">
        <f>MAX(A$4:A63)+1</f>
        <v>55</v>
      </c>
      <c r="B64" s="177">
        <f t="shared" si="0"/>
        <v>2</v>
      </c>
      <c r="C64" s="111" t="s">
        <v>1019</v>
      </c>
      <c r="D64" s="178">
        <v>1</v>
      </c>
    </row>
    <row r="65" spans="1:4" ht="16" x14ac:dyDescent="0.2">
      <c r="A65" s="178">
        <f>MAX(A$4:A64)+1</f>
        <v>56</v>
      </c>
      <c r="B65" s="177">
        <f t="shared" si="0"/>
        <v>3</v>
      </c>
      <c r="C65" s="111" t="s">
        <v>1020</v>
      </c>
      <c r="D65" s="178">
        <v>1</v>
      </c>
    </row>
    <row r="66" spans="1:4" ht="16" x14ac:dyDescent="0.2">
      <c r="A66" s="178">
        <f>MAX(A$4:A65)+1</f>
        <v>57</v>
      </c>
      <c r="B66" s="177">
        <f t="shared" si="0"/>
        <v>4</v>
      </c>
      <c r="C66" s="111" t="s">
        <v>1021</v>
      </c>
      <c r="D66" s="178">
        <v>1</v>
      </c>
    </row>
    <row r="67" spans="1:4" ht="16" x14ac:dyDescent="0.2">
      <c r="A67" s="178">
        <f>MAX(A$4:A66)+1</f>
        <v>58</v>
      </c>
      <c r="B67" s="177">
        <f t="shared" si="0"/>
        <v>5</v>
      </c>
      <c r="C67" s="111" t="s">
        <v>1022</v>
      </c>
      <c r="D67" s="178">
        <v>1</v>
      </c>
    </row>
    <row r="68" spans="1:4" ht="32" x14ac:dyDescent="0.2">
      <c r="A68" s="178">
        <f>MAX(A$4:A67)+1</f>
        <v>59</v>
      </c>
      <c r="B68" s="177">
        <f t="shared" si="0"/>
        <v>6</v>
      </c>
      <c r="C68" s="111" t="s">
        <v>1023</v>
      </c>
      <c r="D68" s="178">
        <v>1</v>
      </c>
    </row>
    <row r="69" spans="1:4" ht="16" x14ac:dyDescent="0.2">
      <c r="A69" s="178">
        <f>MAX(A$4:A68)+1</f>
        <v>60</v>
      </c>
      <c r="B69" s="177">
        <f t="shared" si="0"/>
        <v>7</v>
      </c>
      <c r="C69" s="187" t="s">
        <v>1024</v>
      </c>
      <c r="D69" s="178">
        <v>1</v>
      </c>
    </row>
    <row r="70" spans="1:4" ht="16" x14ac:dyDescent="0.2">
      <c r="A70" s="178">
        <f>MAX(A$4:A69)+1</f>
        <v>61</v>
      </c>
      <c r="B70" s="177">
        <f t="shared" ref="B70:B101" si="1">B69+1</f>
        <v>8</v>
      </c>
      <c r="C70" s="111" t="s">
        <v>1025</v>
      </c>
      <c r="D70" s="178">
        <v>1</v>
      </c>
    </row>
    <row r="71" spans="1:4" ht="16" x14ac:dyDescent="0.2">
      <c r="A71" s="178">
        <f>MAX(A$4:A70)+1</f>
        <v>62</v>
      </c>
      <c r="B71" s="177">
        <f t="shared" si="1"/>
        <v>9</v>
      </c>
      <c r="C71" s="111" t="s">
        <v>1026</v>
      </c>
      <c r="D71" s="178">
        <v>1</v>
      </c>
    </row>
    <row r="72" spans="1:4" ht="16" x14ac:dyDescent="0.2">
      <c r="A72" s="178">
        <f>MAX(A$4:A71)+1</f>
        <v>63</v>
      </c>
      <c r="B72" s="177">
        <f t="shared" si="1"/>
        <v>10</v>
      </c>
      <c r="C72" s="186" t="s">
        <v>1266</v>
      </c>
      <c r="D72" s="178">
        <v>1</v>
      </c>
    </row>
    <row r="73" spans="1:4" ht="16" x14ac:dyDescent="0.2">
      <c r="A73" s="178">
        <f>MAX(A$4:A72)+1</f>
        <v>64</v>
      </c>
      <c r="B73" s="177">
        <f t="shared" si="1"/>
        <v>11</v>
      </c>
      <c r="C73" s="186" t="s">
        <v>1267</v>
      </c>
      <c r="D73" s="178">
        <v>1</v>
      </c>
    </row>
    <row r="74" spans="1:4" x14ac:dyDescent="0.2">
      <c r="A74" s="229" t="s">
        <v>1713</v>
      </c>
      <c r="B74" s="230"/>
      <c r="C74" s="230"/>
      <c r="D74" s="231"/>
    </row>
    <row r="75" spans="1:4" ht="16" x14ac:dyDescent="0.2">
      <c r="A75" s="178">
        <f>MAX(A$4:A74)+1</f>
        <v>65</v>
      </c>
      <c r="B75" s="177">
        <f t="shared" si="1"/>
        <v>1</v>
      </c>
      <c r="C75" s="111" t="s">
        <v>1644</v>
      </c>
      <c r="D75" s="178">
        <v>1</v>
      </c>
    </row>
    <row r="76" spans="1:4" ht="16" x14ac:dyDescent="0.2">
      <c r="A76" s="178">
        <f>MAX(A$4:A75)+1</f>
        <v>66</v>
      </c>
      <c r="B76" s="177">
        <f t="shared" si="1"/>
        <v>2</v>
      </c>
      <c r="C76" s="111" t="s">
        <v>1645</v>
      </c>
      <c r="D76" s="178">
        <v>1</v>
      </c>
    </row>
    <row r="77" spans="1:4" ht="16" x14ac:dyDescent="0.2">
      <c r="A77" s="178">
        <f>MAX(A$4:A76)+1</f>
        <v>67</v>
      </c>
      <c r="B77" s="177">
        <f t="shared" si="1"/>
        <v>3</v>
      </c>
      <c r="C77" s="111" t="s">
        <v>1646</v>
      </c>
      <c r="D77" s="178">
        <v>1</v>
      </c>
    </row>
    <row r="78" spans="1:4" ht="32" x14ac:dyDescent="0.2">
      <c r="A78" s="178">
        <f>MAX(A$4:A77)+1</f>
        <v>68</v>
      </c>
      <c r="B78" s="177">
        <f t="shared" si="1"/>
        <v>4</v>
      </c>
      <c r="C78" s="111" t="s">
        <v>1647</v>
      </c>
      <c r="D78" s="178">
        <v>1</v>
      </c>
    </row>
    <row r="79" spans="1:4" ht="16" x14ac:dyDescent="0.2">
      <c r="A79" s="178">
        <f>MAX(A$4:A78)+1</f>
        <v>69</v>
      </c>
      <c r="B79" s="177">
        <f t="shared" si="1"/>
        <v>5</v>
      </c>
      <c r="C79" s="111" t="s">
        <v>2165</v>
      </c>
      <c r="D79" s="178">
        <v>1</v>
      </c>
    </row>
    <row r="80" spans="1:4" ht="16" x14ac:dyDescent="0.2">
      <c r="A80" s="178">
        <f>MAX(A$4:A79)+1</f>
        <v>70</v>
      </c>
      <c r="B80" s="177">
        <f t="shared" si="1"/>
        <v>6</v>
      </c>
      <c r="C80" s="111" t="s">
        <v>2110</v>
      </c>
      <c r="D80" s="178">
        <v>1</v>
      </c>
    </row>
    <row r="81" spans="1:4" ht="32" x14ac:dyDescent="0.2">
      <c r="A81" s="178">
        <f>MAX(A$4:A80)+1</f>
        <v>71</v>
      </c>
      <c r="B81" s="177">
        <f t="shared" si="1"/>
        <v>7</v>
      </c>
      <c r="C81" s="111" t="s">
        <v>2325</v>
      </c>
      <c r="D81" s="178">
        <v>1</v>
      </c>
    </row>
    <row r="82" spans="1:4" ht="16" x14ac:dyDescent="0.2">
      <c r="A82" s="178">
        <f>MAX(A$4:A81)+1</f>
        <v>72</v>
      </c>
      <c r="B82" s="177">
        <f t="shared" si="1"/>
        <v>8</v>
      </c>
      <c r="C82" s="111" t="s">
        <v>2110</v>
      </c>
      <c r="D82" s="178">
        <v>1</v>
      </c>
    </row>
    <row r="83" spans="1:4" x14ac:dyDescent="0.2">
      <c r="A83" s="229" t="s">
        <v>1089</v>
      </c>
      <c r="B83" s="230"/>
      <c r="C83" s="230"/>
      <c r="D83" s="231"/>
    </row>
    <row r="84" spans="1:4" ht="16" x14ac:dyDescent="0.2">
      <c r="A84" s="178">
        <f>MAX(A$4:A83)+1</f>
        <v>73</v>
      </c>
      <c r="B84" s="177">
        <f t="shared" si="1"/>
        <v>1</v>
      </c>
      <c r="C84" s="111" t="s">
        <v>1268</v>
      </c>
      <c r="D84" s="178">
        <v>1</v>
      </c>
    </row>
    <row r="85" spans="1:4" ht="16" x14ac:dyDescent="0.2">
      <c r="A85" s="178">
        <f>MAX(A$4:A84)+1</f>
        <v>74</v>
      </c>
      <c r="B85" s="177">
        <f t="shared" si="1"/>
        <v>2</v>
      </c>
      <c r="C85" s="111" t="s">
        <v>1269</v>
      </c>
      <c r="D85" s="178">
        <v>1</v>
      </c>
    </row>
    <row r="86" spans="1:4" ht="32" x14ac:dyDescent="0.2">
      <c r="A86" s="178">
        <f>MAX(A$4:A85)+1</f>
        <v>75</v>
      </c>
      <c r="B86" s="177">
        <f t="shared" si="1"/>
        <v>3</v>
      </c>
      <c r="C86" s="111" t="s">
        <v>1270</v>
      </c>
      <c r="D86" s="178">
        <v>1</v>
      </c>
    </row>
    <row r="87" spans="1:4" ht="32" x14ac:dyDescent="0.2">
      <c r="A87" s="178">
        <f>MAX(A$4:A86)+1</f>
        <v>76</v>
      </c>
      <c r="B87" s="177">
        <f t="shared" si="1"/>
        <v>4</v>
      </c>
      <c r="C87" s="111" t="s">
        <v>1271</v>
      </c>
      <c r="D87" s="178">
        <v>1</v>
      </c>
    </row>
    <row r="88" spans="1:4" ht="16" x14ac:dyDescent="0.2">
      <c r="A88" s="178">
        <f>MAX(A$4:A87)+1</f>
        <v>77</v>
      </c>
      <c r="B88" s="177">
        <f t="shared" si="1"/>
        <v>5</v>
      </c>
      <c r="C88" s="111" t="s">
        <v>1272</v>
      </c>
      <c r="D88" s="178">
        <v>1</v>
      </c>
    </row>
    <row r="89" spans="1:4" ht="16" x14ac:dyDescent="0.2">
      <c r="A89" s="178">
        <f>MAX(A$4:A88)+1</f>
        <v>78</v>
      </c>
      <c r="B89" s="177">
        <f t="shared" si="1"/>
        <v>6</v>
      </c>
      <c r="C89" s="111" t="s">
        <v>1028</v>
      </c>
      <c r="D89" s="178">
        <v>1</v>
      </c>
    </row>
    <row r="90" spans="1:4" ht="16" x14ac:dyDescent="0.2">
      <c r="A90" s="178">
        <f>MAX(A$4:A89)+1</f>
        <v>79</v>
      </c>
      <c r="B90" s="177">
        <f t="shared" si="1"/>
        <v>7</v>
      </c>
      <c r="C90" s="111" t="s">
        <v>1029</v>
      </c>
      <c r="D90" s="178">
        <v>1</v>
      </c>
    </row>
    <row r="91" spans="1:4" ht="16" x14ac:dyDescent="0.2">
      <c r="A91" s="178">
        <f>MAX(A$4:A90)+1</f>
        <v>80</v>
      </c>
      <c r="B91" s="177">
        <f t="shared" si="1"/>
        <v>8</v>
      </c>
      <c r="C91" s="111" t="s">
        <v>1273</v>
      </c>
      <c r="D91" s="178">
        <v>1</v>
      </c>
    </row>
    <row r="92" spans="1:4" ht="16" x14ac:dyDescent="0.2">
      <c r="A92" s="178">
        <f>MAX(A$4:A91)+1</f>
        <v>81</v>
      </c>
      <c r="B92" s="177">
        <f t="shared" si="1"/>
        <v>9</v>
      </c>
      <c r="C92" s="111" t="s">
        <v>1030</v>
      </c>
      <c r="D92" s="178">
        <v>1</v>
      </c>
    </row>
    <row r="93" spans="1:4" ht="16" x14ac:dyDescent="0.2">
      <c r="A93" s="178">
        <f>MAX(A$4:A92)+1</f>
        <v>82</v>
      </c>
      <c r="B93" s="177">
        <f t="shared" si="1"/>
        <v>10</v>
      </c>
      <c r="C93" s="111" t="s">
        <v>1031</v>
      </c>
      <c r="D93" s="178">
        <v>1</v>
      </c>
    </row>
    <row r="94" spans="1:4" ht="16" x14ac:dyDescent="0.2">
      <c r="A94" s="178">
        <f>MAX(A$4:A93)+1</f>
        <v>83</v>
      </c>
      <c r="B94" s="177">
        <f t="shared" si="1"/>
        <v>11</v>
      </c>
      <c r="C94" s="111" t="s">
        <v>1032</v>
      </c>
      <c r="D94" s="178">
        <v>1</v>
      </c>
    </row>
    <row r="95" spans="1:4" ht="32" x14ac:dyDescent="0.2">
      <c r="A95" s="178">
        <f>MAX(A$4:A94)+1</f>
        <v>84</v>
      </c>
      <c r="B95" s="177">
        <f t="shared" si="1"/>
        <v>12</v>
      </c>
      <c r="C95" s="111" t="s">
        <v>1274</v>
      </c>
      <c r="D95" s="178">
        <v>1</v>
      </c>
    </row>
    <row r="96" spans="1:4" ht="32" x14ac:dyDescent="0.2">
      <c r="A96" s="178">
        <f>MAX(A$4:A95)+1</f>
        <v>85</v>
      </c>
      <c r="B96" s="177">
        <f t="shared" si="1"/>
        <v>13</v>
      </c>
      <c r="C96" s="111" t="s">
        <v>1275</v>
      </c>
      <c r="D96" s="178">
        <v>1</v>
      </c>
    </row>
    <row r="97" spans="1:4" ht="16" x14ac:dyDescent="0.2">
      <c r="A97" s="178">
        <f>MAX(A$4:A96)+1</f>
        <v>86</v>
      </c>
      <c r="B97" s="177">
        <f t="shared" si="1"/>
        <v>14</v>
      </c>
      <c r="C97" s="111" t="s">
        <v>2085</v>
      </c>
      <c r="D97" s="178">
        <v>1</v>
      </c>
    </row>
    <row r="98" spans="1:4" ht="16" x14ac:dyDescent="0.2">
      <c r="A98" s="178">
        <f>MAX(A$4:A97)+1</f>
        <v>87</v>
      </c>
      <c r="B98" s="177">
        <f t="shared" si="1"/>
        <v>15</v>
      </c>
      <c r="C98" s="111" t="s">
        <v>2086</v>
      </c>
      <c r="D98" s="178">
        <v>1</v>
      </c>
    </row>
    <row r="99" spans="1:4" ht="16" x14ac:dyDescent="0.2">
      <c r="A99" s="178">
        <f>MAX(A$4:A98)+1</f>
        <v>88</v>
      </c>
      <c r="B99" s="177">
        <f t="shared" si="1"/>
        <v>16</v>
      </c>
      <c r="C99" s="111" t="s">
        <v>2166</v>
      </c>
      <c r="D99" s="178">
        <v>1</v>
      </c>
    </row>
    <row r="100" spans="1:4" ht="16" x14ac:dyDescent="0.2">
      <c r="A100" s="178">
        <f>MAX(A$4:A99)+1</f>
        <v>89</v>
      </c>
      <c r="B100" s="177">
        <f t="shared" si="1"/>
        <v>17</v>
      </c>
      <c r="C100" s="111" t="s">
        <v>2167</v>
      </c>
      <c r="D100" s="178">
        <v>1</v>
      </c>
    </row>
    <row r="101" spans="1:4" ht="16" x14ac:dyDescent="0.2">
      <c r="A101" s="178">
        <f>MAX(A$4:A100)+1</f>
        <v>90</v>
      </c>
      <c r="B101" s="177">
        <f t="shared" si="1"/>
        <v>18</v>
      </c>
      <c r="C101" s="111" t="s">
        <v>2271</v>
      </c>
      <c r="D101" s="178">
        <v>1</v>
      </c>
    </row>
    <row r="102" spans="1:4" x14ac:dyDescent="0.2">
      <c r="A102" s="229" t="s">
        <v>1090</v>
      </c>
      <c r="B102" s="230"/>
      <c r="C102" s="230"/>
      <c r="D102" s="231"/>
    </row>
    <row r="103" spans="1:4" ht="16" x14ac:dyDescent="0.2">
      <c r="A103" s="178">
        <f>MAX(A$4:A102)+1</f>
        <v>91</v>
      </c>
      <c r="B103" s="177">
        <f t="shared" ref="B103:B105" si="2">B102+1</f>
        <v>1</v>
      </c>
      <c r="C103" s="111" t="s">
        <v>1034</v>
      </c>
      <c r="D103" s="178">
        <v>1</v>
      </c>
    </row>
    <row r="104" spans="1:4" ht="16" x14ac:dyDescent="0.2">
      <c r="A104" s="178">
        <f>MAX(A$4:A103)+1</f>
        <v>92</v>
      </c>
      <c r="B104" s="177">
        <f t="shared" si="2"/>
        <v>2</v>
      </c>
      <c r="C104" s="111" t="s">
        <v>1033</v>
      </c>
      <c r="D104" s="178">
        <v>1</v>
      </c>
    </row>
    <row r="105" spans="1:4" ht="16" x14ac:dyDescent="0.2">
      <c r="A105" s="178">
        <f>MAX(A$4:A104)+1</f>
        <v>93</v>
      </c>
      <c r="B105" s="177">
        <f t="shared" si="2"/>
        <v>3</v>
      </c>
      <c r="C105" s="111" t="s">
        <v>1276</v>
      </c>
      <c r="D105" s="178">
        <v>1</v>
      </c>
    </row>
    <row r="106" spans="1:4" x14ac:dyDescent="0.2">
      <c r="A106" s="229" t="s">
        <v>1091</v>
      </c>
      <c r="B106" s="230"/>
      <c r="C106" s="230"/>
      <c r="D106" s="231"/>
    </row>
    <row r="107" spans="1:4" ht="16" x14ac:dyDescent="0.2">
      <c r="A107" s="178">
        <f>MAX(A$4:A106)+1</f>
        <v>94</v>
      </c>
      <c r="B107" s="177">
        <f t="shared" ref="B107:B141" si="3">B106+1</f>
        <v>1</v>
      </c>
      <c r="C107" s="111" t="s">
        <v>1277</v>
      </c>
      <c r="D107" s="178">
        <v>1</v>
      </c>
    </row>
    <row r="108" spans="1:4" ht="16" x14ac:dyDescent="0.2">
      <c r="A108" s="178">
        <f>MAX(A$4:A107)+1</f>
        <v>95</v>
      </c>
      <c r="B108" s="177">
        <f t="shared" si="3"/>
        <v>2</v>
      </c>
      <c r="C108" s="111" t="s">
        <v>1278</v>
      </c>
      <c r="D108" s="178">
        <v>1</v>
      </c>
    </row>
    <row r="109" spans="1:4" ht="16" x14ac:dyDescent="0.2">
      <c r="A109" s="178">
        <f>MAX(A$4:A108)+1</f>
        <v>96</v>
      </c>
      <c r="B109" s="177">
        <f t="shared" si="3"/>
        <v>3</v>
      </c>
      <c r="C109" s="179" t="s">
        <v>1040</v>
      </c>
      <c r="D109" s="178">
        <v>1</v>
      </c>
    </row>
    <row r="110" spans="1:4" ht="16" x14ac:dyDescent="0.2">
      <c r="A110" s="178">
        <f>MAX(A$4:A109)+1</f>
        <v>97</v>
      </c>
      <c r="B110" s="177">
        <f t="shared" si="3"/>
        <v>4</v>
      </c>
      <c r="C110" s="111" t="s">
        <v>1047</v>
      </c>
      <c r="D110" s="178">
        <v>1</v>
      </c>
    </row>
    <row r="111" spans="1:4" ht="16" x14ac:dyDescent="0.2">
      <c r="A111" s="178">
        <f>MAX(A$4:A110)+1</f>
        <v>98</v>
      </c>
      <c r="B111" s="177">
        <f t="shared" si="3"/>
        <v>5</v>
      </c>
      <c r="C111" s="111" t="s">
        <v>1037</v>
      </c>
      <c r="D111" s="178">
        <v>1</v>
      </c>
    </row>
    <row r="112" spans="1:4" ht="16" x14ac:dyDescent="0.2">
      <c r="A112" s="178">
        <f>MAX(A$4:A111)+1</f>
        <v>99</v>
      </c>
      <c r="B112" s="177">
        <f t="shared" si="3"/>
        <v>6</v>
      </c>
      <c r="C112" s="111" t="s">
        <v>1038</v>
      </c>
      <c r="D112" s="178">
        <v>1</v>
      </c>
    </row>
    <row r="113" spans="1:4" ht="16" x14ac:dyDescent="0.2">
      <c r="A113" s="178">
        <f>MAX(A$4:A112)+1</f>
        <v>100</v>
      </c>
      <c r="B113" s="177">
        <f t="shared" si="3"/>
        <v>7</v>
      </c>
      <c r="C113" s="111" t="s">
        <v>1279</v>
      </c>
      <c r="D113" s="178">
        <v>1</v>
      </c>
    </row>
    <row r="114" spans="1:4" ht="16" x14ac:dyDescent="0.2">
      <c r="A114" s="178">
        <f>MAX(A$4:A113)+1</f>
        <v>101</v>
      </c>
      <c r="B114" s="177">
        <f t="shared" si="3"/>
        <v>8</v>
      </c>
      <c r="C114" s="186" t="s">
        <v>1280</v>
      </c>
      <c r="D114" s="178">
        <v>1</v>
      </c>
    </row>
    <row r="115" spans="1:4" ht="16" x14ac:dyDescent="0.2">
      <c r="A115" s="178">
        <f>MAX(A$4:A114)+1</f>
        <v>102</v>
      </c>
      <c r="B115" s="177">
        <f t="shared" si="3"/>
        <v>9</v>
      </c>
      <c r="C115" s="186" t="s">
        <v>1281</v>
      </c>
      <c r="D115" s="178">
        <v>1</v>
      </c>
    </row>
    <row r="116" spans="1:4" ht="16" x14ac:dyDescent="0.2">
      <c r="A116" s="178">
        <f>MAX(A$4:A115)+1</f>
        <v>103</v>
      </c>
      <c r="B116" s="177">
        <f t="shared" si="3"/>
        <v>10</v>
      </c>
      <c r="C116" s="189" t="s">
        <v>1282</v>
      </c>
      <c r="D116" s="178">
        <v>3</v>
      </c>
    </row>
    <row r="117" spans="1:4" ht="32" x14ac:dyDescent="0.2">
      <c r="A117" s="178">
        <f>MAX(A$4:A116)+1</f>
        <v>104</v>
      </c>
      <c r="B117" s="177">
        <f t="shared" si="3"/>
        <v>11</v>
      </c>
      <c r="C117" s="189" t="s">
        <v>2326</v>
      </c>
      <c r="D117" s="178">
        <v>3</v>
      </c>
    </row>
    <row r="118" spans="1:4" ht="32" x14ac:dyDescent="0.2">
      <c r="A118" s="178">
        <f>MAX(A$4:A117)+1</f>
        <v>105</v>
      </c>
      <c r="B118" s="177">
        <f t="shared" si="3"/>
        <v>12</v>
      </c>
      <c r="C118" s="189" t="s">
        <v>1283</v>
      </c>
      <c r="D118" s="178">
        <v>1</v>
      </c>
    </row>
    <row r="119" spans="1:4" ht="16" x14ac:dyDescent="0.2">
      <c r="A119" s="178">
        <f>MAX(A$4:A118)+1</f>
        <v>106</v>
      </c>
      <c r="B119" s="177">
        <f t="shared" si="3"/>
        <v>13</v>
      </c>
      <c r="C119" s="189" t="s">
        <v>1284</v>
      </c>
      <c r="D119" s="178">
        <v>1</v>
      </c>
    </row>
    <row r="120" spans="1:4" ht="32" x14ac:dyDescent="0.2">
      <c r="A120" s="178">
        <f>MAX(A$4:A119)+1</f>
        <v>107</v>
      </c>
      <c r="B120" s="177">
        <f t="shared" si="3"/>
        <v>14</v>
      </c>
      <c r="C120" s="189" t="s">
        <v>1285</v>
      </c>
      <c r="D120" s="178">
        <v>3</v>
      </c>
    </row>
    <row r="121" spans="1:4" ht="16" x14ac:dyDescent="0.2">
      <c r="A121" s="178">
        <f>MAX(A$4:A120)+1</f>
        <v>108</v>
      </c>
      <c r="B121" s="177">
        <f t="shared" si="3"/>
        <v>15</v>
      </c>
      <c r="C121" s="111" t="s">
        <v>1056</v>
      </c>
      <c r="D121" s="178">
        <v>1</v>
      </c>
    </row>
    <row r="122" spans="1:4" ht="16" x14ac:dyDescent="0.2">
      <c r="A122" s="178">
        <f>MAX(A$4:A121)+1</f>
        <v>109</v>
      </c>
      <c r="B122" s="177">
        <f t="shared" si="3"/>
        <v>16</v>
      </c>
      <c r="C122" s="111" t="s">
        <v>1054</v>
      </c>
      <c r="D122" s="178">
        <v>1</v>
      </c>
    </row>
    <row r="123" spans="1:4" ht="16" x14ac:dyDescent="0.2">
      <c r="A123" s="178">
        <f>MAX(A$4:A122)+1</f>
        <v>110</v>
      </c>
      <c r="B123" s="177">
        <f t="shared" si="3"/>
        <v>17</v>
      </c>
      <c r="C123" s="111" t="s">
        <v>1055</v>
      </c>
      <c r="D123" s="178">
        <v>1</v>
      </c>
    </row>
    <row r="124" spans="1:4" ht="16" x14ac:dyDescent="0.2">
      <c r="A124" s="178">
        <f>MAX(A$4:A123)+1</f>
        <v>111</v>
      </c>
      <c r="B124" s="177">
        <f t="shared" si="3"/>
        <v>18</v>
      </c>
      <c r="C124" s="111" t="s">
        <v>1057</v>
      </c>
      <c r="D124" s="178">
        <v>1</v>
      </c>
    </row>
    <row r="125" spans="1:4" ht="16" x14ac:dyDescent="0.2">
      <c r="A125" s="178">
        <f>MAX(A$4:A124)+1</f>
        <v>112</v>
      </c>
      <c r="B125" s="177">
        <f t="shared" si="3"/>
        <v>19</v>
      </c>
      <c r="C125" s="111" t="s">
        <v>1039</v>
      </c>
      <c r="D125" s="178">
        <v>1</v>
      </c>
    </row>
    <row r="126" spans="1:4" ht="16" x14ac:dyDescent="0.2">
      <c r="A126" s="178">
        <f>MAX(A$4:A125)+1</f>
        <v>113</v>
      </c>
      <c r="B126" s="177">
        <f t="shared" si="3"/>
        <v>20</v>
      </c>
      <c r="C126" s="111" t="s">
        <v>1043</v>
      </c>
      <c r="D126" s="178">
        <v>1</v>
      </c>
    </row>
    <row r="127" spans="1:4" ht="16" x14ac:dyDescent="0.2">
      <c r="A127" s="178">
        <f>MAX(A$4:A126)+1</f>
        <v>114</v>
      </c>
      <c r="B127" s="177">
        <f t="shared" si="3"/>
        <v>21</v>
      </c>
      <c r="C127" s="111" t="s">
        <v>1059</v>
      </c>
      <c r="D127" s="178">
        <v>1</v>
      </c>
    </row>
    <row r="128" spans="1:4" ht="16" x14ac:dyDescent="0.2">
      <c r="A128" s="178">
        <f>MAX(A$4:A127)+1</f>
        <v>115</v>
      </c>
      <c r="B128" s="177">
        <f t="shared" si="3"/>
        <v>22</v>
      </c>
      <c r="C128" s="111" t="s">
        <v>1060</v>
      </c>
      <c r="D128" s="178">
        <v>1</v>
      </c>
    </row>
    <row r="129" spans="1:4" ht="16" x14ac:dyDescent="0.2">
      <c r="A129" s="178">
        <f>MAX(A$4:A128)+1</f>
        <v>116</v>
      </c>
      <c r="B129" s="177">
        <f t="shared" si="3"/>
        <v>23</v>
      </c>
      <c r="C129" s="111" t="s">
        <v>1061</v>
      </c>
      <c r="D129" s="178">
        <v>1</v>
      </c>
    </row>
    <row r="130" spans="1:4" ht="16" x14ac:dyDescent="0.2">
      <c r="A130" s="178">
        <f>MAX(A$4:A129)+1</f>
        <v>117</v>
      </c>
      <c r="B130" s="177">
        <f t="shared" si="3"/>
        <v>24</v>
      </c>
      <c r="C130" s="111" t="s">
        <v>1052</v>
      </c>
      <c r="D130" s="178">
        <v>1</v>
      </c>
    </row>
    <row r="131" spans="1:4" ht="16" x14ac:dyDescent="0.2">
      <c r="A131" s="178">
        <f>MAX(A$4:A130)+1</f>
        <v>118</v>
      </c>
      <c r="B131" s="177">
        <f t="shared" si="3"/>
        <v>25</v>
      </c>
      <c r="C131" s="111" t="s">
        <v>1045</v>
      </c>
      <c r="D131" s="178">
        <v>1</v>
      </c>
    </row>
    <row r="132" spans="1:4" ht="16" x14ac:dyDescent="0.2">
      <c r="A132" s="178">
        <f>MAX(A$4:A131)+1</f>
        <v>119</v>
      </c>
      <c r="B132" s="177">
        <f t="shared" si="3"/>
        <v>26</v>
      </c>
      <c r="C132" s="111" t="s">
        <v>1041</v>
      </c>
      <c r="D132" s="178">
        <v>1</v>
      </c>
    </row>
    <row r="133" spans="1:4" ht="16" x14ac:dyDescent="0.2">
      <c r="A133" s="178">
        <f>MAX(A$4:A132)+1</f>
        <v>120</v>
      </c>
      <c r="B133" s="177">
        <f t="shared" si="3"/>
        <v>27</v>
      </c>
      <c r="C133" s="111" t="s">
        <v>1048</v>
      </c>
      <c r="D133" s="178">
        <v>1</v>
      </c>
    </row>
    <row r="134" spans="1:4" ht="16" x14ac:dyDescent="0.2">
      <c r="A134" s="178">
        <f>MAX(A$4:A133)+1</f>
        <v>121</v>
      </c>
      <c r="B134" s="177">
        <f t="shared" si="3"/>
        <v>28</v>
      </c>
      <c r="C134" s="111" t="s">
        <v>1035</v>
      </c>
      <c r="D134" s="178">
        <v>1</v>
      </c>
    </row>
    <row r="135" spans="1:4" ht="16" x14ac:dyDescent="0.2">
      <c r="A135" s="178">
        <f>MAX(A$4:A134)+1</f>
        <v>122</v>
      </c>
      <c r="B135" s="177">
        <f t="shared" si="3"/>
        <v>29</v>
      </c>
      <c r="C135" s="111" t="s">
        <v>1049</v>
      </c>
      <c r="D135" s="178">
        <v>1</v>
      </c>
    </row>
    <row r="136" spans="1:4" ht="16" x14ac:dyDescent="0.2">
      <c r="A136" s="178">
        <f>MAX(A$4:A135)+1</f>
        <v>123</v>
      </c>
      <c r="B136" s="177">
        <f t="shared" si="3"/>
        <v>30</v>
      </c>
      <c r="C136" s="111" t="s">
        <v>1042</v>
      </c>
      <c r="D136" s="178">
        <v>1</v>
      </c>
    </row>
    <row r="137" spans="1:4" ht="16" x14ac:dyDescent="0.2">
      <c r="A137" s="178">
        <f>MAX(A$4:A136)+1</f>
        <v>124</v>
      </c>
      <c r="B137" s="177">
        <f t="shared" si="3"/>
        <v>31</v>
      </c>
      <c r="C137" s="111" t="s">
        <v>1044</v>
      </c>
      <c r="D137" s="178">
        <v>1</v>
      </c>
    </row>
    <row r="138" spans="1:4" ht="32" x14ac:dyDescent="0.2">
      <c r="A138" s="178">
        <f>MAX(A$4:A137)+1</f>
        <v>125</v>
      </c>
      <c r="B138" s="177">
        <f t="shared" si="3"/>
        <v>32</v>
      </c>
      <c r="C138" s="111" t="s">
        <v>1058</v>
      </c>
      <c r="D138" s="178">
        <v>1</v>
      </c>
    </row>
    <row r="139" spans="1:4" ht="16" x14ac:dyDescent="0.2">
      <c r="A139" s="178">
        <f>MAX(A$4:A138)+1</f>
        <v>126</v>
      </c>
      <c r="B139" s="177">
        <f t="shared" si="3"/>
        <v>33</v>
      </c>
      <c r="C139" s="111" t="s">
        <v>1062</v>
      </c>
      <c r="D139" s="178">
        <v>1</v>
      </c>
    </row>
    <row r="140" spans="1:4" ht="16" x14ac:dyDescent="0.2">
      <c r="A140" s="178">
        <f>MAX(A$4:A139)+1</f>
        <v>127</v>
      </c>
      <c r="B140" s="177">
        <f t="shared" si="3"/>
        <v>34</v>
      </c>
      <c r="C140" s="179" t="s">
        <v>1286</v>
      </c>
      <c r="D140" s="178">
        <v>3</v>
      </c>
    </row>
    <row r="141" spans="1:4" ht="32" x14ac:dyDescent="0.2">
      <c r="A141" s="178">
        <f>MAX(A$4:A140)+1</f>
        <v>128</v>
      </c>
      <c r="B141" s="177">
        <f t="shared" si="3"/>
        <v>35</v>
      </c>
      <c r="C141" s="179" t="s">
        <v>1306</v>
      </c>
      <c r="D141" s="178">
        <v>3</v>
      </c>
    </row>
    <row r="142" spans="1:4" x14ac:dyDescent="0.2">
      <c r="A142" s="229" t="s">
        <v>1092</v>
      </c>
      <c r="B142" s="230"/>
      <c r="C142" s="230"/>
      <c r="D142" s="231"/>
    </row>
    <row r="143" spans="1:4" ht="16" x14ac:dyDescent="0.2">
      <c r="A143" s="178">
        <f>MAX(A$4:A142)+1</f>
        <v>129</v>
      </c>
      <c r="B143" s="177">
        <f t="shared" ref="B143:B148" si="4">B142+1</f>
        <v>1</v>
      </c>
      <c r="C143" s="111" t="s">
        <v>1287</v>
      </c>
      <c r="D143" s="178">
        <v>1</v>
      </c>
    </row>
    <row r="144" spans="1:4" ht="32" x14ac:dyDescent="0.2">
      <c r="A144" s="178">
        <f>MAX(A$4:A143)+1</f>
        <v>130</v>
      </c>
      <c r="B144" s="177">
        <f t="shared" si="4"/>
        <v>2</v>
      </c>
      <c r="C144" s="111" t="s">
        <v>1665</v>
      </c>
      <c r="D144" s="178">
        <v>1</v>
      </c>
    </row>
    <row r="145" spans="1:4" ht="32" x14ac:dyDescent="0.2">
      <c r="A145" s="178">
        <f>MAX(A$4:A144)+1</f>
        <v>131</v>
      </c>
      <c r="B145" s="177">
        <f t="shared" si="4"/>
        <v>3</v>
      </c>
      <c r="C145" s="111" t="s">
        <v>1288</v>
      </c>
      <c r="D145" s="178">
        <v>1</v>
      </c>
    </row>
    <row r="146" spans="1:4" ht="16" x14ac:dyDescent="0.2">
      <c r="A146" s="178">
        <f>MAX(A$4:A145)+1</f>
        <v>132</v>
      </c>
      <c r="B146" s="177">
        <f t="shared" si="4"/>
        <v>4</v>
      </c>
      <c r="C146" s="111" t="s">
        <v>1666</v>
      </c>
      <c r="D146" s="178">
        <v>1</v>
      </c>
    </row>
    <row r="147" spans="1:4" ht="32" x14ac:dyDescent="0.2">
      <c r="A147" s="178">
        <f>MAX(A$4:A146)+1</f>
        <v>133</v>
      </c>
      <c r="B147" s="177">
        <f t="shared" si="4"/>
        <v>5</v>
      </c>
      <c r="C147" s="111" t="s">
        <v>1667</v>
      </c>
      <c r="D147" s="178">
        <v>1</v>
      </c>
    </row>
    <row r="148" spans="1:4" ht="16" x14ac:dyDescent="0.2">
      <c r="A148" s="178">
        <f>MAX(A$4:A147)+1</f>
        <v>134</v>
      </c>
      <c r="B148" s="177">
        <f t="shared" si="4"/>
        <v>6</v>
      </c>
      <c r="C148" s="111" t="s">
        <v>1668</v>
      </c>
      <c r="D148" s="178">
        <v>1</v>
      </c>
    </row>
    <row r="149" spans="1:4" x14ac:dyDescent="0.2">
      <c r="A149" s="229" t="s">
        <v>1093</v>
      </c>
      <c r="B149" s="230"/>
      <c r="C149" s="230"/>
      <c r="D149" s="231"/>
    </row>
    <row r="150" spans="1:4" ht="32" x14ac:dyDescent="0.2">
      <c r="A150" s="178">
        <f>MAX(A$4:A149)+1</f>
        <v>135</v>
      </c>
      <c r="B150" s="177">
        <f t="shared" ref="B150:B160" si="5">B149+1</f>
        <v>1</v>
      </c>
      <c r="C150" s="111" t="s">
        <v>1908</v>
      </c>
      <c r="D150" s="178">
        <v>1</v>
      </c>
    </row>
    <row r="151" spans="1:4" ht="16" x14ac:dyDescent="0.2">
      <c r="A151" s="178">
        <f>MAX(A$4:A150)+1</f>
        <v>136</v>
      </c>
      <c r="B151" s="177">
        <f t="shared" si="5"/>
        <v>2</v>
      </c>
      <c r="C151" s="111" t="s">
        <v>1909</v>
      </c>
      <c r="D151" s="178">
        <v>1</v>
      </c>
    </row>
    <row r="152" spans="1:4" ht="16" x14ac:dyDescent="0.2">
      <c r="A152" s="178">
        <f>MAX(A$4:A151)+1</f>
        <v>137</v>
      </c>
      <c r="B152" s="177">
        <f t="shared" si="5"/>
        <v>3</v>
      </c>
      <c r="C152" s="111" t="s">
        <v>1910</v>
      </c>
      <c r="D152" s="178">
        <v>1</v>
      </c>
    </row>
    <row r="153" spans="1:4" ht="16" x14ac:dyDescent="0.2">
      <c r="A153" s="178">
        <f>MAX(A$4:A152)+1</f>
        <v>138</v>
      </c>
      <c r="B153" s="177">
        <f t="shared" si="5"/>
        <v>4</v>
      </c>
      <c r="C153" s="111" t="s">
        <v>1911</v>
      </c>
      <c r="D153" s="178">
        <v>1</v>
      </c>
    </row>
    <row r="154" spans="1:4" ht="16" x14ac:dyDescent="0.2">
      <c r="A154" s="178">
        <f>MAX(A$4:A153)+1</f>
        <v>139</v>
      </c>
      <c r="B154" s="177">
        <f t="shared" si="5"/>
        <v>5</v>
      </c>
      <c r="C154" s="111" t="s">
        <v>1912</v>
      </c>
      <c r="D154" s="178">
        <v>1</v>
      </c>
    </row>
    <row r="155" spans="1:4" ht="32" x14ac:dyDescent="0.2">
      <c r="A155" s="178">
        <f>MAX(A$4:A154)+1</f>
        <v>140</v>
      </c>
      <c r="B155" s="177">
        <f t="shared" si="5"/>
        <v>6</v>
      </c>
      <c r="C155" s="111" t="s">
        <v>1913</v>
      </c>
      <c r="D155" s="178">
        <v>1</v>
      </c>
    </row>
    <row r="156" spans="1:4" ht="16" x14ac:dyDescent="0.2">
      <c r="A156" s="178">
        <f>MAX(A$4:A155)+1</f>
        <v>141</v>
      </c>
      <c r="B156" s="177">
        <f t="shared" si="5"/>
        <v>7</v>
      </c>
      <c r="C156" s="111" t="s">
        <v>1914</v>
      </c>
      <c r="D156" s="178">
        <v>1</v>
      </c>
    </row>
    <row r="157" spans="1:4" ht="16" x14ac:dyDescent="0.2">
      <c r="A157" s="178">
        <f>MAX(A$4:A156)+1</f>
        <v>142</v>
      </c>
      <c r="B157" s="177">
        <f t="shared" si="5"/>
        <v>8</v>
      </c>
      <c r="C157" s="111" t="s">
        <v>1915</v>
      </c>
      <c r="D157" s="178">
        <v>1</v>
      </c>
    </row>
    <row r="158" spans="1:4" ht="16" x14ac:dyDescent="0.2">
      <c r="A158" s="178">
        <f>MAX(A$4:A157)+1</f>
        <v>143</v>
      </c>
      <c r="B158" s="177">
        <f t="shared" si="5"/>
        <v>9</v>
      </c>
      <c r="C158" s="111" t="s">
        <v>1916</v>
      </c>
      <c r="D158" s="178">
        <v>1</v>
      </c>
    </row>
    <row r="159" spans="1:4" ht="16" x14ac:dyDescent="0.2">
      <c r="A159" s="178">
        <f>MAX(A$4:A158)+1</f>
        <v>144</v>
      </c>
      <c r="B159" s="177">
        <f t="shared" si="5"/>
        <v>10</v>
      </c>
      <c r="C159" s="111" t="s">
        <v>1917</v>
      </c>
      <c r="D159" s="178">
        <v>1</v>
      </c>
    </row>
    <row r="160" spans="1:4" ht="32" x14ac:dyDescent="0.2">
      <c r="A160" s="178">
        <f>MAX(A$4:A159)+1</f>
        <v>145</v>
      </c>
      <c r="B160" s="177">
        <f t="shared" si="5"/>
        <v>11</v>
      </c>
      <c r="C160" s="111" t="s">
        <v>2191</v>
      </c>
      <c r="D160" s="178">
        <v>1</v>
      </c>
    </row>
    <row r="161" spans="1:4" x14ac:dyDescent="0.2">
      <c r="A161" s="229" t="s">
        <v>1094</v>
      </c>
      <c r="B161" s="230"/>
      <c r="C161" s="230"/>
      <c r="D161" s="231"/>
    </row>
    <row r="162" spans="1:4" ht="16" x14ac:dyDescent="0.2">
      <c r="A162" s="178">
        <f>MAX(A$4:A161)+1</f>
        <v>146</v>
      </c>
      <c r="B162" s="177">
        <f t="shared" ref="B162:B173" si="6">B161+1</f>
        <v>1</v>
      </c>
      <c r="C162" s="111" t="s">
        <v>2168</v>
      </c>
      <c r="D162" s="178">
        <v>1</v>
      </c>
    </row>
    <row r="163" spans="1:4" ht="16" x14ac:dyDescent="0.2">
      <c r="A163" s="178">
        <f>MAX(A$4:A162)+1</f>
        <v>147</v>
      </c>
      <c r="B163" s="177">
        <f t="shared" si="6"/>
        <v>2</v>
      </c>
      <c r="C163" s="111" t="s">
        <v>2169</v>
      </c>
      <c r="D163" s="178">
        <v>1</v>
      </c>
    </row>
    <row r="164" spans="1:4" ht="16" x14ac:dyDescent="0.2">
      <c r="A164" s="178">
        <f>MAX(A$4:A163)+1</f>
        <v>148</v>
      </c>
      <c r="B164" s="177">
        <f t="shared" si="6"/>
        <v>3</v>
      </c>
      <c r="C164" s="111" t="s">
        <v>2170</v>
      </c>
      <c r="D164" s="178">
        <v>1</v>
      </c>
    </row>
    <row r="165" spans="1:4" ht="16" x14ac:dyDescent="0.2">
      <c r="A165" s="178">
        <f>MAX(A$4:A164)+1</f>
        <v>149</v>
      </c>
      <c r="B165" s="177">
        <f t="shared" si="6"/>
        <v>4</v>
      </c>
      <c r="C165" s="111" t="s">
        <v>2171</v>
      </c>
      <c r="D165" s="178">
        <v>1</v>
      </c>
    </row>
    <row r="166" spans="1:4" ht="16" x14ac:dyDescent="0.2">
      <c r="A166" s="178">
        <f>MAX(A$4:A165)+1</f>
        <v>150</v>
      </c>
      <c r="B166" s="177">
        <f t="shared" si="6"/>
        <v>5</v>
      </c>
      <c r="C166" s="111" t="s">
        <v>2172</v>
      </c>
      <c r="D166" s="178">
        <v>1</v>
      </c>
    </row>
    <row r="167" spans="1:4" ht="32" x14ac:dyDescent="0.2">
      <c r="A167" s="178">
        <f>MAX(A$4:A166)+1</f>
        <v>151</v>
      </c>
      <c r="B167" s="177">
        <f t="shared" si="6"/>
        <v>6</v>
      </c>
      <c r="C167" s="111" t="s">
        <v>2173</v>
      </c>
      <c r="D167" s="178">
        <v>1</v>
      </c>
    </row>
    <row r="168" spans="1:4" ht="16" x14ac:dyDescent="0.2">
      <c r="A168" s="178">
        <f>MAX(A$4:A167)+1</f>
        <v>152</v>
      </c>
      <c r="B168" s="177">
        <f t="shared" si="6"/>
        <v>7</v>
      </c>
      <c r="C168" s="111" t="s">
        <v>2174</v>
      </c>
      <c r="D168" s="178">
        <v>1</v>
      </c>
    </row>
    <row r="169" spans="1:4" ht="16" x14ac:dyDescent="0.2">
      <c r="A169" s="178">
        <f>MAX(A$4:A168)+1</f>
        <v>153</v>
      </c>
      <c r="B169" s="177">
        <f t="shared" si="6"/>
        <v>8</v>
      </c>
      <c r="C169" s="111" t="s">
        <v>2175</v>
      </c>
      <c r="D169" s="178">
        <v>1</v>
      </c>
    </row>
    <row r="170" spans="1:4" ht="16" x14ac:dyDescent="0.2">
      <c r="A170" s="178">
        <f>MAX(A$4:A169)+1</f>
        <v>154</v>
      </c>
      <c r="B170" s="177">
        <f t="shared" si="6"/>
        <v>9</v>
      </c>
      <c r="C170" s="111" t="s">
        <v>2176</v>
      </c>
      <c r="D170" s="178">
        <v>1</v>
      </c>
    </row>
    <row r="171" spans="1:4" ht="16" x14ac:dyDescent="0.2">
      <c r="A171" s="178">
        <f>MAX(A$4:A170)+1</f>
        <v>155</v>
      </c>
      <c r="B171" s="177">
        <f t="shared" si="6"/>
        <v>10</v>
      </c>
      <c r="C171" s="111" t="s">
        <v>2177</v>
      </c>
      <c r="D171" s="178">
        <v>1</v>
      </c>
    </row>
    <row r="172" spans="1:4" ht="16" x14ac:dyDescent="0.2">
      <c r="A172" s="178">
        <f>MAX(A$4:A171)+1</f>
        <v>156</v>
      </c>
      <c r="B172" s="177">
        <f t="shared" si="6"/>
        <v>11</v>
      </c>
      <c r="C172" s="111" t="s">
        <v>2178</v>
      </c>
      <c r="D172" s="178">
        <v>1</v>
      </c>
    </row>
    <row r="173" spans="1:4" ht="16" x14ac:dyDescent="0.2">
      <c r="A173" s="178">
        <f>MAX(A$4:A172)+1</f>
        <v>157</v>
      </c>
      <c r="B173" s="177">
        <f t="shared" si="6"/>
        <v>12</v>
      </c>
      <c r="C173" s="111" t="s">
        <v>1942</v>
      </c>
      <c r="D173" s="178">
        <v>1</v>
      </c>
    </row>
    <row r="174" spans="1:4" x14ac:dyDescent="0.2">
      <c r="A174" s="229" t="s">
        <v>1714</v>
      </c>
      <c r="B174" s="230"/>
      <c r="C174" s="230"/>
      <c r="D174" s="231"/>
    </row>
    <row r="175" spans="1:4" ht="16" x14ac:dyDescent="0.2">
      <c r="A175" s="178">
        <f>MAX(A$4:A174)+1</f>
        <v>158</v>
      </c>
      <c r="B175" s="177">
        <f t="shared" ref="B175:B183" si="7">B174+1</f>
        <v>1</v>
      </c>
      <c r="C175" s="111" t="s">
        <v>1066</v>
      </c>
      <c r="D175" s="178">
        <v>1</v>
      </c>
    </row>
    <row r="176" spans="1:4" ht="16" x14ac:dyDescent="0.2">
      <c r="A176" s="178">
        <f>MAX(A$4:A175)+1</f>
        <v>159</v>
      </c>
      <c r="B176" s="177">
        <f t="shared" si="7"/>
        <v>2</v>
      </c>
      <c r="C176" s="111" t="s">
        <v>1067</v>
      </c>
      <c r="D176" s="178">
        <v>1</v>
      </c>
    </row>
    <row r="177" spans="1:4" ht="16" x14ac:dyDescent="0.2">
      <c r="A177" s="178">
        <f>MAX(A$4:A176)+1</f>
        <v>160</v>
      </c>
      <c r="B177" s="177">
        <f t="shared" si="7"/>
        <v>3</v>
      </c>
      <c r="C177" s="111" t="s">
        <v>1068</v>
      </c>
      <c r="D177" s="178">
        <v>1</v>
      </c>
    </row>
    <row r="178" spans="1:4" ht="16" x14ac:dyDescent="0.2">
      <c r="A178" s="178">
        <f>MAX(A$4:A177)+1</f>
        <v>161</v>
      </c>
      <c r="B178" s="177">
        <f t="shared" si="7"/>
        <v>4</v>
      </c>
      <c r="C178" s="111" t="s">
        <v>1069</v>
      </c>
      <c r="D178" s="178">
        <v>1</v>
      </c>
    </row>
    <row r="179" spans="1:4" ht="16" x14ac:dyDescent="0.2">
      <c r="A179" s="178">
        <f>MAX(A$4:A178)+1</f>
        <v>162</v>
      </c>
      <c r="B179" s="177">
        <f t="shared" si="7"/>
        <v>5</v>
      </c>
      <c r="C179" s="111" t="s">
        <v>1070</v>
      </c>
      <c r="D179" s="178">
        <v>1</v>
      </c>
    </row>
    <row r="180" spans="1:4" ht="16" x14ac:dyDescent="0.2">
      <c r="A180" s="178">
        <f>MAX(A$4:A179)+1</f>
        <v>163</v>
      </c>
      <c r="B180" s="177">
        <f t="shared" si="7"/>
        <v>6</v>
      </c>
      <c r="C180" s="111" t="s">
        <v>1071</v>
      </c>
      <c r="D180" s="178">
        <v>1</v>
      </c>
    </row>
    <row r="181" spans="1:4" ht="16" x14ac:dyDescent="0.2">
      <c r="A181" s="178">
        <f>MAX(A$4:A180)+1</f>
        <v>164</v>
      </c>
      <c r="B181" s="177">
        <f t="shared" si="7"/>
        <v>7</v>
      </c>
      <c r="C181" s="111" t="s">
        <v>1072</v>
      </c>
      <c r="D181" s="178">
        <v>1</v>
      </c>
    </row>
    <row r="182" spans="1:4" ht="16" x14ac:dyDescent="0.2">
      <c r="A182" s="178">
        <f>MAX(A$4:A181)+1</f>
        <v>165</v>
      </c>
      <c r="B182" s="177">
        <f t="shared" si="7"/>
        <v>8</v>
      </c>
      <c r="C182" s="111" t="s">
        <v>1073</v>
      </c>
      <c r="D182" s="178">
        <v>1</v>
      </c>
    </row>
    <row r="183" spans="1:4" ht="16" x14ac:dyDescent="0.2">
      <c r="A183" s="178">
        <f>MAX(A$4:A182)+1</f>
        <v>166</v>
      </c>
      <c r="B183" s="177">
        <f t="shared" si="7"/>
        <v>9</v>
      </c>
      <c r="C183" s="111" t="s">
        <v>1074</v>
      </c>
      <c r="D183" s="178">
        <v>1</v>
      </c>
    </row>
    <row r="184" spans="1:4" x14ac:dyDescent="0.2">
      <c r="A184" s="229" t="s">
        <v>1715</v>
      </c>
      <c r="B184" s="230"/>
      <c r="C184" s="230"/>
      <c r="D184" s="231"/>
    </row>
    <row r="185" spans="1:4" ht="16" x14ac:dyDescent="0.2">
      <c r="A185" s="178">
        <f>MAX(A$4:A184)+1</f>
        <v>167</v>
      </c>
      <c r="B185" s="177">
        <f t="shared" ref="B185:B192" si="8">B184+1</f>
        <v>1</v>
      </c>
      <c r="C185" s="111" t="s">
        <v>1889</v>
      </c>
      <c r="D185" s="178">
        <v>1</v>
      </c>
    </row>
    <row r="186" spans="1:4" ht="16" x14ac:dyDescent="0.2">
      <c r="A186" s="178">
        <f>MAX(A$4:A185)+1</f>
        <v>168</v>
      </c>
      <c r="B186" s="177">
        <f t="shared" si="8"/>
        <v>2</v>
      </c>
      <c r="C186" s="111" t="s">
        <v>1890</v>
      </c>
      <c r="D186" s="178">
        <v>1</v>
      </c>
    </row>
    <row r="187" spans="1:4" ht="16" x14ac:dyDescent="0.2">
      <c r="A187" s="178">
        <f>MAX(A$4:A186)+1</f>
        <v>169</v>
      </c>
      <c r="B187" s="177">
        <f t="shared" si="8"/>
        <v>3</v>
      </c>
      <c r="C187" s="111" t="s">
        <v>1324</v>
      </c>
      <c r="D187" s="178">
        <v>1</v>
      </c>
    </row>
    <row r="188" spans="1:4" ht="16" x14ac:dyDescent="0.2">
      <c r="A188" s="178">
        <f>MAX(A$4:A187)+1</f>
        <v>170</v>
      </c>
      <c r="B188" s="177">
        <f t="shared" si="8"/>
        <v>4</v>
      </c>
      <c r="C188" s="111" t="s">
        <v>1891</v>
      </c>
      <c r="D188" s="178">
        <v>1</v>
      </c>
    </row>
    <row r="189" spans="1:4" ht="16" x14ac:dyDescent="0.2">
      <c r="A189" s="178">
        <f>MAX(A$4:A188)+1</f>
        <v>171</v>
      </c>
      <c r="B189" s="177">
        <f t="shared" si="8"/>
        <v>5</v>
      </c>
      <c r="C189" s="111" t="s">
        <v>1325</v>
      </c>
      <c r="D189" s="178">
        <v>1</v>
      </c>
    </row>
    <row r="190" spans="1:4" ht="16" x14ac:dyDescent="0.2">
      <c r="A190" s="178">
        <f>MAX(A$4:A189)+1</f>
        <v>172</v>
      </c>
      <c r="B190" s="177">
        <f t="shared" si="8"/>
        <v>6</v>
      </c>
      <c r="C190" s="111" t="s">
        <v>1892</v>
      </c>
      <c r="D190" s="178">
        <v>1</v>
      </c>
    </row>
    <row r="191" spans="1:4" ht="16" x14ac:dyDescent="0.2">
      <c r="A191" s="178">
        <f>MAX(A$4:A190)+1</f>
        <v>173</v>
      </c>
      <c r="B191" s="177">
        <f t="shared" si="8"/>
        <v>7</v>
      </c>
      <c r="C191" s="111" t="s">
        <v>1893</v>
      </c>
      <c r="D191" s="178">
        <v>1</v>
      </c>
    </row>
    <row r="192" spans="1:4" ht="15.75" customHeight="1" x14ac:dyDescent="0.2">
      <c r="A192" s="178">
        <f>MAX(A$4:A191)+1</f>
        <v>174</v>
      </c>
      <c r="B192" s="177">
        <f t="shared" si="8"/>
        <v>8</v>
      </c>
      <c r="C192" s="111" t="s">
        <v>2110</v>
      </c>
      <c r="D192" s="178">
        <v>1</v>
      </c>
    </row>
    <row r="193" spans="1:4" x14ac:dyDescent="0.2">
      <c r="A193" s="229" t="s">
        <v>1716</v>
      </c>
      <c r="B193" s="230"/>
      <c r="C193" s="230"/>
      <c r="D193" s="231"/>
    </row>
    <row r="194" spans="1:4" ht="16" x14ac:dyDescent="0.2">
      <c r="A194" s="178">
        <f>MAX(A$4:A193)+1</f>
        <v>175</v>
      </c>
      <c r="B194" s="177">
        <f t="shared" ref="B194:B196" si="9">B193+1</f>
        <v>1</v>
      </c>
      <c r="C194" s="111" t="s">
        <v>1717</v>
      </c>
      <c r="D194" s="178">
        <v>1</v>
      </c>
    </row>
    <row r="195" spans="1:4" ht="16" x14ac:dyDescent="0.2">
      <c r="A195" s="178">
        <f>MAX(A$4:A194)+1</f>
        <v>176</v>
      </c>
      <c r="B195" s="177">
        <f t="shared" si="9"/>
        <v>2</v>
      </c>
      <c r="C195" s="111" t="s">
        <v>1718</v>
      </c>
      <c r="D195" s="178">
        <v>1</v>
      </c>
    </row>
    <row r="196" spans="1:4" ht="16" x14ac:dyDescent="0.2">
      <c r="A196" s="178">
        <f>MAX(A$4:A195)+1</f>
        <v>177</v>
      </c>
      <c r="B196" s="177">
        <f t="shared" si="9"/>
        <v>3</v>
      </c>
      <c r="C196" s="111" t="s">
        <v>1290</v>
      </c>
      <c r="D196" s="178">
        <v>1</v>
      </c>
    </row>
    <row r="197" spans="1:4" x14ac:dyDescent="0.2">
      <c r="A197" s="229" t="s">
        <v>2179</v>
      </c>
      <c r="B197" s="230"/>
      <c r="C197" s="230"/>
      <c r="D197" s="231"/>
    </row>
    <row r="198" spans="1:4" ht="16" x14ac:dyDescent="0.2">
      <c r="A198" s="178">
        <f>MAX(A$4:A197)+1</f>
        <v>178</v>
      </c>
      <c r="B198" s="177">
        <f t="shared" ref="B198:B204" si="10">B197+1</f>
        <v>1</v>
      </c>
      <c r="C198" s="111" t="s">
        <v>2087</v>
      </c>
      <c r="D198" s="178">
        <v>1</v>
      </c>
    </row>
    <row r="199" spans="1:4" ht="32" x14ac:dyDescent="0.2">
      <c r="A199" s="178">
        <f>MAX(A$4:A198)+1</f>
        <v>179</v>
      </c>
      <c r="B199" s="177">
        <f t="shared" si="10"/>
        <v>2</v>
      </c>
      <c r="C199" s="111" t="s">
        <v>2180</v>
      </c>
      <c r="D199" s="178">
        <v>1</v>
      </c>
    </row>
    <row r="200" spans="1:4" ht="32" x14ac:dyDescent="0.2">
      <c r="A200" s="178">
        <f>MAX(A$4:A199)+1</f>
        <v>180</v>
      </c>
      <c r="B200" s="177">
        <f t="shared" si="10"/>
        <v>3</v>
      </c>
      <c r="C200" s="111" t="s">
        <v>2181</v>
      </c>
      <c r="D200" s="178">
        <v>1</v>
      </c>
    </row>
    <row r="201" spans="1:4" ht="16" x14ac:dyDescent="0.2">
      <c r="A201" s="178">
        <f>MAX(A$4:A200)+1</f>
        <v>181</v>
      </c>
      <c r="B201" s="177">
        <f t="shared" si="10"/>
        <v>4</v>
      </c>
      <c r="C201" s="111" t="s">
        <v>2182</v>
      </c>
      <c r="D201" s="178">
        <v>1</v>
      </c>
    </row>
    <row r="202" spans="1:4" ht="16" x14ac:dyDescent="0.2">
      <c r="A202" s="178">
        <f>MAX(A$4:A200)+1</f>
        <v>181</v>
      </c>
      <c r="B202" s="177">
        <f t="shared" si="10"/>
        <v>5</v>
      </c>
      <c r="C202" s="111" t="s">
        <v>2183</v>
      </c>
      <c r="D202" s="178">
        <v>1</v>
      </c>
    </row>
    <row r="203" spans="1:4" ht="16" x14ac:dyDescent="0.2">
      <c r="A203" s="178">
        <f>MAX(A$4:A201)+1</f>
        <v>182</v>
      </c>
      <c r="B203" s="177">
        <f t="shared" si="10"/>
        <v>6</v>
      </c>
      <c r="C203" s="111" t="s">
        <v>2184</v>
      </c>
      <c r="D203" s="178">
        <v>1</v>
      </c>
    </row>
    <row r="204" spans="1:4" ht="16" x14ac:dyDescent="0.2">
      <c r="A204" s="178">
        <f>MAX(A$4:A202)+1</f>
        <v>182</v>
      </c>
      <c r="B204" s="177">
        <f t="shared" si="10"/>
        <v>7</v>
      </c>
      <c r="C204" s="111" t="s">
        <v>2185</v>
      </c>
      <c r="D204" s="178">
        <v>1</v>
      </c>
    </row>
    <row r="205" spans="1:4" x14ac:dyDescent="0.2">
      <c r="A205" s="229" t="s">
        <v>1719</v>
      </c>
      <c r="B205" s="230"/>
      <c r="C205" s="230"/>
      <c r="D205" s="231"/>
    </row>
    <row r="206" spans="1:4" ht="16" x14ac:dyDescent="0.2">
      <c r="A206" s="178">
        <f>MAX(A$4:A205)+1</f>
        <v>183</v>
      </c>
      <c r="B206" s="177">
        <f t="shared" ref="B206:B213" si="11">B205+1</f>
        <v>1</v>
      </c>
      <c r="C206" s="111" t="s">
        <v>1077</v>
      </c>
      <c r="D206" s="178">
        <v>1</v>
      </c>
    </row>
    <row r="207" spans="1:4" ht="16" x14ac:dyDescent="0.2">
      <c r="A207" s="178">
        <f>MAX(A$4:A206)+1</f>
        <v>184</v>
      </c>
      <c r="B207" s="177">
        <f t="shared" si="11"/>
        <v>2</v>
      </c>
      <c r="C207" s="111" t="s">
        <v>1078</v>
      </c>
      <c r="D207" s="178">
        <v>1</v>
      </c>
    </row>
    <row r="208" spans="1:4" ht="16" x14ac:dyDescent="0.2">
      <c r="A208" s="178">
        <f>MAX(A$4:A207)+1</f>
        <v>185</v>
      </c>
      <c r="B208" s="177">
        <f t="shared" si="11"/>
        <v>3</v>
      </c>
      <c r="C208" s="111" t="s">
        <v>2272</v>
      </c>
      <c r="D208" s="178">
        <v>1</v>
      </c>
    </row>
    <row r="209" spans="1:4" ht="16" x14ac:dyDescent="0.2">
      <c r="A209" s="178">
        <f>MAX(A$4:A208)+1</f>
        <v>186</v>
      </c>
      <c r="B209" s="177">
        <f t="shared" si="11"/>
        <v>4</v>
      </c>
      <c r="C209" s="111" t="s">
        <v>1079</v>
      </c>
      <c r="D209" s="178">
        <v>1</v>
      </c>
    </row>
    <row r="210" spans="1:4" ht="16" x14ac:dyDescent="0.2">
      <c r="A210" s="178">
        <f>MAX(A$4:A209)+1</f>
        <v>187</v>
      </c>
      <c r="B210" s="177">
        <f t="shared" si="11"/>
        <v>5</v>
      </c>
      <c r="C210" s="111" t="s">
        <v>1080</v>
      </c>
      <c r="D210" s="178">
        <v>1</v>
      </c>
    </row>
    <row r="211" spans="1:4" ht="16" x14ac:dyDescent="0.2">
      <c r="A211" s="178">
        <f>MAX(A$4:A210)+1</f>
        <v>188</v>
      </c>
      <c r="B211" s="177">
        <f t="shared" si="11"/>
        <v>6</v>
      </c>
      <c r="C211" s="111" t="s">
        <v>1081</v>
      </c>
      <c r="D211" s="178">
        <v>1</v>
      </c>
    </row>
    <row r="212" spans="1:4" ht="16" x14ac:dyDescent="0.2">
      <c r="A212" s="178">
        <f>MAX(A$4:A211)+1</f>
        <v>189</v>
      </c>
      <c r="B212" s="177">
        <f t="shared" si="11"/>
        <v>7</v>
      </c>
      <c r="C212" s="111" t="s">
        <v>1669</v>
      </c>
      <c r="D212" s="178">
        <v>1</v>
      </c>
    </row>
    <row r="213" spans="1:4" ht="16" x14ac:dyDescent="0.2">
      <c r="A213" s="178">
        <f>MAX(A$4:A212)+1</f>
        <v>190</v>
      </c>
      <c r="B213" s="177">
        <f t="shared" si="11"/>
        <v>8</v>
      </c>
      <c r="C213" s="111" t="s">
        <v>1670</v>
      </c>
      <c r="D213" s="178">
        <v>1</v>
      </c>
    </row>
    <row r="214" spans="1:4" x14ac:dyDescent="0.2">
      <c r="A214" s="229" t="s">
        <v>1720</v>
      </c>
      <c r="B214" s="230"/>
      <c r="C214" s="230"/>
      <c r="D214" s="231"/>
    </row>
    <row r="215" spans="1:4" ht="16" x14ac:dyDescent="0.2">
      <c r="A215" s="178">
        <f>MAX(A$4:A214)+1</f>
        <v>191</v>
      </c>
      <c r="B215" s="177">
        <f t="shared" ref="B215:B278" si="12">B214+1</f>
        <v>1</v>
      </c>
      <c r="C215" s="111" t="s">
        <v>1082</v>
      </c>
      <c r="D215" s="178">
        <v>1</v>
      </c>
    </row>
    <row r="216" spans="1:4" ht="16" x14ac:dyDescent="0.2">
      <c r="A216" s="178">
        <f>MAX(A$4:A215)+1</f>
        <v>192</v>
      </c>
      <c r="B216" s="177">
        <f t="shared" si="12"/>
        <v>2</v>
      </c>
      <c r="C216" s="111" t="s">
        <v>1083</v>
      </c>
      <c r="D216" s="178">
        <v>1</v>
      </c>
    </row>
    <row r="217" spans="1:4" ht="16" x14ac:dyDescent="0.2">
      <c r="A217" s="178">
        <f>MAX(A$4:A216)+1</f>
        <v>193</v>
      </c>
      <c r="B217" s="177">
        <f t="shared" si="12"/>
        <v>3</v>
      </c>
      <c r="C217" s="111" t="s">
        <v>1307</v>
      </c>
      <c r="D217" s="113">
        <v>2</v>
      </c>
    </row>
    <row r="218" spans="1:4" ht="16" x14ac:dyDescent="0.2">
      <c r="A218" s="178">
        <f>MAX(A$4:A217)+1</f>
        <v>194</v>
      </c>
      <c r="B218" s="177">
        <f t="shared" si="12"/>
        <v>4</v>
      </c>
      <c r="C218" s="111" t="s">
        <v>1308</v>
      </c>
      <c r="D218" s="113">
        <v>2</v>
      </c>
    </row>
    <row r="219" spans="1:4" ht="16" x14ac:dyDescent="0.2">
      <c r="A219" s="178">
        <f>MAX(A$4:A218)+1</f>
        <v>195</v>
      </c>
      <c r="B219" s="177">
        <f t="shared" si="12"/>
        <v>5</v>
      </c>
      <c r="C219" s="111" t="s">
        <v>1309</v>
      </c>
      <c r="D219" s="113">
        <v>2</v>
      </c>
    </row>
    <row r="220" spans="1:4" ht="16" x14ac:dyDescent="0.2">
      <c r="A220" s="178">
        <f>MAX(A$4:A219)+1</f>
        <v>196</v>
      </c>
      <c r="B220" s="177">
        <f t="shared" si="12"/>
        <v>6</v>
      </c>
      <c r="C220" s="111" t="s">
        <v>1310</v>
      </c>
      <c r="D220" s="113">
        <v>2</v>
      </c>
    </row>
    <row r="221" spans="1:4" ht="16" x14ac:dyDescent="0.2">
      <c r="A221" s="178">
        <f>MAX(A$4:A220)+1</f>
        <v>197</v>
      </c>
      <c r="B221" s="177">
        <f t="shared" si="12"/>
        <v>7</v>
      </c>
      <c r="C221" s="111" t="s">
        <v>1311</v>
      </c>
      <c r="D221" s="113">
        <v>2</v>
      </c>
    </row>
    <row r="222" spans="1:4" ht="16" x14ac:dyDescent="0.2">
      <c r="A222" s="178">
        <f>MAX(A$4:A221)+1</f>
        <v>198</v>
      </c>
      <c r="B222" s="177">
        <f t="shared" si="12"/>
        <v>8</v>
      </c>
      <c r="C222" s="111" t="s">
        <v>1312</v>
      </c>
      <c r="D222" s="113">
        <v>2</v>
      </c>
    </row>
    <row r="223" spans="1:4" x14ac:dyDescent="0.2">
      <c r="A223" s="229" t="s">
        <v>1721</v>
      </c>
      <c r="B223" s="230"/>
      <c r="C223" s="230"/>
      <c r="D223" s="231"/>
    </row>
    <row r="224" spans="1:4" ht="16" x14ac:dyDescent="0.2">
      <c r="A224" s="178">
        <f>MAX(A$4:A223)+1</f>
        <v>199</v>
      </c>
      <c r="B224" s="177">
        <f t="shared" si="12"/>
        <v>1</v>
      </c>
      <c r="C224" s="111" t="s">
        <v>1291</v>
      </c>
      <c r="D224" s="178">
        <v>1</v>
      </c>
    </row>
    <row r="225" spans="1:4" ht="16" x14ac:dyDescent="0.2">
      <c r="A225" s="178">
        <f>MAX(A$4:A224)+1</f>
        <v>200</v>
      </c>
      <c r="B225" s="177">
        <f t="shared" si="12"/>
        <v>2</v>
      </c>
      <c r="C225" s="111" t="s">
        <v>1292</v>
      </c>
      <c r="D225" s="178">
        <v>1</v>
      </c>
    </row>
    <row r="226" spans="1:4" ht="32" x14ac:dyDescent="0.2">
      <c r="A226" s="178">
        <f>MAX(A$4:A225)+1</f>
        <v>201</v>
      </c>
      <c r="B226" s="177">
        <f t="shared" si="12"/>
        <v>3</v>
      </c>
      <c r="C226" s="111" t="s">
        <v>1293</v>
      </c>
      <c r="D226" s="178">
        <v>1</v>
      </c>
    </row>
    <row r="227" spans="1:4" ht="32" x14ac:dyDescent="0.2">
      <c r="A227" s="178">
        <f>MAX(A$4:A226)+1</f>
        <v>202</v>
      </c>
      <c r="B227" s="177">
        <f t="shared" si="12"/>
        <v>4</v>
      </c>
      <c r="C227" s="111" t="s">
        <v>1294</v>
      </c>
      <c r="D227" s="178">
        <v>1</v>
      </c>
    </row>
    <row r="228" spans="1:4" ht="16" x14ac:dyDescent="0.2">
      <c r="A228" s="178">
        <f>MAX(A$4:A227)+1</f>
        <v>203</v>
      </c>
      <c r="B228" s="177">
        <f t="shared" si="12"/>
        <v>5</v>
      </c>
      <c r="C228" s="111" t="s">
        <v>277</v>
      </c>
      <c r="D228" s="178">
        <v>1</v>
      </c>
    </row>
    <row r="229" spans="1:4" x14ac:dyDescent="0.2">
      <c r="A229" s="229" t="s">
        <v>1722</v>
      </c>
      <c r="B229" s="230"/>
      <c r="C229" s="230"/>
      <c r="D229" s="231"/>
    </row>
    <row r="230" spans="1:4" ht="16" x14ac:dyDescent="0.2">
      <c r="A230" s="178">
        <f>MAX(A$4:A229)+1</f>
        <v>204</v>
      </c>
      <c r="B230" s="177">
        <f t="shared" si="12"/>
        <v>1</v>
      </c>
      <c r="C230" s="111" t="s">
        <v>1295</v>
      </c>
      <c r="D230" s="178">
        <v>2</v>
      </c>
    </row>
    <row r="231" spans="1:4" ht="32" x14ac:dyDescent="0.2">
      <c r="A231" s="178">
        <f>MAX(A$4:A230)+1</f>
        <v>205</v>
      </c>
      <c r="B231" s="177">
        <f t="shared" si="12"/>
        <v>2</v>
      </c>
      <c r="C231" s="111" t="s">
        <v>945</v>
      </c>
      <c r="D231" s="178">
        <v>2</v>
      </c>
    </row>
    <row r="232" spans="1:4" ht="32" x14ac:dyDescent="0.2">
      <c r="A232" s="178">
        <f>MAX(A$4:A231)+1</f>
        <v>206</v>
      </c>
      <c r="B232" s="177">
        <f t="shared" si="12"/>
        <v>3</v>
      </c>
      <c r="C232" s="111" t="s">
        <v>946</v>
      </c>
      <c r="D232" s="178">
        <v>2</v>
      </c>
    </row>
    <row r="233" spans="1:4" ht="16" x14ac:dyDescent="0.2">
      <c r="A233" s="178">
        <f>MAX(A$4:A232)+1</f>
        <v>207</v>
      </c>
      <c r="B233" s="177">
        <f t="shared" si="12"/>
        <v>4</v>
      </c>
      <c r="C233" s="111" t="s">
        <v>947</v>
      </c>
      <c r="D233" s="178">
        <v>2</v>
      </c>
    </row>
    <row r="234" spans="1:4" ht="16" x14ac:dyDescent="0.2">
      <c r="A234" s="178">
        <f>MAX(A$4:A233)+1</f>
        <v>208</v>
      </c>
      <c r="B234" s="177">
        <f t="shared" si="12"/>
        <v>5</v>
      </c>
      <c r="C234" s="111" t="s">
        <v>948</v>
      </c>
      <c r="D234" s="178">
        <v>2</v>
      </c>
    </row>
    <row r="235" spans="1:4" ht="16" x14ac:dyDescent="0.2">
      <c r="A235" s="178">
        <f>MAX(A$4:A234)+1</f>
        <v>209</v>
      </c>
      <c r="B235" s="177">
        <f t="shared" si="12"/>
        <v>6</v>
      </c>
      <c r="C235" s="111" t="s">
        <v>949</v>
      </c>
      <c r="D235" s="178">
        <v>2</v>
      </c>
    </row>
    <row r="236" spans="1:4" ht="16" x14ac:dyDescent="0.2">
      <c r="A236" s="178">
        <f>MAX(A$4:A235)+1</f>
        <v>210</v>
      </c>
      <c r="B236" s="177">
        <f t="shared" si="12"/>
        <v>7</v>
      </c>
      <c r="C236" s="111" t="s">
        <v>950</v>
      </c>
      <c r="D236" s="178">
        <v>2</v>
      </c>
    </row>
    <row r="237" spans="1:4" ht="16" x14ac:dyDescent="0.2">
      <c r="A237" s="178">
        <f>MAX(A$4:A236)+1</f>
        <v>211</v>
      </c>
      <c r="B237" s="177">
        <f t="shared" si="12"/>
        <v>8</v>
      </c>
      <c r="C237" s="111" t="s">
        <v>951</v>
      </c>
      <c r="D237" s="178">
        <v>2</v>
      </c>
    </row>
    <row r="238" spans="1:4" ht="16" x14ac:dyDescent="0.2">
      <c r="A238" s="178">
        <f>MAX(A$4:A237)+1</f>
        <v>212</v>
      </c>
      <c r="B238" s="177">
        <f t="shared" si="12"/>
        <v>9</v>
      </c>
      <c r="C238" s="111" t="s">
        <v>952</v>
      </c>
      <c r="D238" s="178">
        <v>2</v>
      </c>
    </row>
    <row r="239" spans="1:4" ht="16" x14ac:dyDescent="0.2">
      <c r="A239" s="178">
        <f>MAX(A$4:A238)+1</f>
        <v>213</v>
      </c>
      <c r="B239" s="177">
        <f t="shared" si="12"/>
        <v>10</v>
      </c>
      <c r="C239" s="111" t="s">
        <v>953</v>
      </c>
      <c r="D239" s="178">
        <v>2</v>
      </c>
    </row>
    <row r="240" spans="1:4" ht="16" x14ac:dyDescent="0.2">
      <c r="A240" s="178">
        <f>MAX(A$4:A239)+1</f>
        <v>214</v>
      </c>
      <c r="B240" s="177">
        <f t="shared" si="12"/>
        <v>11</v>
      </c>
      <c r="C240" s="111" t="s">
        <v>954</v>
      </c>
      <c r="D240" s="178">
        <v>2</v>
      </c>
    </row>
    <row r="241" spans="1:4" ht="16" x14ac:dyDescent="0.2">
      <c r="A241" s="178">
        <f>MAX(A$4:A240)+1</f>
        <v>215</v>
      </c>
      <c r="B241" s="177">
        <f t="shared" si="12"/>
        <v>12</v>
      </c>
      <c r="C241" s="111" t="s">
        <v>955</v>
      </c>
      <c r="D241" s="178">
        <v>2</v>
      </c>
    </row>
    <row r="242" spans="1:4" ht="16" x14ac:dyDescent="0.2">
      <c r="A242" s="178">
        <f>MAX(A$4:A241)+1</f>
        <v>216</v>
      </c>
      <c r="B242" s="177">
        <f t="shared" si="12"/>
        <v>13</v>
      </c>
      <c r="C242" s="111" t="s">
        <v>956</v>
      </c>
      <c r="D242" s="178">
        <v>2</v>
      </c>
    </row>
    <row r="243" spans="1:4" ht="16" x14ac:dyDescent="0.2">
      <c r="A243" s="178">
        <f>MAX(A$4:A242)+1</f>
        <v>217</v>
      </c>
      <c r="B243" s="177">
        <f t="shared" si="12"/>
        <v>14</v>
      </c>
      <c r="C243" s="111" t="s">
        <v>957</v>
      </c>
      <c r="D243" s="178">
        <v>2</v>
      </c>
    </row>
    <row r="244" spans="1:4" ht="16" x14ac:dyDescent="0.2">
      <c r="A244" s="178">
        <f>MAX(A$4:A243)+1</f>
        <v>218</v>
      </c>
      <c r="B244" s="177">
        <f t="shared" si="12"/>
        <v>15</v>
      </c>
      <c r="C244" s="111" t="s">
        <v>958</v>
      </c>
      <c r="D244" s="178">
        <v>2</v>
      </c>
    </row>
    <row r="245" spans="1:4" ht="16" x14ac:dyDescent="0.2">
      <c r="A245" s="178">
        <f>MAX(A$4:A244)+1</f>
        <v>219</v>
      </c>
      <c r="B245" s="177">
        <f t="shared" si="12"/>
        <v>16</v>
      </c>
      <c r="C245" s="111" t="s">
        <v>1723</v>
      </c>
      <c r="D245" s="178">
        <v>2</v>
      </c>
    </row>
    <row r="246" spans="1:4" ht="16" x14ac:dyDescent="0.2">
      <c r="A246" s="178">
        <f>MAX(A$4:A245)+1</f>
        <v>220</v>
      </c>
      <c r="B246" s="177">
        <f t="shared" si="12"/>
        <v>17</v>
      </c>
      <c r="C246" s="111" t="s">
        <v>959</v>
      </c>
      <c r="D246" s="178">
        <v>2</v>
      </c>
    </row>
    <row r="247" spans="1:4" ht="16" x14ac:dyDescent="0.2">
      <c r="A247" s="178">
        <f>MAX(A$4:A246)+1</f>
        <v>221</v>
      </c>
      <c r="B247" s="177">
        <f t="shared" si="12"/>
        <v>18</v>
      </c>
      <c r="C247" s="111" t="s">
        <v>960</v>
      </c>
      <c r="D247" s="178">
        <v>2</v>
      </c>
    </row>
    <row r="248" spans="1:4" ht="16" x14ac:dyDescent="0.2">
      <c r="A248" s="178">
        <f>MAX(A$4:A247)+1</f>
        <v>222</v>
      </c>
      <c r="B248" s="177">
        <f t="shared" si="12"/>
        <v>19</v>
      </c>
      <c r="C248" s="111" t="s">
        <v>961</v>
      </c>
      <c r="D248" s="178">
        <v>2</v>
      </c>
    </row>
    <row r="249" spans="1:4" ht="16" x14ac:dyDescent="0.2">
      <c r="A249" s="178">
        <f>MAX(A$4:A248)+1</f>
        <v>223</v>
      </c>
      <c r="B249" s="177">
        <f t="shared" si="12"/>
        <v>20</v>
      </c>
      <c r="C249" s="111" t="s">
        <v>962</v>
      </c>
      <c r="D249" s="178">
        <v>2</v>
      </c>
    </row>
    <row r="250" spans="1:4" ht="16" x14ac:dyDescent="0.2">
      <c r="A250" s="178">
        <f>MAX(A$4:A249)+1</f>
        <v>224</v>
      </c>
      <c r="B250" s="177">
        <f t="shared" si="12"/>
        <v>21</v>
      </c>
      <c r="C250" s="111" t="s">
        <v>963</v>
      </c>
      <c r="D250" s="178">
        <v>2</v>
      </c>
    </row>
    <row r="251" spans="1:4" ht="16" x14ac:dyDescent="0.2">
      <c r="A251" s="178">
        <f>MAX(A$4:A250)+1</f>
        <v>225</v>
      </c>
      <c r="B251" s="177">
        <f t="shared" si="12"/>
        <v>22</v>
      </c>
      <c r="C251" s="111" t="s">
        <v>964</v>
      </c>
      <c r="D251" s="178">
        <v>2</v>
      </c>
    </row>
    <row r="252" spans="1:4" ht="16" x14ac:dyDescent="0.2">
      <c r="A252" s="178">
        <f>MAX(A$4:A251)+1</f>
        <v>226</v>
      </c>
      <c r="B252" s="177">
        <f t="shared" si="12"/>
        <v>23</v>
      </c>
      <c r="C252" s="111" t="s">
        <v>965</v>
      </c>
      <c r="D252" s="178">
        <v>2</v>
      </c>
    </row>
    <row r="253" spans="1:4" ht="16" x14ac:dyDescent="0.2">
      <c r="A253" s="178">
        <f>MAX(A$4:A252)+1</f>
        <v>227</v>
      </c>
      <c r="B253" s="177">
        <f t="shared" si="12"/>
        <v>24</v>
      </c>
      <c r="C253" s="111" t="s">
        <v>966</v>
      </c>
      <c r="D253" s="178">
        <v>2</v>
      </c>
    </row>
    <row r="254" spans="1:4" ht="16" x14ac:dyDescent="0.2">
      <c r="A254" s="178">
        <f>MAX(A$4:A253)+1</f>
        <v>228</v>
      </c>
      <c r="B254" s="177">
        <f t="shared" si="12"/>
        <v>25</v>
      </c>
      <c r="C254" s="111" t="s">
        <v>967</v>
      </c>
      <c r="D254" s="178">
        <v>2</v>
      </c>
    </row>
    <row r="255" spans="1:4" ht="16" x14ac:dyDescent="0.2">
      <c r="A255" s="178">
        <f>MAX(A$4:A254)+1</f>
        <v>229</v>
      </c>
      <c r="B255" s="177">
        <f t="shared" si="12"/>
        <v>26</v>
      </c>
      <c r="C255" s="111" t="s">
        <v>968</v>
      </c>
      <c r="D255" s="178">
        <v>2</v>
      </c>
    </row>
    <row r="256" spans="1:4" ht="16" x14ac:dyDescent="0.2">
      <c r="A256" s="178">
        <f>MAX(A$4:A255)+1</f>
        <v>230</v>
      </c>
      <c r="B256" s="177">
        <f t="shared" si="12"/>
        <v>27</v>
      </c>
      <c r="C256" s="111" t="s">
        <v>969</v>
      </c>
      <c r="D256" s="178">
        <v>2</v>
      </c>
    </row>
    <row r="257" spans="1:4" ht="16" x14ac:dyDescent="0.2">
      <c r="A257" s="178">
        <f>MAX(A$4:A256)+1</f>
        <v>231</v>
      </c>
      <c r="B257" s="177">
        <f t="shared" si="12"/>
        <v>28</v>
      </c>
      <c r="C257" s="111" t="s">
        <v>969</v>
      </c>
      <c r="D257" s="178">
        <v>2</v>
      </c>
    </row>
    <row r="258" spans="1:4" ht="16" x14ac:dyDescent="0.2">
      <c r="A258" s="178">
        <f>MAX(A$4:A257)+1</f>
        <v>232</v>
      </c>
      <c r="B258" s="177">
        <f t="shared" si="12"/>
        <v>29</v>
      </c>
      <c r="C258" s="111" t="s">
        <v>970</v>
      </c>
      <c r="D258" s="178">
        <v>2</v>
      </c>
    </row>
    <row r="259" spans="1:4" ht="48" x14ac:dyDescent="0.2">
      <c r="A259" s="178">
        <f>MAX(A$4:A258)+1</f>
        <v>233</v>
      </c>
      <c r="B259" s="177">
        <f t="shared" si="12"/>
        <v>30</v>
      </c>
      <c r="C259" s="111" t="s">
        <v>971</v>
      </c>
      <c r="D259" s="178">
        <v>2</v>
      </c>
    </row>
    <row r="260" spans="1:4" ht="16" x14ac:dyDescent="0.2">
      <c r="A260" s="178">
        <f>MAX(A$4:A259)+1</f>
        <v>234</v>
      </c>
      <c r="B260" s="177">
        <f t="shared" si="12"/>
        <v>31</v>
      </c>
      <c r="C260" s="111" t="s">
        <v>972</v>
      </c>
      <c r="D260" s="178">
        <v>2</v>
      </c>
    </row>
    <row r="261" spans="1:4" ht="16" x14ac:dyDescent="0.2">
      <c r="A261" s="178">
        <f>MAX(A$4:A260)+1</f>
        <v>235</v>
      </c>
      <c r="B261" s="177">
        <f t="shared" si="12"/>
        <v>32</v>
      </c>
      <c r="C261" s="111" t="s">
        <v>973</v>
      </c>
      <c r="D261" s="178">
        <v>2</v>
      </c>
    </row>
    <row r="262" spans="1:4" ht="16" x14ac:dyDescent="0.2">
      <c r="A262" s="178">
        <f>MAX(A$4:A261)+1</f>
        <v>236</v>
      </c>
      <c r="B262" s="177">
        <f t="shared" si="12"/>
        <v>33</v>
      </c>
      <c r="C262" s="111" t="s">
        <v>974</v>
      </c>
      <c r="D262" s="178">
        <v>2</v>
      </c>
    </row>
    <row r="263" spans="1:4" ht="16" x14ac:dyDescent="0.2">
      <c r="A263" s="178">
        <f>MAX(A$4:A262)+1</f>
        <v>237</v>
      </c>
      <c r="B263" s="177">
        <f t="shared" si="12"/>
        <v>34</v>
      </c>
      <c r="C263" s="111" t="s">
        <v>975</v>
      </c>
      <c r="D263" s="178">
        <v>2</v>
      </c>
    </row>
    <row r="264" spans="1:4" ht="16" x14ac:dyDescent="0.2">
      <c r="A264" s="178">
        <f>MAX(A$4:A263)+1</f>
        <v>238</v>
      </c>
      <c r="B264" s="177">
        <f t="shared" si="12"/>
        <v>35</v>
      </c>
      <c r="C264" s="111" t="s">
        <v>976</v>
      </c>
      <c r="D264" s="178">
        <v>2</v>
      </c>
    </row>
    <row r="265" spans="1:4" ht="16" x14ac:dyDescent="0.2">
      <c r="A265" s="178">
        <f>MAX(A$4:A264)+1</f>
        <v>239</v>
      </c>
      <c r="B265" s="177">
        <f t="shared" si="12"/>
        <v>36</v>
      </c>
      <c r="C265" s="111" t="s">
        <v>977</v>
      </c>
      <c r="D265" s="178">
        <v>2</v>
      </c>
    </row>
    <row r="266" spans="1:4" ht="16" x14ac:dyDescent="0.2">
      <c r="A266" s="178">
        <f>MAX(A$4:A265)+1</f>
        <v>240</v>
      </c>
      <c r="B266" s="177">
        <f t="shared" si="12"/>
        <v>37</v>
      </c>
      <c r="C266" s="111" t="s">
        <v>978</v>
      </c>
      <c r="D266" s="178">
        <v>2</v>
      </c>
    </row>
    <row r="267" spans="1:4" ht="32" x14ac:dyDescent="0.2">
      <c r="A267" s="178">
        <f>MAX(A$4:A266)+1</f>
        <v>241</v>
      </c>
      <c r="B267" s="177">
        <f t="shared" si="12"/>
        <v>38</v>
      </c>
      <c r="C267" s="111" t="s">
        <v>979</v>
      </c>
      <c r="D267" s="178">
        <v>2</v>
      </c>
    </row>
    <row r="268" spans="1:4" ht="16" x14ac:dyDescent="0.2">
      <c r="A268" s="178">
        <f>MAX(A$4:A267)+1</f>
        <v>242</v>
      </c>
      <c r="B268" s="177">
        <f t="shared" si="12"/>
        <v>39</v>
      </c>
      <c r="C268" s="111" t="s">
        <v>980</v>
      </c>
      <c r="D268" s="178">
        <v>2</v>
      </c>
    </row>
    <row r="269" spans="1:4" ht="16" x14ac:dyDescent="0.2">
      <c r="A269" s="178">
        <f>MAX(A$4:A268)+1</f>
        <v>243</v>
      </c>
      <c r="B269" s="177">
        <f t="shared" si="12"/>
        <v>40</v>
      </c>
      <c r="C269" s="111" t="s">
        <v>981</v>
      </c>
      <c r="D269" s="178">
        <v>2</v>
      </c>
    </row>
    <row r="270" spans="1:4" ht="16" x14ac:dyDescent="0.2">
      <c r="A270" s="178">
        <f>MAX(A$4:A269)+1</f>
        <v>244</v>
      </c>
      <c r="B270" s="177">
        <f t="shared" si="12"/>
        <v>41</v>
      </c>
      <c r="C270" s="111" t="s">
        <v>982</v>
      </c>
      <c r="D270" s="178">
        <v>2</v>
      </c>
    </row>
    <row r="271" spans="1:4" ht="16" x14ac:dyDescent="0.2">
      <c r="A271" s="178">
        <f>MAX(A$4:A270)+1</f>
        <v>245</v>
      </c>
      <c r="B271" s="177">
        <f t="shared" si="12"/>
        <v>42</v>
      </c>
      <c r="C271" s="111" t="s">
        <v>983</v>
      </c>
      <c r="D271" s="178">
        <v>2</v>
      </c>
    </row>
    <row r="272" spans="1:4" ht="16" x14ac:dyDescent="0.2">
      <c r="A272" s="178">
        <f>MAX(A$4:A271)+1</f>
        <v>246</v>
      </c>
      <c r="B272" s="177">
        <f t="shared" si="12"/>
        <v>43</v>
      </c>
      <c r="C272" s="111" t="s">
        <v>984</v>
      </c>
      <c r="D272" s="178">
        <v>2</v>
      </c>
    </row>
    <row r="273" spans="1:4" ht="16" x14ac:dyDescent="0.2">
      <c r="A273" s="178">
        <f>MAX(A$4:A272)+1</f>
        <v>247</v>
      </c>
      <c r="B273" s="177">
        <f t="shared" si="12"/>
        <v>44</v>
      </c>
      <c r="C273" s="111" t="s">
        <v>985</v>
      </c>
      <c r="D273" s="178">
        <v>2</v>
      </c>
    </row>
    <row r="274" spans="1:4" ht="16" x14ac:dyDescent="0.2">
      <c r="A274" s="178">
        <f>MAX(A$4:A273)+1</f>
        <v>248</v>
      </c>
      <c r="B274" s="177">
        <f t="shared" si="12"/>
        <v>45</v>
      </c>
      <c r="C274" s="111" t="s">
        <v>986</v>
      </c>
      <c r="D274" s="178">
        <v>2</v>
      </c>
    </row>
    <row r="275" spans="1:4" ht="16" x14ac:dyDescent="0.2">
      <c r="A275" s="178">
        <f>MAX(A$4:A274)+1</f>
        <v>249</v>
      </c>
      <c r="B275" s="177">
        <f t="shared" si="12"/>
        <v>46</v>
      </c>
      <c r="C275" s="111" t="s">
        <v>987</v>
      </c>
      <c r="D275" s="178">
        <v>2</v>
      </c>
    </row>
    <row r="276" spans="1:4" ht="16" x14ac:dyDescent="0.2">
      <c r="A276" s="178">
        <f>MAX(A$4:A275)+1</f>
        <v>250</v>
      </c>
      <c r="B276" s="177">
        <f t="shared" si="12"/>
        <v>47</v>
      </c>
      <c r="C276" s="111" t="s">
        <v>988</v>
      </c>
      <c r="D276" s="178">
        <v>2</v>
      </c>
    </row>
    <row r="277" spans="1:4" ht="16" x14ac:dyDescent="0.2">
      <c r="A277" s="178">
        <f>MAX(A$4:A276)+1</f>
        <v>251</v>
      </c>
      <c r="B277" s="177">
        <f t="shared" si="12"/>
        <v>48</v>
      </c>
      <c r="C277" s="111" t="s">
        <v>989</v>
      </c>
      <c r="D277" s="178">
        <v>2</v>
      </c>
    </row>
    <row r="278" spans="1:4" ht="32" x14ac:dyDescent="0.2">
      <c r="A278" s="178">
        <f>MAX(A$4:A277)+1</f>
        <v>252</v>
      </c>
      <c r="B278" s="177">
        <f t="shared" si="12"/>
        <v>49</v>
      </c>
      <c r="C278" s="111" t="s">
        <v>2273</v>
      </c>
      <c r="D278" s="178">
        <v>2</v>
      </c>
    </row>
    <row r="279" spans="1:4" ht="16" x14ac:dyDescent="0.2">
      <c r="A279" s="178">
        <f>MAX(A$4:A278)+1</f>
        <v>253</v>
      </c>
      <c r="B279" s="177">
        <f t="shared" ref="B279:B302" si="13">B278+1</f>
        <v>50</v>
      </c>
      <c r="C279" s="111" t="s">
        <v>990</v>
      </c>
      <c r="D279" s="178">
        <v>2</v>
      </c>
    </row>
    <row r="280" spans="1:4" ht="16" x14ac:dyDescent="0.2">
      <c r="A280" s="178">
        <f>MAX(A$4:A279)+1</f>
        <v>254</v>
      </c>
      <c r="B280" s="177">
        <f t="shared" si="13"/>
        <v>51</v>
      </c>
      <c r="C280" s="111" t="s">
        <v>991</v>
      </c>
      <c r="D280" s="178">
        <v>2</v>
      </c>
    </row>
    <row r="281" spans="1:4" ht="16" x14ac:dyDescent="0.2">
      <c r="A281" s="178">
        <f>MAX(A$4:A280)+1</f>
        <v>255</v>
      </c>
      <c r="B281" s="177">
        <f t="shared" si="13"/>
        <v>52</v>
      </c>
      <c r="C281" s="111" t="s">
        <v>992</v>
      </c>
      <c r="D281" s="178">
        <v>2</v>
      </c>
    </row>
    <row r="282" spans="1:4" ht="16" x14ac:dyDescent="0.2">
      <c r="A282" s="178">
        <f>MAX(A$4:A281)+1</f>
        <v>256</v>
      </c>
      <c r="B282" s="177">
        <f t="shared" si="13"/>
        <v>53</v>
      </c>
      <c r="C282" s="111" t="s">
        <v>993</v>
      </c>
      <c r="D282" s="178">
        <v>2</v>
      </c>
    </row>
    <row r="283" spans="1:4" ht="16" x14ac:dyDescent="0.2">
      <c r="A283" s="178">
        <f>MAX(A$4:A282)+1</f>
        <v>257</v>
      </c>
      <c r="B283" s="177">
        <f t="shared" si="13"/>
        <v>54</v>
      </c>
      <c r="C283" s="111" t="s">
        <v>994</v>
      </c>
      <c r="D283" s="178">
        <v>2</v>
      </c>
    </row>
    <row r="284" spans="1:4" ht="16" x14ac:dyDescent="0.2">
      <c r="A284" s="178">
        <f>MAX(A$4:A283)+1</f>
        <v>258</v>
      </c>
      <c r="B284" s="177">
        <f t="shared" si="13"/>
        <v>55</v>
      </c>
      <c r="C284" s="111" t="s">
        <v>2274</v>
      </c>
      <c r="D284" s="178">
        <v>2</v>
      </c>
    </row>
    <row r="285" spans="1:4" ht="16" x14ac:dyDescent="0.2">
      <c r="A285" s="178">
        <f>MAX(A$4:A284)+1</f>
        <v>259</v>
      </c>
      <c r="B285" s="177">
        <f t="shared" si="13"/>
        <v>56</v>
      </c>
      <c r="C285" s="111" t="s">
        <v>995</v>
      </c>
      <c r="D285" s="178">
        <v>2</v>
      </c>
    </row>
    <row r="286" spans="1:4" ht="16" x14ac:dyDescent="0.2">
      <c r="A286" s="178">
        <f>MAX(A$4:A285)+1</f>
        <v>260</v>
      </c>
      <c r="B286" s="177">
        <f t="shared" si="13"/>
        <v>57</v>
      </c>
      <c r="C286" s="111" t="s">
        <v>996</v>
      </c>
      <c r="D286" s="178">
        <v>2</v>
      </c>
    </row>
    <row r="287" spans="1:4" ht="16" x14ac:dyDescent="0.2">
      <c r="A287" s="178">
        <f>MAX(A$4:A286)+1</f>
        <v>261</v>
      </c>
      <c r="B287" s="177">
        <f t="shared" si="13"/>
        <v>58</v>
      </c>
      <c r="C287" s="111" t="s">
        <v>997</v>
      </c>
      <c r="D287" s="178">
        <v>2</v>
      </c>
    </row>
    <row r="288" spans="1:4" ht="16" x14ac:dyDescent="0.2">
      <c r="A288" s="178">
        <f>MAX(A$4:A287)+1</f>
        <v>262</v>
      </c>
      <c r="B288" s="177">
        <f t="shared" si="13"/>
        <v>59</v>
      </c>
      <c r="C288" s="111" t="s">
        <v>998</v>
      </c>
      <c r="D288" s="178">
        <v>2</v>
      </c>
    </row>
    <row r="289" spans="1:4" ht="16" x14ac:dyDescent="0.2">
      <c r="A289" s="178">
        <f>MAX(A$4:A287)+1</f>
        <v>262</v>
      </c>
      <c r="B289" s="177">
        <f>B287+1</f>
        <v>59</v>
      </c>
      <c r="C289" s="111" t="s">
        <v>2186</v>
      </c>
      <c r="D289" s="178">
        <v>2</v>
      </c>
    </row>
    <row r="290" spans="1:4" ht="16" x14ac:dyDescent="0.2">
      <c r="A290" s="178">
        <f>MAX(A$4:A288)+1</f>
        <v>263</v>
      </c>
      <c r="B290" s="177">
        <f>B288+1</f>
        <v>60</v>
      </c>
      <c r="C290" s="111" t="s">
        <v>999</v>
      </c>
      <c r="D290" s="178">
        <v>2</v>
      </c>
    </row>
    <row r="291" spans="1:4" ht="16" x14ac:dyDescent="0.2">
      <c r="A291" s="178">
        <f>MAX(A$4:A290)+1</f>
        <v>264</v>
      </c>
      <c r="B291" s="177">
        <f t="shared" si="13"/>
        <v>61</v>
      </c>
      <c r="C291" s="111" t="s">
        <v>1000</v>
      </c>
      <c r="D291" s="178">
        <v>2</v>
      </c>
    </row>
    <row r="292" spans="1:4" ht="16" x14ac:dyDescent="0.2">
      <c r="A292" s="178">
        <f>MAX(A$4:A291)+1</f>
        <v>265</v>
      </c>
      <c r="B292" s="177">
        <f t="shared" si="13"/>
        <v>62</v>
      </c>
      <c r="C292" s="111" t="s">
        <v>1001</v>
      </c>
      <c r="D292" s="178">
        <v>2</v>
      </c>
    </row>
    <row r="293" spans="1:4" ht="16" x14ac:dyDescent="0.2">
      <c r="A293" s="178">
        <f>MAX(A$4:A292)+1</f>
        <v>266</v>
      </c>
      <c r="B293" s="177">
        <f t="shared" si="13"/>
        <v>63</v>
      </c>
      <c r="C293" s="111" t="s">
        <v>1002</v>
      </c>
      <c r="D293" s="178">
        <v>2</v>
      </c>
    </row>
    <row r="294" spans="1:4" ht="16" x14ac:dyDescent="0.2">
      <c r="A294" s="178">
        <f>MAX(A$4:A293)+1</f>
        <v>267</v>
      </c>
      <c r="B294" s="177">
        <f t="shared" si="13"/>
        <v>64</v>
      </c>
      <c r="C294" s="111" t="s">
        <v>1003</v>
      </c>
      <c r="D294" s="178">
        <v>2</v>
      </c>
    </row>
    <row r="295" spans="1:4" ht="16" x14ac:dyDescent="0.2">
      <c r="A295" s="178">
        <f>MAX(A$4:A294)+1</f>
        <v>268</v>
      </c>
      <c r="B295" s="177">
        <f t="shared" si="13"/>
        <v>65</v>
      </c>
      <c r="C295" s="111" t="s">
        <v>1004</v>
      </c>
      <c r="D295" s="178">
        <v>2</v>
      </c>
    </row>
    <row r="296" spans="1:4" ht="16" x14ac:dyDescent="0.2">
      <c r="A296" s="178">
        <f>MAX(A$4:A295)+1</f>
        <v>269</v>
      </c>
      <c r="B296" s="177">
        <f t="shared" si="13"/>
        <v>66</v>
      </c>
      <c r="C296" s="111" t="s">
        <v>1289</v>
      </c>
      <c r="D296" s="178">
        <v>2</v>
      </c>
    </row>
    <row r="297" spans="1:4" ht="16" x14ac:dyDescent="0.2">
      <c r="A297" s="178">
        <f>MAX(A$4:A296)+1</f>
        <v>270</v>
      </c>
      <c r="B297" s="177">
        <f t="shared" si="13"/>
        <v>67</v>
      </c>
      <c r="C297" s="111" t="s">
        <v>2275</v>
      </c>
      <c r="D297" s="178">
        <v>2</v>
      </c>
    </row>
    <row r="298" spans="1:4" ht="32" x14ac:dyDescent="0.2">
      <c r="A298" s="178">
        <f>MAX(A$4:A297)+1</f>
        <v>271</v>
      </c>
      <c r="B298" s="177">
        <f t="shared" si="13"/>
        <v>68</v>
      </c>
      <c r="C298" s="111" t="s">
        <v>2187</v>
      </c>
      <c r="D298" s="178">
        <v>2</v>
      </c>
    </row>
    <row r="299" spans="1:4" ht="16" x14ac:dyDescent="0.2">
      <c r="A299" s="178">
        <f>MAX(A$4:A298)+1</f>
        <v>272</v>
      </c>
      <c r="B299" s="177">
        <f t="shared" si="13"/>
        <v>69</v>
      </c>
      <c r="C299" s="111" t="s">
        <v>2188</v>
      </c>
      <c r="D299" s="178">
        <v>2</v>
      </c>
    </row>
    <row r="300" spans="1:4" ht="16" x14ac:dyDescent="0.2">
      <c r="A300" s="178">
        <f>MAX(A$4:A299)+1</f>
        <v>273</v>
      </c>
      <c r="B300" s="177">
        <f t="shared" si="13"/>
        <v>70</v>
      </c>
      <c r="C300" s="111" t="s">
        <v>2189</v>
      </c>
      <c r="D300" s="178">
        <v>2</v>
      </c>
    </row>
    <row r="301" spans="1:4" ht="16" x14ac:dyDescent="0.2">
      <c r="A301" s="178">
        <f>MAX(A$4:A300)+1</f>
        <v>274</v>
      </c>
      <c r="B301" s="177">
        <f t="shared" si="13"/>
        <v>71</v>
      </c>
      <c r="C301" s="111" t="s">
        <v>2192</v>
      </c>
      <c r="D301" s="178">
        <v>2</v>
      </c>
    </row>
    <row r="302" spans="1:4" ht="16" x14ac:dyDescent="0.2">
      <c r="A302" s="178">
        <f>MAX(A$4:A301)+1</f>
        <v>275</v>
      </c>
      <c r="B302" s="177">
        <f t="shared" si="13"/>
        <v>72</v>
      </c>
      <c r="C302" s="111" t="s">
        <v>2265</v>
      </c>
      <c r="D302" s="178">
        <v>2</v>
      </c>
    </row>
    <row r="303" spans="1:4" x14ac:dyDescent="0.2">
      <c r="A303" s="229" t="s">
        <v>1724</v>
      </c>
      <c r="B303" s="230"/>
      <c r="C303" s="230"/>
      <c r="D303" s="231"/>
    </row>
    <row r="304" spans="1:4" ht="16" x14ac:dyDescent="0.2">
      <c r="A304" s="178">
        <f>MAX(A$4:A303)+1</f>
        <v>276</v>
      </c>
      <c r="B304" s="177">
        <f t="shared" ref="B304:B307" si="14">B303+1</f>
        <v>1</v>
      </c>
      <c r="C304" s="111" t="s">
        <v>1296</v>
      </c>
      <c r="D304" s="178">
        <v>1</v>
      </c>
    </row>
    <row r="305" spans="1:4" ht="16" x14ac:dyDescent="0.2">
      <c r="A305" s="178">
        <f>MAX(A$4:A304)+1</f>
        <v>277</v>
      </c>
      <c r="B305" s="177">
        <f t="shared" si="14"/>
        <v>2</v>
      </c>
      <c r="C305" s="111" t="s">
        <v>1297</v>
      </c>
      <c r="D305" s="178">
        <v>1</v>
      </c>
    </row>
    <row r="306" spans="1:4" ht="16" x14ac:dyDescent="0.2">
      <c r="A306" s="178">
        <f>MAX(A$4:A305)+1</f>
        <v>278</v>
      </c>
      <c r="B306" s="177">
        <f t="shared" si="14"/>
        <v>3</v>
      </c>
      <c r="C306" s="111" t="s">
        <v>1298</v>
      </c>
      <c r="D306" s="178">
        <v>1</v>
      </c>
    </row>
    <row r="307" spans="1:4" ht="18.75" customHeight="1" x14ac:dyDescent="0.2">
      <c r="A307" s="178">
        <f>MAX(A$4:A306)+1</f>
        <v>279</v>
      </c>
      <c r="B307" s="177">
        <f t="shared" si="14"/>
        <v>4</v>
      </c>
      <c r="C307" s="111" t="s">
        <v>1299</v>
      </c>
      <c r="D307" s="178">
        <v>1</v>
      </c>
    </row>
    <row r="308" spans="1:4" x14ac:dyDescent="0.2">
      <c r="A308" s="229" t="s">
        <v>1725</v>
      </c>
      <c r="B308" s="230"/>
      <c r="C308" s="230"/>
      <c r="D308" s="231"/>
    </row>
    <row r="309" spans="1:4" ht="32" x14ac:dyDescent="0.2">
      <c r="A309" s="178">
        <f>MAX(A$4:A308)+1</f>
        <v>280</v>
      </c>
      <c r="B309" s="177">
        <f t="shared" ref="B309:B310" si="15">B308+1</f>
        <v>1</v>
      </c>
      <c r="C309" s="186" t="s">
        <v>1300</v>
      </c>
      <c r="D309" s="178">
        <v>2</v>
      </c>
    </row>
    <row r="310" spans="1:4" ht="32" x14ac:dyDescent="0.2">
      <c r="A310" s="178">
        <f>MAX(A$4:A309)+1</f>
        <v>281</v>
      </c>
      <c r="B310" s="177">
        <f t="shared" si="15"/>
        <v>2</v>
      </c>
      <c r="C310" s="186" t="s">
        <v>185</v>
      </c>
      <c r="D310" s="178">
        <v>1</v>
      </c>
    </row>
    <row r="311" spans="1:4" x14ac:dyDescent="0.2">
      <c r="A311" s="229" t="s">
        <v>1726</v>
      </c>
      <c r="B311" s="230"/>
      <c r="C311" s="230"/>
      <c r="D311" s="231"/>
    </row>
    <row r="312" spans="1:4" ht="32" x14ac:dyDescent="0.2">
      <c r="A312" s="178">
        <f>MAX(A$4:A311)+1</f>
        <v>282</v>
      </c>
      <c r="B312" s="177">
        <f t="shared" ref="B312:B317" si="16">B311+1</f>
        <v>1</v>
      </c>
      <c r="C312" s="186" t="s">
        <v>1894</v>
      </c>
      <c r="D312" s="178">
        <v>1</v>
      </c>
    </row>
    <row r="313" spans="1:4" ht="32" x14ac:dyDescent="0.2">
      <c r="A313" s="178">
        <f>MAX(A$4:A312)+1</f>
        <v>283</v>
      </c>
      <c r="B313" s="177">
        <f t="shared" si="16"/>
        <v>2</v>
      </c>
      <c r="C313" s="186" t="s">
        <v>1895</v>
      </c>
      <c r="D313" s="178">
        <v>1</v>
      </c>
    </row>
    <row r="314" spans="1:4" ht="16" x14ac:dyDescent="0.2">
      <c r="A314" s="178">
        <f>MAX(A$4:A313)+1</f>
        <v>284</v>
      </c>
      <c r="B314" s="177">
        <f t="shared" si="16"/>
        <v>3</v>
      </c>
      <c r="C314" s="186" t="s">
        <v>1896</v>
      </c>
      <c r="D314" s="178">
        <v>1</v>
      </c>
    </row>
    <row r="315" spans="1:4" ht="32" x14ac:dyDescent="0.2">
      <c r="A315" s="178">
        <f>MAX(A$4:A314)+1</f>
        <v>285</v>
      </c>
      <c r="B315" s="177">
        <f t="shared" si="16"/>
        <v>4</v>
      </c>
      <c r="C315" s="186" t="s">
        <v>1897</v>
      </c>
      <c r="D315" s="178">
        <v>1</v>
      </c>
    </row>
    <row r="316" spans="1:4" ht="16" x14ac:dyDescent="0.2">
      <c r="A316" s="178">
        <f>MAX(A$4:A315)+1</f>
        <v>286</v>
      </c>
      <c r="B316" s="177">
        <f t="shared" si="16"/>
        <v>5</v>
      </c>
      <c r="C316" s="111" t="s">
        <v>2266</v>
      </c>
      <c r="D316" s="178">
        <v>1</v>
      </c>
    </row>
    <row r="317" spans="1:4" ht="16" x14ac:dyDescent="0.2">
      <c r="A317" s="178">
        <f>MAX(A$4:A316)+1</f>
        <v>287</v>
      </c>
      <c r="B317" s="177">
        <f t="shared" si="16"/>
        <v>6</v>
      </c>
      <c r="C317" s="111" t="s">
        <v>2267</v>
      </c>
      <c r="D317" s="178">
        <v>1</v>
      </c>
    </row>
    <row r="318" spans="1:4" x14ac:dyDescent="0.2">
      <c r="A318" s="229" t="s">
        <v>1727</v>
      </c>
      <c r="B318" s="230"/>
      <c r="C318" s="230"/>
      <c r="D318" s="231"/>
    </row>
    <row r="319" spans="1:4" ht="32" x14ac:dyDescent="0.2">
      <c r="A319" s="178">
        <f>MAX(A$4:A318)+1</f>
        <v>288</v>
      </c>
      <c r="B319" s="177">
        <f t="shared" ref="B319:B327" si="17">B318+1</f>
        <v>1</v>
      </c>
      <c r="C319" s="186" t="s">
        <v>1671</v>
      </c>
      <c r="D319" s="178">
        <v>1</v>
      </c>
    </row>
    <row r="320" spans="1:4" ht="16" x14ac:dyDescent="0.2">
      <c r="A320" s="178">
        <f>MAX(A$4:A319)+1</f>
        <v>289</v>
      </c>
      <c r="B320" s="177">
        <f t="shared" si="17"/>
        <v>2</v>
      </c>
      <c r="C320" s="186" t="s">
        <v>1672</v>
      </c>
      <c r="D320" s="178">
        <v>1</v>
      </c>
    </row>
    <row r="321" spans="1:4" ht="16" x14ac:dyDescent="0.2">
      <c r="A321" s="178">
        <f>MAX(A$4:A320)+1</f>
        <v>290</v>
      </c>
      <c r="B321" s="177">
        <f t="shared" si="17"/>
        <v>3</v>
      </c>
      <c r="C321" s="186" t="s">
        <v>1673</v>
      </c>
      <c r="D321" s="178">
        <v>1</v>
      </c>
    </row>
    <row r="322" spans="1:4" ht="32" x14ac:dyDescent="0.2">
      <c r="A322" s="178">
        <f>MAX(A$4:A321)+1</f>
        <v>291</v>
      </c>
      <c r="B322" s="177">
        <f t="shared" si="17"/>
        <v>4</v>
      </c>
      <c r="C322" s="186" t="s">
        <v>1674</v>
      </c>
      <c r="D322" s="178">
        <v>1</v>
      </c>
    </row>
    <row r="323" spans="1:4" ht="32" x14ac:dyDescent="0.2">
      <c r="A323" s="178">
        <f>MAX(A$4:A322)+1</f>
        <v>292</v>
      </c>
      <c r="B323" s="177">
        <f t="shared" si="17"/>
        <v>5</v>
      </c>
      <c r="C323" s="186" t="s">
        <v>1675</v>
      </c>
      <c r="D323" s="178">
        <v>1</v>
      </c>
    </row>
    <row r="324" spans="1:4" ht="16" x14ac:dyDescent="0.2">
      <c r="A324" s="178">
        <f>MAX(A$4:A323)+1</f>
        <v>293</v>
      </c>
      <c r="B324" s="177">
        <f t="shared" si="17"/>
        <v>6</v>
      </c>
      <c r="C324" s="186" t="s">
        <v>1728</v>
      </c>
      <c r="D324" s="178">
        <v>1</v>
      </c>
    </row>
    <row r="325" spans="1:4" ht="16" x14ac:dyDescent="0.2">
      <c r="A325" s="178">
        <f>MAX(A$4:A324)+1</f>
        <v>294</v>
      </c>
      <c r="B325" s="177">
        <f t="shared" si="17"/>
        <v>7</v>
      </c>
      <c r="C325" s="186" t="s">
        <v>1729</v>
      </c>
      <c r="D325" s="178">
        <v>1</v>
      </c>
    </row>
    <row r="326" spans="1:4" ht="16" x14ac:dyDescent="0.2">
      <c r="A326" s="178">
        <f>MAX(A$4:A325)+1</f>
        <v>295</v>
      </c>
      <c r="B326" s="177">
        <f t="shared" si="17"/>
        <v>8</v>
      </c>
      <c r="C326" s="186" t="s">
        <v>1730</v>
      </c>
      <c r="D326" s="178">
        <v>1</v>
      </c>
    </row>
    <row r="327" spans="1:4" ht="16" x14ac:dyDescent="0.2">
      <c r="A327" s="178">
        <f>MAX(A$4:A326)+1</f>
        <v>296</v>
      </c>
      <c r="B327" s="177">
        <f t="shared" si="17"/>
        <v>9</v>
      </c>
      <c r="C327" s="186" t="s">
        <v>1676</v>
      </c>
      <c r="D327" s="178">
        <v>1</v>
      </c>
    </row>
    <row r="328" spans="1:4" x14ac:dyDescent="0.2">
      <c r="A328" s="229" t="s">
        <v>1731</v>
      </c>
      <c r="B328" s="230"/>
      <c r="C328" s="230"/>
      <c r="D328" s="231"/>
    </row>
    <row r="329" spans="1:4" ht="17.25" customHeight="1" x14ac:dyDescent="0.2">
      <c r="A329" s="178">
        <f>MAX(A$4:A328)+1</f>
        <v>297</v>
      </c>
      <c r="B329" s="177">
        <f t="shared" ref="B329:B332" si="18">B328+1</f>
        <v>1</v>
      </c>
      <c r="C329" s="186" t="s">
        <v>2128</v>
      </c>
      <c r="D329" s="178">
        <v>1</v>
      </c>
    </row>
    <row r="330" spans="1:4" ht="16" x14ac:dyDescent="0.2">
      <c r="A330" s="178">
        <f>MAX(A$4:A329)+1</f>
        <v>298</v>
      </c>
      <c r="B330" s="177">
        <f t="shared" si="18"/>
        <v>2</v>
      </c>
      <c r="C330" s="186" t="s">
        <v>2129</v>
      </c>
      <c r="D330" s="178">
        <v>1</v>
      </c>
    </row>
    <row r="331" spans="1:4" ht="16" x14ac:dyDescent="0.2">
      <c r="A331" s="178">
        <f>MAX(A$4:A330)+1</f>
        <v>299</v>
      </c>
      <c r="B331" s="177">
        <f t="shared" si="18"/>
        <v>3</v>
      </c>
      <c r="C331" s="186" t="s">
        <v>2130</v>
      </c>
      <c r="D331" s="178">
        <v>1</v>
      </c>
    </row>
    <row r="332" spans="1:4" ht="17.25" customHeight="1" x14ac:dyDescent="0.2">
      <c r="A332" s="178">
        <f>MAX(A$4:A331)+1</f>
        <v>300</v>
      </c>
      <c r="B332" s="177">
        <f t="shared" si="18"/>
        <v>4</v>
      </c>
      <c r="C332" s="186" t="s">
        <v>2131</v>
      </c>
      <c r="D332" s="178">
        <v>1</v>
      </c>
    </row>
    <row r="333" spans="1:4" ht="17.25" customHeight="1" x14ac:dyDescent="0.2">
      <c r="A333" s="229" t="s">
        <v>1732</v>
      </c>
      <c r="B333" s="230"/>
      <c r="C333" s="230"/>
      <c r="D333" s="231"/>
    </row>
    <row r="334" spans="1:4" ht="32" x14ac:dyDescent="0.2">
      <c r="A334" s="178">
        <f>MAX(A$4:A333)+1</f>
        <v>301</v>
      </c>
      <c r="B334" s="177">
        <f t="shared" ref="B334:B339" si="19">B333+1</f>
        <v>1</v>
      </c>
      <c r="C334" s="186" t="s">
        <v>1953</v>
      </c>
      <c r="D334" s="178">
        <v>1</v>
      </c>
    </row>
    <row r="335" spans="1:4" ht="32" x14ac:dyDescent="0.2">
      <c r="A335" s="178">
        <f>MAX(A$4:A334)+1</f>
        <v>302</v>
      </c>
      <c r="B335" s="177">
        <f t="shared" si="19"/>
        <v>2</v>
      </c>
      <c r="C335" s="186" t="s">
        <v>2088</v>
      </c>
      <c r="D335" s="178">
        <v>1</v>
      </c>
    </row>
    <row r="336" spans="1:4" ht="32" x14ac:dyDescent="0.2">
      <c r="A336" s="178">
        <f>MAX(A$4:A335)+1</f>
        <v>303</v>
      </c>
      <c r="B336" s="177">
        <f t="shared" si="19"/>
        <v>3</v>
      </c>
      <c r="C336" s="186" t="s">
        <v>2089</v>
      </c>
      <c r="D336" s="178">
        <v>1</v>
      </c>
    </row>
    <row r="337" spans="1:4" ht="16" x14ac:dyDescent="0.2">
      <c r="A337" s="178">
        <f>MAX(A$4:A336)+1</f>
        <v>304</v>
      </c>
      <c r="B337" s="177">
        <f t="shared" si="19"/>
        <v>4</v>
      </c>
      <c r="C337" s="186" t="s">
        <v>2090</v>
      </c>
      <c r="D337" s="178">
        <v>1</v>
      </c>
    </row>
    <row r="338" spans="1:4" ht="16" x14ac:dyDescent="0.2">
      <c r="A338" s="178">
        <f>MAX(A$4:A337)+1</f>
        <v>305</v>
      </c>
      <c r="B338" s="177">
        <f t="shared" si="19"/>
        <v>5</v>
      </c>
      <c r="C338" s="186" t="s">
        <v>1954</v>
      </c>
      <c r="D338" s="178">
        <v>1</v>
      </c>
    </row>
    <row r="339" spans="1:4" ht="32" x14ac:dyDescent="0.2">
      <c r="A339" s="178">
        <f>MAX(A$4:A338)+1</f>
        <v>306</v>
      </c>
      <c r="B339" s="177">
        <f t="shared" si="19"/>
        <v>6</v>
      </c>
      <c r="C339" s="186" t="s">
        <v>1955</v>
      </c>
      <c r="D339" s="178">
        <v>1</v>
      </c>
    </row>
    <row r="340" spans="1:4" x14ac:dyDescent="0.2">
      <c r="A340" s="229" t="s">
        <v>1733</v>
      </c>
      <c r="B340" s="230"/>
      <c r="C340" s="230"/>
      <c r="D340" s="231"/>
    </row>
    <row r="341" spans="1:4" ht="16" x14ac:dyDescent="0.2">
      <c r="A341" s="178">
        <f>MAX(A$4:A340)+1</f>
        <v>307</v>
      </c>
      <c r="B341" s="177">
        <f t="shared" ref="B341:B353" si="20">B340+1</f>
        <v>1</v>
      </c>
      <c r="C341" s="186" t="s">
        <v>2276</v>
      </c>
      <c r="D341" s="178">
        <v>1</v>
      </c>
    </row>
    <row r="342" spans="1:4" ht="16" x14ac:dyDescent="0.2">
      <c r="A342" s="178">
        <f>MAX(A$4:A341)+1</f>
        <v>308</v>
      </c>
      <c r="B342" s="177">
        <f t="shared" si="20"/>
        <v>2</v>
      </c>
      <c r="C342" s="186" t="s">
        <v>2277</v>
      </c>
      <c r="D342" s="178">
        <v>1</v>
      </c>
    </row>
    <row r="343" spans="1:4" ht="16" x14ac:dyDescent="0.2">
      <c r="A343" s="178">
        <f>MAX(A$4:A342)+1</f>
        <v>309</v>
      </c>
      <c r="B343" s="177">
        <f t="shared" si="20"/>
        <v>3</v>
      </c>
      <c r="C343" s="186" t="s">
        <v>2278</v>
      </c>
      <c r="D343" s="178">
        <v>1</v>
      </c>
    </row>
    <row r="344" spans="1:4" ht="16" x14ac:dyDescent="0.2">
      <c r="A344" s="178">
        <f>MAX(A$4:A343)+1</f>
        <v>310</v>
      </c>
      <c r="B344" s="177">
        <f t="shared" si="20"/>
        <v>4</v>
      </c>
      <c r="C344" s="186" t="s">
        <v>2279</v>
      </c>
      <c r="D344" s="178">
        <v>1</v>
      </c>
    </row>
    <row r="345" spans="1:4" ht="32" x14ac:dyDescent="0.2">
      <c r="A345" s="178">
        <f>MAX(A$4:A344)+1</f>
        <v>311</v>
      </c>
      <c r="B345" s="177">
        <f t="shared" si="20"/>
        <v>5</v>
      </c>
      <c r="C345" s="186" t="s">
        <v>2280</v>
      </c>
      <c r="D345" s="178">
        <v>1</v>
      </c>
    </row>
    <row r="346" spans="1:4" ht="16" x14ac:dyDescent="0.2">
      <c r="A346" s="178">
        <f>MAX(A$4:A345)+1</f>
        <v>312</v>
      </c>
      <c r="B346" s="177">
        <f t="shared" si="20"/>
        <v>6</v>
      </c>
      <c r="C346" s="186" t="s">
        <v>2281</v>
      </c>
      <c r="D346" s="178">
        <v>1</v>
      </c>
    </row>
    <row r="347" spans="1:4" ht="16" x14ac:dyDescent="0.2">
      <c r="A347" s="178">
        <f>MAX(A$4:A346)+1</f>
        <v>313</v>
      </c>
      <c r="B347" s="177">
        <f t="shared" si="20"/>
        <v>7</v>
      </c>
      <c r="C347" s="186" t="s">
        <v>2282</v>
      </c>
      <c r="D347" s="178">
        <v>1</v>
      </c>
    </row>
    <row r="348" spans="1:4" ht="16" x14ac:dyDescent="0.2">
      <c r="A348" s="178">
        <f>MAX(A$4:A347)+1</f>
        <v>314</v>
      </c>
      <c r="B348" s="177">
        <f t="shared" si="20"/>
        <v>8</v>
      </c>
      <c r="C348" s="186" t="s">
        <v>2283</v>
      </c>
      <c r="D348" s="178">
        <v>1</v>
      </c>
    </row>
    <row r="349" spans="1:4" ht="16" x14ac:dyDescent="0.2">
      <c r="A349" s="178">
        <f>MAX(A$4:A348)+1</f>
        <v>315</v>
      </c>
      <c r="B349" s="177">
        <f t="shared" si="20"/>
        <v>9</v>
      </c>
      <c r="C349" s="186" t="s">
        <v>2284</v>
      </c>
      <c r="D349" s="178">
        <v>1</v>
      </c>
    </row>
    <row r="350" spans="1:4" ht="16" x14ac:dyDescent="0.2">
      <c r="A350" s="178">
        <f>MAX(A$4:A349)+1</f>
        <v>316</v>
      </c>
      <c r="B350" s="177">
        <f t="shared" si="20"/>
        <v>10</v>
      </c>
      <c r="C350" s="186" t="s">
        <v>2285</v>
      </c>
      <c r="D350" s="178">
        <v>1</v>
      </c>
    </row>
    <row r="351" spans="1:4" ht="16" x14ac:dyDescent="0.2">
      <c r="A351" s="178">
        <f>MAX(A$4:A350)+1</f>
        <v>317</v>
      </c>
      <c r="B351" s="177">
        <f t="shared" si="20"/>
        <v>11</v>
      </c>
      <c r="C351" s="186" t="s">
        <v>2286</v>
      </c>
      <c r="D351" s="178">
        <v>3</v>
      </c>
    </row>
    <row r="352" spans="1:4" ht="16" x14ac:dyDescent="0.2">
      <c r="A352" s="178">
        <f>MAX(A$4:A351)+1</f>
        <v>318</v>
      </c>
      <c r="B352" s="177">
        <f t="shared" si="20"/>
        <v>12</v>
      </c>
      <c r="C352" s="186" t="s">
        <v>2287</v>
      </c>
      <c r="D352" s="178">
        <v>3</v>
      </c>
    </row>
    <row r="353" spans="1:4" ht="16" x14ac:dyDescent="0.2">
      <c r="A353" s="178">
        <f>MAX(A$4:A352)+1</f>
        <v>319</v>
      </c>
      <c r="B353" s="177">
        <f t="shared" si="20"/>
        <v>13</v>
      </c>
      <c r="C353" s="186" t="s">
        <v>2288</v>
      </c>
      <c r="D353" s="178">
        <v>3</v>
      </c>
    </row>
    <row r="354" spans="1:4" x14ac:dyDescent="0.2">
      <c r="A354" s="229" t="s">
        <v>1734</v>
      </c>
      <c r="B354" s="230"/>
      <c r="C354" s="230"/>
      <c r="D354" s="231"/>
    </row>
    <row r="355" spans="1:4" ht="16" x14ac:dyDescent="0.2">
      <c r="A355" s="178">
        <f>MAX(A$4:A354)+1</f>
        <v>320</v>
      </c>
      <c r="B355" s="177">
        <f t="shared" ref="B355:B358" si="21">B354+1</f>
        <v>1</v>
      </c>
      <c r="C355" s="186" t="s">
        <v>1302</v>
      </c>
      <c r="D355" s="178">
        <v>1</v>
      </c>
    </row>
    <row r="356" spans="1:4" ht="32" x14ac:dyDescent="0.2">
      <c r="A356" s="178">
        <f>MAX(A$4:A355)+1</f>
        <v>321</v>
      </c>
      <c r="B356" s="177">
        <f t="shared" si="21"/>
        <v>2</v>
      </c>
      <c r="C356" s="186" t="s">
        <v>1303</v>
      </c>
      <c r="D356" s="178">
        <v>1</v>
      </c>
    </row>
    <row r="357" spans="1:4" ht="32" x14ac:dyDescent="0.2">
      <c r="A357" s="178">
        <f>MAX(A$4:A356)+1</f>
        <v>322</v>
      </c>
      <c r="B357" s="177">
        <f t="shared" si="21"/>
        <v>3</v>
      </c>
      <c r="C357" s="186" t="s">
        <v>1677</v>
      </c>
      <c r="D357" s="178">
        <v>1</v>
      </c>
    </row>
    <row r="358" spans="1:4" ht="16" x14ac:dyDescent="0.2">
      <c r="A358" s="178">
        <f>MAX(A$4:A357)+1</f>
        <v>323</v>
      </c>
      <c r="B358" s="177">
        <f t="shared" si="21"/>
        <v>4</v>
      </c>
      <c r="C358" s="186" t="s">
        <v>1678</v>
      </c>
      <c r="D358" s="178">
        <v>1</v>
      </c>
    </row>
    <row r="359" spans="1:4" x14ac:dyDescent="0.2">
      <c r="A359" s="229" t="s">
        <v>1735</v>
      </c>
      <c r="B359" s="230"/>
      <c r="C359" s="230"/>
      <c r="D359" s="231"/>
    </row>
    <row r="360" spans="1:4" ht="32" x14ac:dyDescent="0.2">
      <c r="A360" s="178">
        <f>MAX(A$4:A359)+1</f>
        <v>324</v>
      </c>
      <c r="B360" s="177">
        <f t="shared" ref="B360:B361" si="22">B359+1</f>
        <v>1</v>
      </c>
      <c r="C360" s="186" t="s">
        <v>1898</v>
      </c>
      <c r="D360" s="178">
        <v>1</v>
      </c>
    </row>
    <row r="361" spans="1:4" ht="16" x14ac:dyDescent="0.2">
      <c r="A361" s="178">
        <f>MAX(A$4:A360)+1</f>
        <v>325</v>
      </c>
      <c r="B361" s="177">
        <f t="shared" si="22"/>
        <v>2</v>
      </c>
      <c r="C361" s="186" t="s">
        <v>1899</v>
      </c>
      <c r="D361" s="178">
        <v>1</v>
      </c>
    </row>
    <row r="362" spans="1:4" x14ac:dyDescent="0.2">
      <c r="A362" s="229" t="s">
        <v>1736</v>
      </c>
      <c r="B362" s="230"/>
      <c r="C362" s="230"/>
      <c r="D362" s="231"/>
    </row>
    <row r="363" spans="1:4" ht="32" x14ac:dyDescent="0.2">
      <c r="A363" s="178">
        <f>MAX(A$4:A362)+1</f>
        <v>326</v>
      </c>
      <c r="B363" s="177">
        <f t="shared" ref="B363:B376" si="23">B362+1</f>
        <v>1</v>
      </c>
      <c r="C363" s="111" t="s">
        <v>1163</v>
      </c>
      <c r="D363" s="178">
        <v>1</v>
      </c>
    </row>
    <row r="364" spans="1:4" ht="48" x14ac:dyDescent="0.2">
      <c r="A364" s="178">
        <f>MAX(A$4:A363)+1</f>
        <v>327</v>
      </c>
      <c r="B364" s="177">
        <f t="shared" si="23"/>
        <v>2</v>
      </c>
      <c r="C364" s="111" t="s">
        <v>1164</v>
      </c>
      <c r="D364" s="178">
        <v>1</v>
      </c>
    </row>
    <row r="365" spans="1:4" ht="64" x14ac:dyDescent="0.2">
      <c r="A365" s="178">
        <f>MAX(A$4:A364)+1</f>
        <v>328</v>
      </c>
      <c r="B365" s="177">
        <f t="shared" si="23"/>
        <v>3</v>
      </c>
      <c r="C365" s="111" t="s">
        <v>1165</v>
      </c>
      <c r="D365" s="178">
        <v>1</v>
      </c>
    </row>
    <row r="366" spans="1:4" ht="32" x14ac:dyDescent="0.2">
      <c r="A366" s="178">
        <f>MAX(A$4:A365)+1</f>
        <v>329</v>
      </c>
      <c r="B366" s="177">
        <f t="shared" si="23"/>
        <v>4</v>
      </c>
      <c r="C366" s="111" t="s">
        <v>1058</v>
      </c>
      <c r="D366" s="178">
        <v>1</v>
      </c>
    </row>
    <row r="367" spans="1:4" ht="48" x14ac:dyDescent="0.2">
      <c r="A367" s="178">
        <f>MAX(A$4:A366)+1</f>
        <v>330</v>
      </c>
      <c r="B367" s="177">
        <f t="shared" si="23"/>
        <v>5</v>
      </c>
      <c r="C367" s="111" t="s">
        <v>1166</v>
      </c>
      <c r="D367" s="178">
        <v>1</v>
      </c>
    </row>
    <row r="368" spans="1:4" ht="32" x14ac:dyDescent="0.2">
      <c r="A368" s="178">
        <f>MAX(A$4:A367)+1</f>
        <v>331</v>
      </c>
      <c r="B368" s="177">
        <f t="shared" si="23"/>
        <v>6</v>
      </c>
      <c r="C368" s="111" t="s">
        <v>1167</v>
      </c>
      <c r="D368" s="178">
        <v>1</v>
      </c>
    </row>
    <row r="369" spans="1:4" ht="32" x14ac:dyDescent="0.2">
      <c r="A369" s="178">
        <f>MAX(A$4:A368)+1</f>
        <v>332</v>
      </c>
      <c r="B369" s="177">
        <f t="shared" si="23"/>
        <v>7</v>
      </c>
      <c r="C369" s="111" t="s">
        <v>1168</v>
      </c>
      <c r="D369" s="178">
        <v>1</v>
      </c>
    </row>
    <row r="370" spans="1:4" ht="32" x14ac:dyDescent="0.2">
      <c r="A370" s="178">
        <f>MAX(A$4:A369)+1</f>
        <v>333</v>
      </c>
      <c r="B370" s="177">
        <f t="shared" si="23"/>
        <v>8</v>
      </c>
      <c r="C370" s="111" t="s">
        <v>1169</v>
      </c>
      <c r="D370" s="178">
        <v>1</v>
      </c>
    </row>
    <row r="371" spans="1:4" ht="32" x14ac:dyDescent="0.2">
      <c r="A371" s="178">
        <f>MAX(A$4:A370)+1</f>
        <v>334</v>
      </c>
      <c r="B371" s="177">
        <f t="shared" si="23"/>
        <v>9</v>
      </c>
      <c r="C371" s="111" t="s">
        <v>1170</v>
      </c>
      <c r="D371" s="178">
        <v>1</v>
      </c>
    </row>
    <row r="372" spans="1:4" ht="32" x14ac:dyDescent="0.2">
      <c r="A372" s="178">
        <f>MAX(A$4:A371)+1</f>
        <v>335</v>
      </c>
      <c r="B372" s="177">
        <f t="shared" si="23"/>
        <v>10</v>
      </c>
      <c r="C372" s="111" t="s">
        <v>1171</v>
      </c>
      <c r="D372" s="178">
        <v>1</v>
      </c>
    </row>
    <row r="373" spans="1:4" ht="32" x14ac:dyDescent="0.2">
      <c r="A373" s="178">
        <f>MAX(A$4:A372)+1</f>
        <v>336</v>
      </c>
      <c r="B373" s="177">
        <f t="shared" si="23"/>
        <v>11</v>
      </c>
      <c r="C373" s="111" t="s">
        <v>1172</v>
      </c>
      <c r="D373" s="178">
        <v>1</v>
      </c>
    </row>
    <row r="374" spans="1:4" ht="32" x14ac:dyDescent="0.2">
      <c r="A374" s="178">
        <f>MAX(A$4:A373)+1</f>
        <v>337</v>
      </c>
      <c r="B374" s="177">
        <f t="shared" si="23"/>
        <v>12</v>
      </c>
      <c r="C374" s="111" t="s">
        <v>1173</v>
      </c>
      <c r="D374" s="178">
        <v>1</v>
      </c>
    </row>
    <row r="375" spans="1:4" ht="32" x14ac:dyDescent="0.2">
      <c r="A375" s="178">
        <f>MAX(A$4:A374)+1</f>
        <v>338</v>
      </c>
      <c r="B375" s="177">
        <f t="shared" si="23"/>
        <v>13</v>
      </c>
      <c r="C375" s="111" t="s">
        <v>1174</v>
      </c>
      <c r="D375" s="178">
        <v>1</v>
      </c>
    </row>
    <row r="376" spans="1:4" ht="48" x14ac:dyDescent="0.2">
      <c r="A376" s="178">
        <f>MAX(A$4:A375)+1</f>
        <v>339</v>
      </c>
      <c r="B376" s="177">
        <f t="shared" si="23"/>
        <v>14</v>
      </c>
      <c r="C376" s="111" t="s">
        <v>1175</v>
      </c>
      <c r="D376" s="178">
        <v>1</v>
      </c>
    </row>
    <row r="377" spans="1:4" ht="24" customHeight="1" x14ac:dyDescent="0.2">
      <c r="A377" s="229" t="s">
        <v>1737</v>
      </c>
      <c r="B377" s="230"/>
      <c r="C377" s="230"/>
      <c r="D377" s="231"/>
    </row>
    <row r="378" spans="1:4" ht="32" x14ac:dyDescent="0.2">
      <c r="A378" s="178">
        <f>MAX(A$4:A377)+1</f>
        <v>340</v>
      </c>
      <c r="B378" s="177">
        <f t="shared" ref="B378" si="24">B377+1</f>
        <v>1</v>
      </c>
      <c r="C378" s="111" t="s">
        <v>1304</v>
      </c>
      <c r="D378" s="178">
        <v>1</v>
      </c>
    </row>
    <row r="379" spans="1:4" x14ac:dyDescent="0.2">
      <c r="A379" s="229" t="s">
        <v>1738</v>
      </c>
      <c r="B379" s="230"/>
      <c r="C379" s="230"/>
      <c r="D379" s="231"/>
    </row>
    <row r="380" spans="1:4" ht="16" x14ac:dyDescent="0.2">
      <c r="A380" s="178">
        <f>MAX(A$4:A379)+1</f>
        <v>341</v>
      </c>
      <c r="B380" s="177">
        <f t="shared" ref="B380" si="25">B379+1</f>
        <v>1</v>
      </c>
      <c r="C380" s="111" t="s">
        <v>1305</v>
      </c>
      <c r="D380" s="180">
        <v>1</v>
      </c>
    </row>
    <row r="381" spans="1:4" x14ac:dyDescent="0.2">
      <c r="A381" s="229" t="s">
        <v>1739</v>
      </c>
      <c r="B381" s="230"/>
      <c r="C381" s="230"/>
      <c r="D381" s="231"/>
    </row>
    <row r="382" spans="1:4" ht="16" x14ac:dyDescent="0.2">
      <c r="A382" s="178">
        <f>MAX(A$4:A381)+1</f>
        <v>342</v>
      </c>
      <c r="B382" s="177">
        <f t="shared" ref="B382:B386" si="26">B381+1</f>
        <v>1</v>
      </c>
      <c r="C382" s="111" t="s">
        <v>1900</v>
      </c>
      <c r="D382" s="180">
        <v>1</v>
      </c>
    </row>
    <row r="383" spans="1:4" ht="16" x14ac:dyDescent="0.2">
      <c r="A383" s="178">
        <f>MAX(A$4:A382)+1</f>
        <v>343</v>
      </c>
      <c r="B383" s="177">
        <f t="shared" si="26"/>
        <v>2</v>
      </c>
      <c r="C383" s="111" t="s">
        <v>1901</v>
      </c>
      <c r="D383" s="180">
        <v>1</v>
      </c>
    </row>
    <row r="384" spans="1:4" ht="16" x14ac:dyDescent="0.2">
      <c r="A384" s="178">
        <f>MAX(A$4:A383)+1</f>
        <v>344</v>
      </c>
      <c r="B384" s="177">
        <f t="shared" si="26"/>
        <v>3</v>
      </c>
      <c r="C384" s="111" t="s">
        <v>1902</v>
      </c>
      <c r="D384" s="180">
        <v>1</v>
      </c>
    </row>
    <row r="385" spans="1:4" ht="32" x14ac:dyDescent="0.2">
      <c r="A385" s="178">
        <f>MAX(A$4:A384)+1</f>
        <v>345</v>
      </c>
      <c r="B385" s="177">
        <f t="shared" si="26"/>
        <v>4</v>
      </c>
      <c r="C385" s="111" t="s">
        <v>1903</v>
      </c>
      <c r="D385" s="180">
        <v>1</v>
      </c>
    </row>
    <row r="386" spans="1:4" ht="32" x14ac:dyDescent="0.2">
      <c r="A386" s="178">
        <f>MAX(A$4:A385)+1</f>
        <v>346</v>
      </c>
      <c r="B386" s="177">
        <f t="shared" si="26"/>
        <v>5</v>
      </c>
      <c r="C386" s="111" t="s">
        <v>1904</v>
      </c>
      <c r="D386" s="180">
        <v>1</v>
      </c>
    </row>
    <row r="387" spans="1:4" x14ac:dyDescent="0.2">
      <c r="A387" s="229" t="s">
        <v>1740</v>
      </c>
      <c r="B387" s="230"/>
      <c r="C387" s="230"/>
      <c r="D387" s="231"/>
    </row>
    <row r="388" spans="1:4" ht="16" x14ac:dyDescent="0.2">
      <c r="A388" s="178">
        <f>MAX(A$4:A387)+1</f>
        <v>347</v>
      </c>
      <c r="B388" s="177">
        <f t="shared" ref="B388:B391" si="27">B387+1</f>
        <v>1</v>
      </c>
      <c r="C388" s="111" t="s">
        <v>1679</v>
      </c>
      <c r="D388" s="178">
        <v>1</v>
      </c>
    </row>
    <row r="389" spans="1:4" ht="16" x14ac:dyDescent="0.2">
      <c r="A389" s="178">
        <f>MAX(A$4:A388)+1</f>
        <v>348</v>
      </c>
      <c r="B389" s="177">
        <f t="shared" si="27"/>
        <v>2</v>
      </c>
      <c r="C389" s="111" t="s">
        <v>1680</v>
      </c>
      <c r="D389" s="178">
        <v>1</v>
      </c>
    </row>
    <row r="390" spans="1:4" ht="16" x14ac:dyDescent="0.2">
      <c r="A390" s="178">
        <f>MAX(A$4:A389)+1</f>
        <v>349</v>
      </c>
      <c r="B390" s="177">
        <f t="shared" si="27"/>
        <v>3</v>
      </c>
      <c r="C390" s="111" t="s">
        <v>1681</v>
      </c>
      <c r="D390" s="178">
        <v>1</v>
      </c>
    </row>
    <row r="391" spans="1:4" ht="32" x14ac:dyDescent="0.2">
      <c r="A391" s="178">
        <f>MAX(A$4:A390)+1</f>
        <v>350</v>
      </c>
      <c r="B391" s="177">
        <f t="shared" si="27"/>
        <v>4</v>
      </c>
      <c r="C391" s="111" t="s">
        <v>1905</v>
      </c>
      <c r="D391" s="178">
        <v>1</v>
      </c>
    </row>
    <row r="392" spans="1:4" x14ac:dyDescent="0.2">
      <c r="A392" s="229" t="s">
        <v>1741</v>
      </c>
      <c r="B392" s="230"/>
      <c r="C392" s="230"/>
      <c r="D392" s="231"/>
    </row>
    <row r="393" spans="1:4" ht="16" x14ac:dyDescent="0.2">
      <c r="A393" s="178">
        <f>MAX(A$4:A392)+1</f>
        <v>351</v>
      </c>
      <c r="B393" s="177">
        <f t="shared" ref="B393:B395" si="28">B392+1</f>
        <v>1</v>
      </c>
      <c r="C393" s="111" t="s">
        <v>1313</v>
      </c>
      <c r="D393" s="178">
        <v>1</v>
      </c>
    </row>
    <row r="394" spans="1:4" ht="16" x14ac:dyDescent="0.2">
      <c r="A394" s="178">
        <f>MAX(A$4:A393)+1</f>
        <v>352</v>
      </c>
      <c r="B394" s="177">
        <f t="shared" si="28"/>
        <v>2</v>
      </c>
      <c r="C394" s="111" t="s">
        <v>1314</v>
      </c>
      <c r="D394" s="178">
        <v>1</v>
      </c>
    </row>
    <row r="395" spans="1:4" ht="16" x14ac:dyDescent="0.2">
      <c r="A395" s="178">
        <f>MAX(A$4:A394)+1</f>
        <v>353</v>
      </c>
      <c r="B395" s="177">
        <f t="shared" si="28"/>
        <v>3</v>
      </c>
      <c r="C395" s="111" t="s">
        <v>1315</v>
      </c>
      <c r="D395" s="178">
        <v>1</v>
      </c>
    </row>
    <row r="396" spans="1:4" x14ac:dyDescent="0.2">
      <c r="A396" s="229" t="s">
        <v>1742</v>
      </c>
      <c r="B396" s="230"/>
      <c r="C396" s="230"/>
      <c r="D396" s="231"/>
    </row>
    <row r="397" spans="1:4" ht="16" x14ac:dyDescent="0.2">
      <c r="A397" s="178">
        <f>MAX(A$4:A396)+1</f>
        <v>354</v>
      </c>
      <c r="B397" s="177">
        <f t="shared" ref="B397:B404" si="29">B396+1</f>
        <v>1</v>
      </c>
      <c r="C397" s="111" t="s">
        <v>1316</v>
      </c>
      <c r="D397" s="178">
        <v>1</v>
      </c>
    </row>
    <row r="398" spans="1:4" ht="16" x14ac:dyDescent="0.2">
      <c r="A398" s="178">
        <f>MAX(A$4:A397)+1</f>
        <v>355</v>
      </c>
      <c r="B398" s="177">
        <f t="shared" si="29"/>
        <v>2</v>
      </c>
      <c r="C398" s="111" t="s">
        <v>1317</v>
      </c>
      <c r="D398" s="178">
        <v>1</v>
      </c>
    </row>
    <row r="399" spans="1:4" ht="16" x14ac:dyDescent="0.2">
      <c r="A399" s="178">
        <f>MAX(A$4:A398)+1</f>
        <v>356</v>
      </c>
      <c r="B399" s="177">
        <f t="shared" si="29"/>
        <v>3</v>
      </c>
      <c r="C399" s="111" t="s">
        <v>1318</v>
      </c>
      <c r="D399" s="178">
        <v>1</v>
      </c>
    </row>
    <row r="400" spans="1:4" ht="48" x14ac:dyDescent="0.2">
      <c r="A400" s="178">
        <f>MAX(A$4:A399)+1</f>
        <v>357</v>
      </c>
      <c r="B400" s="177">
        <f t="shared" si="29"/>
        <v>4</v>
      </c>
      <c r="C400" s="111" t="s">
        <v>1319</v>
      </c>
      <c r="D400" s="178">
        <v>1</v>
      </c>
    </row>
    <row r="401" spans="1:4" ht="32" x14ac:dyDescent="0.2">
      <c r="A401" s="178">
        <f>MAX(A$4:A400)+1</f>
        <v>358</v>
      </c>
      <c r="B401" s="177">
        <f t="shared" si="29"/>
        <v>5</v>
      </c>
      <c r="C401" s="111" t="s">
        <v>1320</v>
      </c>
      <c r="D401" s="178">
        <v>1</v>
      </c>
    </row>
    <row r="402" spans="1:4" ht="16" x14ac:dyDescent="0.2">
      <c r="A402" s="178">
        <f>MAX(A$4:A401)+1</f>
        <v>359</v>
      </c>
      <c r="B402" s="177">
        <f t="shared" si="29"/>
        <v>6</v>
      </c>
      <c r="C402" s="111" t="s">
        <v>1321</v>
      </c>
      <c r="D402" s="178">
        <v>1</v>
      </c>
    </row>
    <row r="403" spans="1:4" ht="16" x14ac:dyDescent="0.2">
      <c r="A403" s="178">
        <f>MAX(A$4:A402)+1</f>
        <v>360</v>
      </c>
      <c r="B403" s="177">
        <f t="shared" si="29"/>
        <v>7</v>
      </c>
      <c r="C403" s="111" t="s">
        <v>1322</v>
      </c>
      <c r="D403" s="178">
        <v>1</v>
      </c>
    </row>
    <row r="404" spans="1:4" ht="16" x14ac:dyDescent="0.2">
      <c r="A404" s="178">
        <f>MAX(A$4:A403)+1</f>
        <v>361</v>
      </c>
      <c r="B404" s="177">
        <f t="shared" si="29"/>
        <v>8</v>
      </c>
      <c r="C404" s="111" t="s">
        <v>1323</v>
      </c>
      <c r="D404" s="178">
        <v>1</v>
      </c>
    </row>
    <row r="405" spans="1:4" x14ac:dyDescent="0.2">
      <c r="A405" s="229" t="s">
        <v>1743</v>
      </c>
      <c r="B405" s="230"/>
      <c r="C405" s="230"/>
      <c r="D405" s="231"/>
    </row>
    <row r="406" spans="1:4" ht="16" x14ac:dyDescent="0.2">
      <c r="A406" s="178">
        <f>MAX(A$4:A405)+1</f>
        <v>362</v>
      </c>
      <c r="B406" s="177">
        <f t="shared" ref="B406:B407" si="30">B405+1</f>
        <v>1</v>
      </c>
      <c r="C406" s="111" t="s">
        <v>1682</v>
      </c>
      <c r="D406" s="178">
        <v>1</v>
      </c>
    </row>
    <row r="407" spans="1:4" ht="32" x14ac:dyDescent="0.2">
      <c r="A407" s="178">
        <f>MAX(A$4:A406)+1</f>
        <v>363</v>
      </c>
      <c r="B407" s="177">
        <f t="shared" si="30"/>
        <v>2</v>
      </c>
      <c r="C407" s="111" t="s">
        <v>1683</v>
      </c>
      <c r="D407" s="178">
        <v>1</v>
      </c>
    </row>
    <row r="408" spans="1:4" x14ac:dyDescent="0.2">
      <c r="A408" s="229" t="s">
        <v>1744</v>
      </c>
      <c r="B408" s="230"/>
      <c r="C408" s="230"/>
      <c r="D408" s="231"/>
    </row>
    <row r="409" spans="1:4" ht="16" x14ac:dyDescent="0.2">
      <c r="A409" s="178">
        <f>MAX(A$4:A408)+1</f>
        <v>364</v>
      </c>
      <c r="B409" s="177">
        <f t="shared" ref="B409" si="31">B408+1</f>
        <v>1</v>
      </c>
      <c r="C409" s="111" t="s">
        <v>1684</v>
      </c>
      <c r="D409" s="178">
        <v>1</v>
      </c>
    </row>
    <row r="410" spans="1:4" x14ac:dyDescent="0.2">
      <c r="A410" s="229" t="s">
        <v>1745</v>
      </c>
      <c r="B410" s="230"/>
      <c r="C410" s="230"/>
      <c r="D410" s="231"/>
    </row>
    <row r="411" spans="1:4" ht="32" x14ac:dyDescent="0.2">
      <c r="A411" s="178">
        <f>MAX(A$4:A410)+1</f>
        <v>365</v>
      </c>
      <c r="B411" s="177">
        <f t="shared" ref="B411:B412" si="32">B410+1</f>
        <v>1</v>
      </c>
      <c r="C411" s="111" t="s">
        <v>1685</v>
      </c>
      <c r="D411" s="178">
        <v>1</v>
      </c>
    </row>
    <row r="412" spans="1:4" ht="32" x14ac:dyDescent="0.2">
      <c r="A412" s="178">
        <f>MAX(A$4:A411)+1</f>
        <v>366</v>
      </c>
      <c r="B412" s="177">
        <f t="shared" si="32"/>
        <v>2</v>
      </c>
      <c r="C412" s="111" t="s">
        <v>1686</v>
      </c>
      <c r="D412" s="178">
        <v>1</v>
      </c>
    </row>
    <row r="413" spans="1:4" x14ac:dyDescent="0.2">
      <c r="A413" s="229" t="s">
        <v>1746</v>
      </c>
      <c r="B413" s="230"/>
      <c r="C413" s="230"/>
      <c r="D413" s="231"/>
    </row>
    <row r="414" spans="1:4" ht="16" x14ac:dyDescent="0.2">
      <c r="A414" s="178">
        <f>MAX(A$4:A413)+1</f>
        <v>367</v>
      </c>
      <c r="B414" s="177">
        <f t="shared" ref="B414:B415" si="33">B413+1</f>
        <v>1</v>
      </c>
      <c r="C414" s="111" t="s">
        <v>1687</v>
      </c>
      <c r="D414" s="178">
        <v>1</v>
      </c>
    </row>
    <row r="415" spans="1:4" ht="16" x14ac:dyDescent="0.2">
      <c r="A415" s="178">
        <f>MAX(A$4:A414)+1</f>
        <v>368</v>
      </c>
      <c r="B415" s="177">
        <f t="shared" si="33"/>
        <v>2</v>
      </c>
      <c r="C415" s="111" t="s">
        <v>1688</v>
      </c>
      <c r="D415" s="178">
        <v>1</v>
      </c>
    </row>
    <row r="416" spans="1:4" x14ac:dyDescent="0.2">
      <c r="A416" s="229" t="s">
        <v>1747</v>
      </c>
      <c r="B416" s="230"/>
      <c r="C416" s="230"/>
      <c r="D416" s="231"/>
    </row>
    <row r="417" spans="1:4" ht="16" x14ac:dyDescent="0.2">
      <c r="A417" s="178">
        <f>MAX(A$4:A416)+1</f>
        <v>369</v>
      </c>
      <c r="B417" s="177">
        <f t="shared" ref="B417:B425" si="34">B416+1</f>
        <v>1</v>
      </c>
      <c r="C417" s="111" t="s">
        <v>2132</v>
      </c>
      <c r="D417" s="178">
        <v>1</v>
      </c>
    </row>
    <row r="418" spans="1:4" ht="16" x14ac:dyDescent="0.2">
      <c r="A418" s="178">
        <f>MAX(A$4:A417)+1</f>
        <v>370</v>
      </c>
      <c r="B418" s="177">
        <f t="shared" si="34"/>
        <v>2</v>
      </c>
      <c r="C418" s="111" t="s">
        <v>1324</v>
      </c>
      <c r="D418" s="178">
        <v>1</v>
      </c>
    </row>
    <row r="419" spans="1:4" ht="16" x14ac:dyDescent="0.2">
      <c r="A419" s="178">
        <f>MAX(A$4:A418)+1</f>
        <v>371</v>
      </c>
      <c r="B419" s="177">
        <f t="shared" si="34"/>
        <v>3</v>
      </c>
      <c r="C419" s="111" t="s">
        <v>2133</v>
      </c>
      <c r="D419" s="178">
        <v>1</v>
      </c>
    </row>
    <row r="420" spans="1:4" ht="16" x14ac:dyDescent="0.2">
      <c r="A420" s="178">
        <f>MAX(A$4:A419)+1</f>
        <v>372</v>
      </c>
      <c r="B420" s="177">
        <f t="shared" si="34"/>
        <v>4</v>
      </c>
      <c r="C420" s="111" t="s">
        <v>1325</v>
      </c>
      <c r="D420" s="178">
        <v>1</v>
      </c>
    </row>
    <row r="421" spans="1:4" ht="16" x14ac:dyDescent="0.2">
      <c r="A421" s="178">
        <f>MAX(A$4:A420)+1</f>
        <v>373</v>
      </c>
      <c r="B421" s="177">
        <f t="shared" si="34"/>
        <v>5</v>
      </c>
      <c r="C421" s="111" t="s">
        <v>2134</v>
      </c>
      <c r="D421" s="178">
        <v>1</v>
      </c>
    </row>
    <row r="422" spans="1:4" ht="16" x14ac:dyDescent="0.2">
      <c r="A422" s="178">
        <f>MAX(A$4:A421)+1</f>
        <v>374</v>
      </c>
      <c r="B422" s="177">
        <f t="shared" si="34"/>
        <v>6</v>
      </c>
      <c r="C422" s="111" t="s">
        <v>2135</v>
      </c>
      <c r="D422" s="178">
        <v>1</v>
      </c>
    </row>
    <row r="423" spans="1:4" ht="16" x14ac:dyDescent="0.2">
      <c r="A423" s="178">
        <f>MAX(A$4:A422)+1</f>
        <v>375</v>
      </c>
      <c r="B423" s="177">
        <f t="shared" si="34"/>
        <v>7</v>
      </c>
      <c r="C423" s="111" t="s">
        <v>2110</v>
      </c>
      <c r="D423" s="178">
        <v>1</v>
      </c>
    </row>
    <row r="424" spans="1:4" ht="16" x14ac:dyDescent="0.2">
      <c r="A424" s="178">
        <f>MAX(A$4:A423)+1</f>
        <v>376</v>
      </c>
      <c r="B424" s="177">
        <f t="shared" si="34"/>
        <v>8</v>
      </c>
      <c r="C424" s="111" t="s">
        <v>1890</v>
      </c>
      <c r="D424" s="178">
        <v>1</v>
      </c>
    </row>
    <row r="425" spans="1:4" ht="16" x14ac:dyDescent="0.2">
      <c r="A425" s="178">
        <f>MAX(A$4:A424)+1</f>
        <v>377</v>
      </c>
      <c r="B425" s="177">
        <f t="shared" si="34"/>
        <v>9</v>
      </c>
      <c r="C425" s="111" t="s">
        <v>2136</v>
      </c>
      <c r="D425" s="178">
        <v>1</v>
      </c>
    </row>
    <row r="426" spans="1:4" x14ac:dyDescent="0.2">
      <c r="A426" s="229" t="s">
        <v>1748</v>
      </c>
      <c r="B426" s="230"/>
      <c r="C426" s="230"/>
      <c r="D426" s="231"/>
    </row>
    <row r="427" spans="1:4" ht="16" x14ac:dyDescent="0.2">
      <c r="A427" s="178">
        <f>MAX(A$4:A426)+1</f>
        <v>378</v>
      </c>
      <c r="B427" s="177">
        <f t="shared" ref="B427" si="35">B426+1</f>
        <v>1</v>
      </c>
      <c r="C427" s="111" t="s">
        <v>1648</v>
      </c>
      <c r="D427" s="178">
        <v>1</v>
      </c>
    </row>
    <row r="428" spans="1:4" x14ac:dyDescent="0.2">
      <c r="A428" s="229" t="s">
        <v>1749</v>
      </c>
      <c r="B428" s="230"/>
      <c r="C428" s="230"/>
      <c r="D428" s="231"/>
    </row>
    <row r="429" spans="1:4" ht="32" x14ac:dyDescent="0.2">
      <c r="A429" s="178">
        <f>MAX(A$4:A428)+1</f>
        <v>379</v>
      </c>
      <c r="B429" s="177">
        <f t="shared" ref="B429:B431" si="36">B428+1</f>
        <v>1</v>
      </c>
      <c r="C429" s="111" t="s">
        <v>2193</v>
      </c>
      <c r="D429" s="178">
        <v>1</v>
      </c>
    </row>
    <row r="430" spans="1:4" ht="32" x14ac:dyDescent="0.2">
      <c r="A430" s="178">
        <f>MAX(A$4:A429)+1</f>
        <v>380</v>
      </c>
      <c r="B430" s="177">
        <f t="shared" si="36"/>
        <v>2</v>
      </c>
      <c r="C430" s="111" t="s">
        <v>1689</v>
      </c>
      <c r="D430" s="178">
        <v>1</v>
      </c>
    </row>
    <row r="431" spans="1:4" ht="16" x14ac:dyDescent="0.2">
      <c r="A431" s="178">
        <f>MAX(A$4:A430)+1</f>
        <v>381</v>
      </c>
      <c r="B431" s="177">
        <f t="shared" si="36"/>
        <v>3</v>
      </c>
      <c r="C431" s="111" t="s">
        <v>2194</v>
      </c>
      <c r="D431" s="178">
        <v>1</v>
      </c>
    </row>
    <row r="432" spans="1:4" ht="22" customHeight="1" x14ac:dyDescent="0.2">
      <c r="A432" s="229" t="s">
        <v>2327</v>
      </c>
      <c r="B432" s="230"/>
      <c r="C432" s="230"/>
      <c r="D432" s="231"/>
    </row>
    <row r="433" spans="1:4" ht="22" customHeight="1" x14ac:dyDescent="0.2">
      <c r="A433" s="178">
        <f>MAX(A$4:A432)+1</f>
        <v>382</v>
      </c>
      <c r="B433" s="177">
        <f t="shared" ref="B433:B436" si="37">B432+1</f>
        <v>1</v>
      </c>
      <c r="C433" s="111" t="s">
        <v>1690</v>
      </c>
      <c r="D433" s="113">
        <v>1</v>
      </c>
    </row>
    <row r="434" spans="1:4" ht="22" customHeight="1" x14ac:dyDescent="0.2">
      <c r="A434" s="178">
        <f>MAX(A$4:A433)+1</f>
        <v>383</v>
      </c>
      <c r="B434" s="177">
        <f t="shared" si="37"/>
        <v>2</v>
      </c>
      <c r="C434" s="111" t="s">
        <v>1691</v>
      </c>
      <c r="D434" s="113">
        <v>1</v>
      </c>
    </row>
    <row r="435" spans="1:4" ht="22" customHeight="1" x14ac:dyDescent="0.2">
      <c r="A435" s="178">
        <f>MAX(A$4:A434)+1</f>
        <v>384</v>
      </c>
      <c r="B435" s="177">
        <f t="shared" si="37"/>
        <v>3</v>
      </c>
      <c r="C435" s="111" t="s">
        <v>1692</v>
      </c>
      <c r="D435" s="113">
        <v>1</v>
      </c>
    </row>
    <row r="436" spans="1:4" ht="22" customHeight="1" x14ac:dyDescent="0.2">
      <c r="A436" s="178">
        <f>MAX(A$4:A435)+1</f>
        <v>385</v>
      </c>
      <c r="B436" s="177">
        <f t="shared" si="37"/>
        <v>4</v>
      </c>
      <c r="C436" s="111" t="s">
        <v>1693</v>
      </c>
      <c r="D436" s="113">
        <v>1</v>
      </c>
    </row>
    <row r="437" spans="1:4" ht="22" customHeight="1" x14ac:dyDescent="0.2">
      <c r="A437" s="229" t="s">
        <v>2328</v>
      </c>
      <c r="B437" s="230"/>
      <c r="C437" s="230"/>
      <c r="D437" s="231"/>
    </row>
    <row r="438" spans="1:4" ht="16" x14ac:dyDescent="0.2">
      <c r="A438" s="178">
        <f>MAX(A$4:A437)+1</f>
        <v>386</v>
      </c>
      <c r="B438" s="177">
        <f t="shared" ref="B438:B441" si="38">B437+1</f>
        <v>1</v>
      </c>
      <c r="C438" s="111" t="s">
        <v>1750</v>
      </c>
      <c r="D438" s="113">
        <v>1</v>
      </c>
    </row>
    <row r="439" spans="1:4" ht="16" x14ac:dyDescent="0.2">
      <c r="A439" s="178">
        <f>MAX(A$4:A438)+1</f>
        <v>387</v>
      </c>
      <c r="B439" s="177">
        <f t="shared" si="38"/>
        <v>2</v>
      </c>
      <c r="C439" s="111" t="s">
        <v>1751</v>
      </c>
      <c r="D439" s="113">
        <v>1</v>
      </c>
    </row>
    <row r="440" spans="1:4" ht="16" x14ac:dyDescent="0.2">
      <c r="A440" s="178">
        <f>MAX(A$4:A439)+1</f>
        <v>388</v>
      </c>
      <c r="B440" s="177">
        <f t="shared" si="38"/>
        <v>3</v>
      </c>
      <c r="C440" s="111" t="s">
        <v>1752</v>
      </c>
      <c r="D440" s="113">
        <v>1</v>
      </c>
    </row>
    <row r="441" spans="1:4" ht="16" x14ac:dyDescent="0.2">
      <c r="A441" s="178">
        <f>MAX(A$4:A440)+1</f>
        <v>389</v>
      </c>
      <c r="B441" s="177">
        <f t="shared" si="38"/>
        <v>4</v>
      </c>
      <c r="C441" s="111" t="s">
        <v>1753</v>
      </c>
      <c r="D441" s="113">
        <v>1</v>
      </c>
    </row>
    <row r="442" spans="1:4" x14ac:dyDescent="0.2">
      <c r="A442" s="229" t="s">
        <v>2329</v>
      </c>
      <c r="B442" s="230"/>
      <c r="C442" s="230"/>
      <c r="D442" s="231"/>
    </row>
    <row r="443" spans="1:4" ht="16" x14ac:dyDescent="0.2">
      <c r="A443" s="178">
        <f>MAX(A$4:A442)+1</f>
        <v>390</v>
      </c>
      <c r="B443" s="177">
        <f t="shared" ref="B443:B445" si="39">B442+1</f>
        <v>1</v>
      </c>
      <c r="C443" s="111" t="s">
        <v>1695</v>
      </c>
      <c r="D443" s="113">
        <v>1</v>
      </c>
    </row>
    <row r="444" spans="1:4" ht="16" x14ac:dyDescent="0.2">
      <c r="A444" s="178">
        <f>MAX(A$4:A443)+1</f>
        <v>391</v>
      </c>
      <c r="B444" s="177">
        <f t="shared" si="39"/>
        <v>2</v>
      </c>
      <c r="C444" s="111" t="s">
        <v>1696</v>
      </c>
      <c r="D444" s="113">
        <v>1</v>
      </c>
    </row>
    <row r="445" spans="1:4" ht="16" x14ac:dyDescent="0.2">
      <c r="A445" s="178">
        <f>MAX(A$4:A444)+1</f>
        <v>392</v>
      </c>
      <c r="B445" s="177">
        <f t="shared" si="39"/>
        <v>3</v>
      </c>
      <c r="C445" s="111" t="s">
        <v>1906</v>
      </c>
      <c r="D445" s="113">
        <v>1</v>
      </c>
    </row>
    <row r="446" spans="1:4" x14ac:dyDescent="0.2">
      <c r="A446" s="229" t="s">
        <v>2330</v>
      </c>
      <c r="B446" s="230"/>
      <c r="C446" s="230"/>
      <c r="D446" s="231"/>
    </row>
    <row r="447" spans="1:4" ht="16" x14ac:dyDescent="0.2">
      <c r="A447" s="178">
        <f>MAX(A$4:A446)+1</f>
        <v>393</v>
      </c>
      <c r="B447" s="177">
        <f t="shared" ref="B447" si="40">B446+1</f>
        <v>1</v>
      </c>
      <c r="C447" s="111" t="s">
        <v>1697</v>
      </c>
      <c r="D447" s="113">
        <v>4</v>
      </c>
    </row>
    <row r="448" spans="1:4" x14ac:dyDescent="0.2">
      <c r="A448" s="229" t="s">
        <v>2331</v>
      </c>
      <c r="B448" s="230"/>
      <c r="C448" s="230"/>
      <c r="D448" s="231"/>
    </row>
    <row r="449" spans="1:4" ht="16" x14ac:dyDescent="0.2">
      <c r="A449" s="178">
        <f>MAX(A$4:A448)+1</f>
        <v>394</v>
      </c>
      <c r="B449" s="177">
        <f t="shared" ref="B449:B450" si="41">B448+1</f>
        <v>1</v>
      </c>
      <c r="C449" s="111" t="s">
        <v>2091</v>
      </c>
      <c r="D449" s="113">
        <v>1</v>
      </c>
    </row>
    <row r="450" spans="1:4" ht="32" x14ac:dyDescent="0.2">
      <c r="A450" s="178">
        <f>MAX(A$4:A449)+1</f>
        <v>395</v>
      </c>
      <c r="B450" s="177">
        <f t="shared" si="41"/>
        <v>2</v>
      </c>
      <c r="C450" s="111" t="s">
        <v>2092</v>
      </c>
      <c r="D450" s="113">
        <v>1</v>
      </c>
    </row>
    <row r="451" spans="1:4" x14ac:dyDescent="0.2">
      <c r="A451" s="229" t="s">
        <v>2332</v>
      </c>
      <c r="B451" s="230"/>
      <c r="C451" s="230"/>
      <c r="D451" s="231"/>
    </row>
    <row r="452" spans="1:4" ht="16" x14ac:dyDescent="0.2">
      <c r="A452" s="178">
        <f>MAX(A$4:A451)+1</f>
        <v>396</v>
      </c>
      <c r="B452" s="177">
        <f t="shared" ref="B452:B456" si="42">B451+1</f>
        <v>1</v>
      </c>
      <c r="C452" s="111" t="s">
        <v>1956</v>
      </c>
      <c r="D452" s="113">
        <v>1</v>
      </c>
    </row>
    <row r="453" spans="1:4" ht="16" x14ac:dyDescent="0.2">
      <c r="A453" s="178">
        <f>MAX(A$4:A452)+1</f>
        <v>397</v>
      </c>
      <c r="B453" s="177">
        <f t="shared" si="42"/>
        <v>2</v>
      </c>
      <c r="C453" s="111" t="s">
        <v>1957</v>
      </c>
      <c r="D453" s="113">
        <v>1</v>
      </c>
    </row>
    <row r="454" spans="1:4" ht="16" x14ac:dyDescent="0.2">
      <c r="A454" s="178">
        <f>MAX(A$4:A453)+1</f>
        <v>398</v>
      </c>
      <c r="B454" s="177">
        <f t="shared" si="42"/>
        <v>3</v>
      </c>
      <c r="C454" s="111" t="s">
        <v>1958</v>
      </c>
      <c r="D454" s="113">
        <v>1</v>
      </c>
    </row>
    <row r="455" spans="1:4" ht="16" x14ac:dyDescent="0.2">
      <c r="A455" s="178">
        <f>MAX(A$4:A454)+1</f>
        <v>399</v>
      </c>
      <c r="B455" s="177">
        <f t="shared" si="42"/>
        <v>4</v>
      </c>
      <c r="C455" s="111" t="s">
        <v>1959</v>
      </c>
      <c r="D455" s="113">
        <v>1</v>
      </c>
    </row>
    <row r="456" spans="1:4" ht="16" x14ac:dyDescent="0.2">
      <c r="A456" s="178">
        <f>MAX(A$4:A455)+1</f>
        <v>400</v>
      </c>
      <c r="B456" s="177">
        <f t="shared" si="42"/>
        <v>5</v>
      </c>
      <c r="C456" s="111" t="s">
        <v>1960</v>
      </c>
      <c r="D456" s="113">
        <v>1</v>
      </c>
    </row>
    <row r="457" spans="1:4" x14ac:dyDescent="0.2">
      <c r="A457" s="229" t="s">
        <v>2333</v>
      </c>
      <c r="B457" s="230"/>
      <c r="C457" s="230"/>
      <c r="D457" s="231"/>
    </row>
    <row r="458" spans="1:4" ht="16" x14ac:dyDescent="0.2">
      <c r="A458" s="178">
        <f>MAX(A$4:A457)+1</f>
        <v>401</v>
      </c>
      <c r="B458" s="177">
        <f t="shared" ref="B458:B460" si="43">B457+1</f>
        <v>1</v>
      </c>
      <c r="C458" s="111" t="s">
        <v>1961</v>
      </c>
      <c r="D458" s="113">
        <v>1</v>
      </c>
    </row>
    <row r="459" spans="1:4" ht="16" x14ac:dyDescent="0.2">
      <c r="A459" s="178">
        <f>MAX(A$4:A458)+1</f>
        <v>402</v>
      </c>
      <c r="B459" s="177">
        <f t="shared" si="43"/>
        <v>2</v>
      </c>
      <c r="C459" s="111" t="s">
        <v>1962</v>
      </c>
      <c r="D459" s="113">
        <v>1</v>
      </c>
    </row>
    <row r="460" spans="1:4" ht="16" x14ac:dyDescent="0.2">
      <c r="A460" s="178">
        <f>MAX(A$4:A459)+1</f>
        <v>403</v>
      </c>
      <c r="B460" s="177">
        <f t="shared" si="43"/>
        <v>3</v>
      </c>
      <c r="C460" s="111" t="s">
        <v>1906</v>
      </c>
      <c r="D460" s="113">
        <v>1</v>
      </c>
    </row>
    <row r="461" spans="1:4" x14ac:dyDescent="0.2">
      <c r="A461" s="229" t="s">
        <v>2334</v>
      </c>
      <c r="B461" s="230"/>
      <c r="C461" s="230"/>
      <c r="D461" s="231"/>
    </row>
    <row r="462" spans="1:4" ht="16" x14ac:dyDescent="0.2">
      <c r="A462" s="178">
        <f>MAX(A$4:A461)+1</f>
        <v>404</v>
      </c>
      <c r="B462" s="177">
        <f t="shared" ref="B462:B464" si="44">B461+1</f>
        <v>1</v>
      </c>
      <c r="C462" s="111" t="s">
        <v>1698</v>
      </c>
      <c r="D462" s="113">
        <v>1</v>
      </c>
    </row>
    <row r="463" spans="1:4" ht="16" x14ac:dyDescent="0.2">
      <c r="A463" s="178">
        <f>MAX(A$4:A462)+1</f>
        <v>405</v>
      </c>
      <c r="B463" s="177">
        <f t="shared" si="44"/>
        <v>2</v>
      </c>
      <c r="C463" s="111" t="s">
        <v>1699</v>
      </c>
      <c r="D463" s="113">
        <v>1</v>
      </c>
    </row>
    <row r="464" spans="1:4" ht="32" x14ac:dyDescent="0.2">
      <c r="A464" s="178">
        <f>MAX(A$4:A463)+1</f>
        <v>406</v>
      </c>
      <c r="B464" s="177">
        <f t="shared" si="44"/>
        <v>3</v>
      </c>
      <c r="C464" s="111" t="s">
        <v>1700</v>
      </c>
      <c r="D464" s="113">
        <v>1</v>
      </c>
    </row>
    <row r="465" spans="1:4" x14ac:dyDescent="0.2">
      <c r="A465" s="229" t="s">
        <v>2335</v>
      </c>
      <c r="B465" s="230"/>
      <c r="C465" s="230"/>
      <c r="D465" s="231"/>
    </row>
    <row r="466" spans="1:4" ht="16" x14ac:dyDescent="0.2">
      <c r="A466" s="178">
        <f>MAX(A$4:A465)+1</f>
        <v>407</v>
      </c>
      <c r="B466" s="177">
        <f t="shared" ref="B466:B467" si="45">B465+1</f>
        <v>1</v>
      </c>
      <c r="C466" s="111" t="s">
        <v>1701</v>
      </c>
      <c r="D466" s="113">
        <v>1</v>
      </c>
    </row>
    <row r="467" spans="1:4" ht="16" x14ac:dyDescent="0.2">
      <c r="A467" s="178">
        <f>MAX(A$4:A466)+1</f>
        <v>408</v>
      </c>
      <c r="B467" s="177">
        <f t="shared" si="45"/>
        <v>2</v>
      </c>
      <c r="C467" s="111" t="s">
        <v>1702</v>
      </c>
      <c r="D467" s="113">
        <v>1</v>
      </c>
    </row>
    <row r="468" spans="1:4" x14ac:dyDescent="0.2">
      <c r="A468" s="229" t="s">
        <v>2336</v>
      </c>
      <c r="B468" s="230"/>
      <c r="C468" s="230"/>
      <c r="D468" s="231"/>
    </row>
    <row r="469" spans="1:4" ht="16" x14ac:dyDescent="0.2">
      <c r="A469" s="178">
        <f>MAX(A$4:A468)+1</f>
        <v>409</v>
      </c>
      <c r="B469" s="177">
        <f t="shared" ref="B469" si="46">B468+1</f>
        <v>1</v>
      </c>
      <c r="C469" s="111" t="s">
        <v>1703</v>
      </c>
      <c r="D469" s="178">
        <v>1</v>
      </c>
    </row>
    <row r="470" spans="1:4" x14ac:dyDescent="0.2">
      <c r="A470" s="229" t="s">
        <v>2337</v>
      </c>
      <c r="B470" s="230"/>
      <c r="C470" s="230"/>
      <c r="D470" s="231"/>
    </row>
    <row r="471" spans="1:4" ht="16" x14ac:dyDescent="0.2">
      <c r="A471" s="178">
        <f>MAX(A$4:A470)+1</f>
        <v>410</v>
      </c>
      <c r="B471" s="177">
        <f t="shared" ref="B471:B472" si="47">B470+1</f>
        <v>1</v>
      </c>
      <c r="C471" s="111" t="s">
        <v>1669</v>
      </c>
      <c r="D471" s="113">
        <v>1</v>
      </c>
    </row>
    <row r="472" spans="1:4" ht="16" x14ac:dyDescent="0.2">
      <c r="A472" s="178">
        <f>MAX(A$4:A471)+1</f>
        <v>411</v>
      </c>
      <c r="B472" s="177">
        <f t="shared" si="47"/>
        <v>2</v>
      </c>
      <c r="C472" s="111" t="s">
        <v>1670</v>
      </c>
      <c r="D472" s="113">
        <v>1</v>
      </c>
    </row>
    <row r="473" spans="1:4" x14ac:dyDescent="0.2">
      <c r="A473" s="229" t="s">
        <v>2338</v>
      </c>
      <c r="B473" s="230"/>
      <c r="C473" s="230"/>
      <c r="D473" s="231"/>
    </row>
    <row r="474" spans="1:4" ht="16" x14ac:dyDescent="0.2">
      <c r="A474" s="178">
        <f>MAX(A$4:A473)+1</f>
        <v>412</v>
      </c>
      <c r="B474" s="177">
        <f t="shared" ref="B474:B475" si="48">B473+1</f>
        <v>1</v>
      </c>
      <c r="C474" s="111" t="s">
        <v>1669</v>
      </c>
      <c r="D474" s="113">
        <v>1</v>
      </c>
    </row>
    <row r="475" spans="1:4" ht="16" x14ac:dyDescent="0.2">
      <c r="A475" s="178">
        <f>MAX(A$4:A474)+1</f>
        <v>413</v>
      </c>
      <c r="B475" s="177">
        <f t="shared" si="48"/>
        <v>2</v>
      </c>
      <c r="C475" s="111" t="s">
        <v>1670</v>
      </c>
      <c r="D475" s="113">
        <v>1</v>
      </c>
    </row>
    <row r="476" spans="1:4" x14ac:dyDescent="0.2">
      <c r="A476" s="229" t="s">
        <v>2339</v>
      </c>
      <c r="B476" s="230"/>
      <c r="C476" s="230"/>
      <c r="D476" s="231"/>
    </row>
    <row r="477" spans="1:4" ht="16" x14ac:dyDescent="0.2">
      <c r="A477" s="178">
        <f>MAX(A$4:A476)+1</f>
        <v>414</v>
      </c>
      <c r="B477" s="177">
        <f t="shared" ref="B477:B478" si="49">B476+1</f>
        <v>1</v>
      </c>
      <c r="C477" s="111" t="s">
        <v>1669</v>
      </c>
      <c r="D477" s="113">
        <v>1</v>
      </c>
    </row>
    <row r="478" spans="1:4" ht="16" x14ac:dyDescent="0.2">
      <c r="A478" s="178">
        <f>MAX(A$4:A477)+1</f>
        <v>415</v>
      </c>
      <c r="B478" s="177">
        <f t="shared" si="49"/>
        <v>2</v>
      </c>
      <c r="C478" s="111" t="s">
        <v>1670</v>
      </c>
      <c r="D478" s="113">
        <v>1</v>
      </c>
    </row>
    <row r="479" spans="1:4" x14ac:dyDescent="0.2">
      <c r="A479" s="229" t="s">
        <v>2340</v>
      </c>
      <c r="B479" s="230"/>
      <c r="C479" s="230"/>
      <c r="D479" s="231"/>
    </row>
    <row r="480" spans="1:4" ht="16" x14ac:dyDescent="0.2">
      <c r="A480" s="178">
        <f>MAX(A$4:A479)+1</f>
        <v>416</v>
      </c>
      <c r="B480" s="177">
        <f t="shared" ref="B480:B481" si="50">B479+1</f>
        <v>1</v>
      </c>
      <c r="C480" s="111" t="s">
        <v>1669</v>
      </c>
      <c r="D480" s="113">
        <v>1</v>
      </c>
    </row>
    <row r="481" spans="1:4" ht="16" x14ac:dyDescent="0.2">
      <c r="A481" s="178">
        <f>MAX(A$4:A480)+1</f>
        <v>417</v>
      </c>
      <c r="B481" s="177">
        <f t="shared" si="50"/>
        <v>2</v>
      </c>
      <c r="C481" s="111" t="s">
        <v>1670</v>
      </c>
      <c r="D481" s="113">
        <v>1</v>
      </c>
    </row>
    <row r="482" spans="1:4" x14ac:dyDescent="0.2">
      <c r="A482" s="229" t="s">
        <v>2341</v>
      </c>
      <c r="B482" s="230"/>
      <c r="C482" s="230"/>
      <c r="D482" s="231"/>
    </row>
    <row r="483" spans="1:4" ht="16" x14ac:dyDescent="0.2">
      <c r="A483" s="178">
        <f>MAX(A$4:A482)+1</f>
        <v>418</v>
      </c>
      <c r="B483" s="177">
        <f t="shared" ref="B483:B484" si="51">B482+1</f>
        <v>1</v>
      </c>
      <c r="C483" s="111" t="s">
        <v>1669</v>
      </c>
      <c r="D483" s="113">
        <v>1</v>
      </c>
    </row>
    <row r="484" spans="1:4" ht="16" x14ac:dyDescent="0.2">
      <c r="A484" s="178">
        <f>MAX(A$4:A483)+1</f>
        <v>419</v>
      </c>
      <c r="B484" s="177">
        <f t="shared" si="51"/>
        <v>2</v>
      </c>
      <c r="C484" s="111" t="s">
        <v>1670</v>
      </c>
      <c r="D484" s="113">
        <v>1</v>
      </c>
    </row>
    <row r="485" spans="1:4" x14ac:dyDescent="0.2">
      <c r="A485" s="229" t="s">
        <v>2342</v>
      </c>
      <c r="B485" s="230"/>
      <c r="C485" s="230"/>
      <c r="D485" s="231"/>
    </row>
    <row r="486" spans="1:4" ht="16" x14ac:dyDescent="0.2">
      <c r="A486" s="178">
        <f>MAX(A$4:A485)+1</f>
        <v>420</v>
      </c>
      <c r="B486" s="177">
        <f t="shared" ref="B486:B487" si="52">B485+1</f>
        <v>1</v>
      </c>
      <c r="C486" s="111" t="s">
        <v>1669</v>
      </c>
      <c r="D486" s="113">
        <v>1</v>
      </c>
    </row>
    <row r="487" spans="1:4" ht="16" x14ac:dyDescent="0.2">
      <c r="A487" s="178">
        <f>MAX(A$4:A486)+1</f>
        <v>421</v>
      </c>
      <c r="B487" s="177">
        <f t="shared" si="52"/>
        <v>2</v>
      </c>
      <c r="C487" s="111" t="s">
        <v>1670</v>
      </c>
      <c r="D487" s="113">
        <v>1</v>
      </c>
    </row>
    <row r="488" spans="1:4" x14ac:dyDescent="0.2">
      <c r="A488" s="229" t="s">
        <v>2343</v>
      </c>
      <c r="B488" s="230"/>
      <c r="C488" s="230"/>
      <c r="D488" s="231"/>
    </row>
    <row r="489" spans="1:4" ht="16" x14ac:dyDescent="0.2">
      <c r="A489" s="178">
        <f>MAX(A$4:A488)+1</f>
        <v>422</v>
      </c>
      <c r="B489" s="177">
        <f t="shared" ref="B489:B490" si="53">B488+1</f>
        <v>1</v>
      </c>
      <c r="C489" s="111" t="s">
        <v>1669</v>
      </c>
      <c r="D489" s="113">
        <v>1</v>
      </c>
    </row>
    <row r="490" spans="1:4" ht="16" x14ac:dyDescent="0.2">
      <c r="A490" s="178">
        <f>MAX(A$4:A489)+1</f>
        <v>423</v>
      </c>
      <c r="B490" s="177">
        <f t="shared" si="53"/>
        <v>2</v>
      </c>
      <c r="C490" s="111" t="s">
        <v>1670</v>
      </c>
      <c r="D490" s="113">
        <v>1</v>
      </c>
    </row>
    <row r="491" spans="1:4" x14ac:dyDescent="0.2">
      <c r="A491" s="229" t="s">
        <v>2344</v>
      </c>
      <c r="B491" s="230"/>
      <c r="C491" s="230"/>
      <c r="D491" s="231"/>
    </row>
    <row r="492" spans="1:4" ht="16" x14ac:dyDescent="0.2">
      <c r="A492" s="178">
        <f>MAX(A$4:A491)+1</f>
        <v>424</v>
      </c>
      <c r="B492" s="177">
        <f t="shared" ref="B492:B493" si="54">B491+1</f>
        <v>1</v>
      </c>
      <c r="C492" s="111" t="s">
        <v>1669</v>
      </c>
      <c r="D492" s="113">
        <v>1</v>
      </c>
    </row>
    <row r="493" spans="1:4" ht="16" x14ac:dyDescent="0.2">
      <c r="A493" s="178">
        <f>MAX(A$4:A492)+1</f>
        <v>425</v>
      </c>
      <c r="B493" s="177">
        <f t="shared" si="54"/>
        <v>2</v>
      </c>
      <c r="C493" s="111" t="s">
        <v>1670</v>
      </c>
      <c r="D493" s="113">
        <v>1</v>
      </c>
    </row>
    <row r="494" spans="1:4" x14ac:dyDescent="0.2">
      <c r="A494" s="229" t="s">
        <v>2345</v>
      </c>
      <c r="B494" s="230"/>
      <c r="C494" s="230"/>
      <c r="D494" s="231"/>
    </row>
    <row r="495" spans="1:4" ht="32" x14ac:dyDescent="0.2">
      <c r="A495" s="178">
        <f>MAX(A$4:A494)+1</f>
        <v>426</v>
      </c>
      <c r="B495" s="177">
        <f t="shared" ref="B495:B497" si="55">B494+1</f>
        <v>1</v>
      </c>
      <c r="C495" s="111" t="s">
        <v>1754</v>
      </c>
      <c r="D495" s="113">
        <v>1</v>
      </c>
    </row>
    <row r="496" spans="1:4" ht="32" x14ac:dyDescent="0.2">
      <c r="A496" s="178">
        <f>MAX(A$4:A495)+1</f>
        <v>427</v>
      </c>
      <c r="B496" s="177">
        <f t="shared" si="55"/>
        <v>2</v>
      </c>
      <c r="C496" s="111" t="s">
        <v>1704</v>
      </c>
      <c r="D496" s="113">
        <v>1</v>
      </c>
    </row>
    <row r="497" spans="1:4" ht="16" x14ac:dyDescent="0.2">
      <c r="A497" s="178">
        <f>MAX(A$4:A496)+1</f>
        <v>428</v>
      </c>
      <c r="B497" s="177">
        <f t="shared" si="55"/>
        <v>3</v>
      </c>
      <c r="C497" s="111" t="s">
        <v>1755</v>
      </c>
      <c r="D497" s="113">
        <v>1</v>
      </c>
    </row>
    <row r="498" spans="1:4" x14ac:dyDescent="0.2">
      <c r="A498" s="229" t="s">
        <v>2346</v>
      </c>
      <c r="B498" s="230"/>
      <c r="C498" s="230"/>
      <c r="D498" s="231"/>
    </row>
    <row r="499" spans="1:4" ht="16" x14ac:dyDescent="0.2">
      <c r="A499" s="178">
        <f>MAX(A$4:A498)+1</f>
        <v>429</v>
      </c>
      <c r="B499" s="177">
        <f t="shared" ref="B499:B504" si="56">B498+1</f>
        <v>1</v>
      </c>
      <c r="C499" s="111" t="s">
        <v>1705</v>
      </c>
      <c r="D499" s="113">
        <v>1</v>
      </c>
    </row>
    <row r="500" spans="1:4" ht="16" x14ac:dyDescent="0.2">
      <c r="A500" s="178">
        <f>MAX(A$4:A499)+1</f>
        <v>430</v>
      </c>
      <c r="B500" s="177">
        <f t="shared" si="56"/>
        <v>2</v>
      </c>
      <c r="C500" s="111" t="s">
        <v>1963</v>
      </c>
      <c r="D500" s="113">
        <v>1</v>
      </c>
    </row>
    <row r="501" spans="1:4" ht="16" x14ac:dyDescent="0.2">
      <c r="A501" s="178">
        <f>MAX(A$4:A500)+1</f>
        <v>431</v>
      </c>
      <c r="B501" s="177">
        <f t="shared" si="56"/>
        <v>3</v>
      </c>
      <c r="C501" s="111" t="s">
        <v>1964</v>
      </c>
      <c r="D501" s="113">
        <v>1</v>
      </c>
    </row>
    <row r="502" spans="1:4" ht="16" x14ac:dyDescent="0.2">
      <c r="A502" s="178">
        <f>MAX(A$4:A501)+1</f>
        <v>432</v>
      </c>
      <c r="B502" s="177">
        <f t="shared" si="56"/>
        <v>4</v>
      </c>
      <c r="C502" s="111" t="s">
        <v>1965</v>
      </c>
      <c r="D502" s="113">
        <v>1</v>
      </c>
    </row>
    <row r="503" spans="1:4" ht="16" x14ac:dyDescent="0.2">
      <c r="A503" s="178">
        <f>MAX(A$4:A502)+1</f>
        <v>433</v>
      </c>
      <c r="B503" s="177">
        <f t="shared" si="56"/>
        <v>5</v>
      </c>
      <c r="C503" s="111" t="s">
        <v>1966</v>
      </c>
      <c r="D503" s="113">
        <v>1</v>
      </c>
    </row>
    <row r="504" spans="1:4" ht="16" x14ac:dyDescent="0.2">
      <c r="A504" s="178">
        <f>MAX(A$4:A503)+1</f>
        <v>434</v>
      </c>
      <c r="B504" s="177">
        <f t="shared" si="56"/>
        <v>6</v>
      </c>
      <c r="C504" s="111" t="s">
        <v>1967</v>
      </c>
      <c r="D504" s="113">
        <v>1</v>
      </c>
    </row>
    <row r="505" spans="1:4" x14ac:dyDescent="0.2">
      <c r="A505" s="229" t="s">
        <v>2347</v>
      </c>
      <c r="B505" s="230"/>
      <c r="C505" s="230"/>
      <c r="D505" s="231"/>
    </row>
    <row r="506" spans="1:4" ht="16" x14ac:dyDescent="0.2">
      <c r="A506" s="178">
        <f>MAX(A$4:A505)+1</f>
        <v>435</v>
      </c>
      <c r="B506" s="177">
        <f t="shared" ref="B506:B507" si="57">B505+1</f>
        <v>1</v>
      </c>
      <c r="C506" s="111" t="s">
        <v>1706</v>
      </c>
      <c r="D506" s="113">
        <v>1</v>
      </c>
    </row>
    <row r="507" spans="1:4" ht="32" x14ac:dyDescent="0.2">
      <c r="A507" s="178">
        <f>MAX(A$4:A506)+1</f>
        <v>436</v>
      </c>
      <c r="B507" s="177">
        <f t="shared" si="57"/>
        <v>2</v>
      </c>
      <c r="C507" s="111" t="s">
        <v>1707</v>
      </c>
      <c r="D507" s="113">
        <v>1</v>
      </c>
    </row>
    <row r="508" spans="1:4" x14ac:dyDescent="0.2">
      <c r="A508" s="229" t="s">
        <v>2348</v>
      </c>
      <c r="B508" s="230"/>
      <c r="C508" s="230"/>
      <c r="D508" s="231"/>
    </row>
    <row r="509" spans="1:4" ht="16" x14ac:dyDescent="0.2">
      <c r="A509" s="178">
        <f>MAX(A$4:A508)+1</f>
        <v>437</v>
      </c>
      <c r="B509" s="177">
        <f t="shared" ref="B509" si="58">B508+1</f>
        <v>1</v>
      </c>
      <c r="C509" s="111" t="s">
        <v>1907</v>
      </c>
      <c r="D509" s="113">
        <v>1</v>
      </c>
    </row>
    <row r="510" spans="1:4" x14ac:dyDescent="0.2">
      <c r="A510" s="229" t="s">
        <v>2349</v>
      </c>
      <c r="B510" s="230"/>
      <c r="C510" s="230"/>
      <c r="D510" s="231"/>
    </row>
    <row r="511" spans="1:4" ht="32" x14ac:dyDescent="0.2">
      <c r="A511" s="178">
        <f>MAX(A$4:A510)+1</f>
        <v>438</v>
      </c>
      <c r="B511" s="177">
        <f t="shared" ref="B511:B512" si="59">B510+1</f>
        <v>1</v>
      </c>
      <c r="C511" s="111" t="s">
        <v>1756</v>
      </c>
      <c r="D511" s="113">
        <v>1</v>
      </c>
    </row>
    <row r="512" spans="1:4" ht="32" x14ac:dyDescent="0.2">
      <c r="A512" s="178">
        <f>MAX(A$4:A511)+1</f>
        <v>439</v>
      </c>
      <c r="B512" s="177">
        <f t="shared" si="59"/>
        <v>2</v>
      </c>
      <c r="C512" s="111" t="s">
        <v>1757</v>
      </c>
      <c r="D512" s="113">
        <v>1</v>
      </c>
    </row>
    <row r="513" spans="1:4" x14ac:dyDescent="0.2">
      <c r="A513" s="229" t="s">
        <v>2350</v>
      </c>
      <c r="B513" s="230"/>
      <c r="C513" s="230"/>
      <c r="D513" s="231"/>
    </row>
    <row r="514" spans="1:4" ht="16" x14ac:dyDescent="0.2">
      <c r="A514" s="178">
        <f>MAX(A$4:A513)+1</f>
        <v>440</v>
      </c>
      <c r="B514" s="177">
        <f t="shared" ref="B514" si="60">B513+1</f>
        <v>1</v>
      </c>
      <c r="C514" s="111" t="s">
        <v>1854</v>
      </c>
      <c r="D514" s="113">
        <v>1</v>
      </c>
    </row>
    <row r="515" spans="1:4" ht="21.75" customHeight="1" x14ac:dyDescent="0.2">
      <c r="A515" s="229" t="s">
        <v>2351</v>
      </c>
      <c r="B515" s="230"/>
      <c r="C515" s="230"/>
      <c r="D515" s="231"/>
    </row>
    <row r="516" spans="1:4" ht="16" x14ac:dyDescent="0.2">
      <c r="A516" s="178">
        <f>MAX(A$4:A515)+1</f>
        <v>441</v>
      </c>
      <c r="B516" s="177">
        <f t="shared" ref="B516:B519" si="61">B515+1</f>
        <v>1</v>
      </c>
      <c r="C516" s="111" t="s">
        <v>1978</v>
      </c>
      <c r="D516" s="113">
        <v>1</v>
      </c>
    </row>
    <row r="517" spans="1:4" ht="16" x14ac:dyDescent="0.2">
      <c r="A517" s="178">
        <f>MAX(A$4:A516)+1</f>
        <v>442</v>
      </c>
      <c r="B517" s="177">
        <f t="shared" si="61"/>
        <v>2</v>
      </c>
      <c r="C517" s="111" t="s">
        <v>1979</v>
      </c>
      <c r="D517" s="113">
        <v>1</v>
      </c>
    </row>
    <row r="518" spans="1:4" ht="16" x14ac:dyDescent="0.2">
      <c r="A518" s="178">
        <f>MAX(A$4:A517)+1</f>
        <v>443</v>
      </c>
      <c r="B518" s="177">
        <f t="shared" si="61"/>
        <v>3</v>
      </c>
      <c r="C518" s="111" t="s">
        <v>1980</v>
      </c>
      <c r="D518" s="113">
        <v>1</v>
      </c>
    </row>
    <row r="519" spans="1:4" ht="16" x14ac:dyDescent="0.2">
      <c r="A519" s="178">
        <f>MAX(A$4:A518)+1</f>
        <v>444</v>
      </c>
      <c r="B519" s="177">
        <f t="shared" si="61"/>
        <v>4</v>
      </c>
      <c r="C519" s="111" t="s">
        <v>1981</v>
      </c>
      <c r="D519" s="113">
        <v>1</v>
      </c>
    </row>
    <row r="520" spans="1:4" x14ac:dyDescent="0.2">
      <c r="A520" s="229" t="s">
        <v>2352</v>
      </c>
      <c r="B520" s="230"/>
      <c r="C520" s="230"/>
      <c r="D520" s="231"/>
    </row>
    <row r="521" spans="1:4" ht="16" x14ac:dyDescent="0.2">
      <c r="A521" s="178">
        <f>MAX(A$4:A520)+1</f>
        <v>445</v>
      </c>
      <c r="B521" s="177">
        <f t="shared" ref="B521:B522" si="62">B520+1</f>
        <v>1</v>
      </c>
      <c r="C521" s="111" t="s">
        <v>1918</v>
      </c>
      <c r="D521" s="113">
        <v>1</v>
      </c>
    </row>
    <row r="522" spans="1:4" ht="16" x14ac:dyDescent="0.2">
      <c r="A522" s="178">
        <f>MAX(A$4:A521)+1</f>
        <v>446</v>
      </c>
      <c r="B522" s="177">
        <f t="shared" si="62"/>
        <v>2</v>
      </c>
      <c r="C522" s="111" t="s">
        <v>1919</v>
      </c>
      <c r="D522" s="113">
        <v>1</v>
      </c>
    </row>
    <row r="523" spans="1:4" x14ac:dyDescent="0.2">
      <c r="A523" s="229" t="s">
        <v>2353</v>
      </c>
      <c r="B523" s="230"/>
      <c r="C523" s="230"/>
      <c r="D523" s="231"/>
    </row>
    <row r="524" spans="1:4" ht="16" x14ac:dyDescent="0.2">
      <c r="A524" s="178">
        <f>MAX(A$4:A523)+1</f>
        <v>447</v>
      </c>
      <c r="B524" s="177">
        <f t="shared" ref="B524" si="63">B523+1</f>
        <v>1</v>
      </c>
      <c r="C524" s="111" t="s">
        <v>1968</v>
      </c>
      <c r="D524" s="113">
        <v>1</v>
      </c>
    </row>
    <row r="525" spans="1:4" x14ac:dyDescent="0.2">
      <c r="A525" s="229" t="s">
        <v>2354</v>
      </c>
      <c r="B525" s="230"/>
      <c r="C525" s="230"/>
      <c r="D525" s="231"/>
    </row>
    <row r="526" spans="1:4" ht="16" x14ac:dyDescent="0.2">
      <c r="A526" s="178">
        <f>MAX(A$4:A525)+1</f>
        <v>448</v>
      </c>
      <c r="B526" s="177">
        <f t="shared" ref="B526" si="64">B525+1</f>
        <v>1</v>
      </c>
      <c r="C526" s="111" t="s">
        <v>1969</v>
      </c>
      <c r="D526" s="113">
        <v>1</v>
      </c>
    </row>
    <row r="527" spans="1:4" x14ac:dyDescent="0.2">
      <c r="A527" s="229" t="s">
        <v>2355</v>
      </c>
      <c r="B527" s="230"/>
      <c r="C527" s="230"/>
      <c r="D527" s="231"/>
    </row>
    <row r="528" spans="1:4" ht="16" x14ac:dyDescent="0.2">
      <c r="A528" s="178">
        <f>MAX(A$4:A527)+1</f>
        <v>449</v>
      </c>
      <c r="B528" s="177">
        <f t="shared" ref="B528:B535" si="65">B527+1</f>
        <v>1</v>
      </c>
      <c r="C528" s="111" t="s">
        <v>1970</v>
      </c>
      <c r="D528" s="113">
        <v>1</v>
      </c>
    </row>
    <row r="529" spans="1:4" ht="16" x14ac:dyDescent="0.2">
      <c r="A529" s="178">
        <f>MAX(A$4:A528)+1</f>
        <v>450</v>
      </c>
      <c r="B529" s="177">
        <f t="shared" si="65"/>
        <v>2</v>
      </c>
      <c r="C529" s="111" t="s">
        <v>1971</v>
      </c>
      <c r="D529" s="113">
        <v>1</v>
      </c>
    </row>
    <row r="530" spans="1:4" ht="16" x14ac:dyDescent="0.2">
      <c r="A530" s="178">
        <f>MAX(A$4:A529)+1</f>
        <v>451</v>
      </c>
      <c r="B530" s="177">
        <f t="shared" si="65"/>
        <v>3</v>
      </c>
      <c r="C530" s="111" t="s">
        <v>1972</v>
      </c>
      <c r="D530" s="113">
        <v>1</v>
      </c>
    </row>
    <row r="531" spans="1:4" ht="16" x14ac:dyDescent="0.2">
      <c r="A531" s="178">
        <f>MAX(A$4:A530)+1</f>
        <v>452</v>
      </c>
      <c r="B531" s="177">
        <f t="shared" si="65"/>
        <v>4</v>
      </c>
      <c r="C531" s="111" t="s">
        <v>1973</v>
      </c>
      <c r="D531" s="113">
        <v>1</v>
      </c>
    </row>
    <row r="532" spans="1:4" ht="16" x14ac:dyDescent="0.2">
      <c r="A532" s="178">
        <f>MAX(A$4:A531)+1</f>
        <v>453</v>
      </c>
      <c r="B532" s="177">
        <f t="shared" si="65"/>
        <v>5</v>
      </c>
      <c r="C532" s="111" t="s">
        <v>1974</v>
      </c>
      <c r="D532" s="113">
        <v>1</v>
      </c>
    </row>
    <row r="533" spans="1:4" ht="16" x14ac:dyDescent="0.2">
      <c r="A533" s="178">
        <f>MAX(A$4:A532)+1</f>
        <v>454</v>
      </c>
      <c r="B533" s="177">
        <f t="shared" si="65"/>
        <v>6</v>
      </c>
      <c r="C533" s="111" t="s">
        <v>1975</v>
      </c>
      <c r="D533" s="113">
        <v>1</v>
      </c>
    </row>
    <row r="534" spans="1:4" ht="16" x14ac:dyDescent="0.2">
      <c r="A534" s="178">
        <f>MAX(A$4:A533)+1</f>
        <v>455</v>
      </c>
      <c r="B534" s="177">
        <f t="shared" si="65"/>
        <v>7</v>
      </c>
      <c r="C534" s="111" t="s">
        <v>1976</v>
      </c>
      <c r="D534" s="113">
        <v>1</v>
      </c>
    </row>
    <row r="535" spans="1:4" ht="16" x14ac:dyDescent="0.2">
      <c r="A535" s="178">
        <f>MAX(A$4:A534)+1</f>
        <v>456</v>
      </c>
      <c r="B535" s="177">
        <f t="shared" si="65"/>
        <v>8</v>
      </c>
      <c r="C535" s="111" t="s">
        <v>1977</v>
      </c>
      <c r="D535" s="113">
        <v>1</v>
      </c>
    </row>
    <row r="536" spans="1:4" x14ac:dyDescent="0.2">
      <c r="A536" s="229" t="s">
        <v>2356</v>
      </c>
      <c r="B536" s="230"/>
      <c r="C536" s="230"/>
      <c r="D536" s="231"/>
    </row>
    <row r="537" spans="1:4" ht="16" x14ac:dyDescent="0.2">
      <c r="A537" s="178">
        <f>MAX(A$4:A536)+1</f>
        <v>457</v>
      </c>
      <c r="B537" s="177">
        <f t="shared" ref="B537:B540" si="66">B536+1</f>
        <v>1</v>
      </c>
      <c r="C537" s="111" t="s">
        <v>1956</v>
      </c>
      <c r="D537" s="113">
        <v>1</v>
      </c>
    </row>
    <row r="538" spans="1:4" ht="16" x14ac:dyDescent="0.2">
      <c r="A538" s="178">
        <f>MAX(A$4:A537)+1</f>
        <v>458</v>
      </c>
      <c r="B538" s="177">
        <f t="shared" si="66"/>
        <v>2</v>
      </c>
      <c r="C538" s="111" t="s">
        <v>1957</v>
      </c>
      <c r="D538" s="113">
        <v>1</v>
      </c>
    </row>
    <row r="539" spans="1:4" ht="16" x14ac:dyDescent="0.2">
      <c r="A539" s="178">
        <f>MAX(A$4:A538)+1</f>
        <v>459</v>
      </c>
      <c r="B539" s="177">
        <f t="shared" si="66"/>
        <v>3</v>
      </c>
      <c r="C539" s="111" t="s">
        <v>1958</v>
      </c>
      <c r="D539" s="113">
        <v>1</v>
      </c>
    </row>
    <row r="540" spans="1:4" ht="16" x14ac:dyDescent="0.2">
      <c r="A540" s="178">
        <f>MAX(A$4:A539)+1</f>
        <v>460</v>
      </c>
      <c r="B540" s="177">
        <f t="shared" si="66"/>
        <v>4</v>
      </c>
      <c r="C540" s="111" t="s">
        <v>1959</v>
      </c>
      <c r="D540" s="113">
        <v>1</v>
      </c>
    </row>
    <row r="541" spans="1:4" x14ac:dyDescent="0.2">
      <c r="A541" s="229" t="s">
        <v>2357</v>
      </c>
      <c r="B541" s="230"/>
      <c r="C541" s="230"/>
      <c r="D541" s="231"/>
    </row>
    <row r="542" spans="1:4" ht="16" x14ac:dyDescent="0.2">
      <c r="A542" s="178">
        <f>MAX(A$4:A541)+1</f>
        <v>461</v>
      </c>
      <c r="B542" s="177">
        <f t="shared" ref="B542:B545" si="67">B541+1</f>
        <v>1</v>
      </c>
      <c r="C542" s="111" t="s">
        <v>1990</v>
      </c>
      <c r="D542" s="113">
        <v>1</v>
      </c>
    </row>
    <row r="543" spans="1:4" ht="16" x14ac:dyDescent="0.2">
      <c r="A543" s="178">
        <f>MAX(A$4:A542)+1</f>
        <v>462</v>
      </c>
      <c r="B543" s="177">
        <f t="shared" si="67"/>
        <v>2</v>
      </c>
      <c r="C543" s="111" t="s">
        <v>1991</v>
      </c>
      <c r="D543" s="113">
        <v>1</v>
      </c>
    </row>
    <row r="544" spans="1:4" ht="16" x14ac:dyDescent="0.2">
      <c r="A544" s="178">
        <f>MAX(A$4:A543)+1</f>
        <v>463</v>
      </c>
      <c r="B544" s="177">
        <f t="shared" si="67"/>
        <v>3</v>
      </c>
      <c r="C544" s="111" t="s">
        <v>1992</v>
      </c>
      <c r="D544" s="113">
        <v>1</v>
      </c>
    </row>
    <row r="545" spans="1:4" ht="16" x14ac:dyDescent="0.2">
      <c r="A545" s="178">
        <f>MAX(A$4:A544)+1</f>
        <v>464</v>
      </c>
      <c r="B545" s="177">
        <f t="shared" si="67"/>
        <v>4</v>
      </c>
      <c r="C545" s="111" t="s">
        <v>1993</v>
      </c>
      <c r="D545" s="113">
        <v>1</v>
      </c>
    </row>
    <row r="546" spans="1:4" x14ac:dyDescent="0.2">
      <c r="A546" s="229" t="s">
        <v>2358</v>
      </c>
      <c r="B546" s="230"/>
      <c r="C546" s="230"/>
      <c r="D546" s="231"/>
    </row>
    <row r="547" spans="1:4" ht="16" x14ac:dyDescent="0.2">
      <c r="A547" s="178">
        <f>MAX(A$4:A546)+1</f>
        <v>465</v>
      </c>
      <c r="B547" s="177">
        <f t="shared" ref="B547:B551" si="68">B546+1</f>
        <v>1</v>
      </c>
      <c r="C547" s="111" t="s">
        <v>2093</v>
      </c>
      <c r="D547" s="113">
        <v>1</v>
      </c>
    </row>
    <row r="548" spans="1:4" ht="16" x14ac:dyDescent="0.2">
      <c r="A548" s="178">
        <f>MAX(A$4:A547)+1</f>
        <v>466</v>
      </c>
      <c r="B548" s="177">
        <f t="shared" si="68"/>
        <v>2</v>
      </c>
      <c r="C548" s="111" t="s">
        <v>2094</v>
      </c>
      <c r="D548" s="113">
        <v>1</v>
      </c>
    </row>
    <row r="549" spans="1:4" ht="32" x14ac:dyDescent="0.2">
      <c r="A549" s="178">
        <f>MAX(A$4:A548)+1</f>
        <v>467</v>
      </c>
      <c r="B549" s="177">
        <f t="shared" si="68"/>
        <v>3</v>
      </c>
      <c r="C549" s="111" t="s">
        <v>2095</v>
      </c>
      <c r="D549" s="113">
        <v>1</v>
      </c>
    </row>
    <row r="550" spans="1:4" ht="16" x14ac:dyDescent="0.2">
      <c r="A550" s="178">
        <f>MAX(A$4:A549)+1</f>
        <v>468</v>
      </c>
      <c r="B550" s="177">
        <f t="shared" si="68"/>
        <v>4</v>
      </c>
      <c r="C550" s="111" t="s">
        <v>2096</v>
      </c>
      <c r="D550" s="113">
        <v>1</v>
      </c>
    </row>
    <row r="551" spans="1:4" ht="32" x14ac:dyDescent="0.2">
      <c r="A551" s="178">
        <f>MAX(A$4:A550)+1</f>
        <v>469</v>
      </c>
      <c r="B551" s="177">
        <f t="shared" si="68"/>
        <v>5</v>
      </c>
      <c r="C551" s="111" t="s">
        <v>2097</v>
      </c>
      <c r="D551" s="113">
        <v>1</v>
      </c>
    </row>
    <row r="552" spans="1:4" x14ac:dyDescent="0.2">
      <c r="A552" s="229" t="s">
        <v>2359</v>
      </c>
      <c r="B552" s="230"/>
      <c r="C552" s="230"/>
      <c r="D552" s="231"/>
    </row>
    <row r="553" spans="1:4" ht="16" x14ac:dyDescent="0.2">
      <c r="A553" s="178">
        <f>MAX(A$4:A552)+1</f>
        <v>470</v>
      </c>
      <c r="B553" s="177">
        <f t="shared" ref="B553:B554" si="69">B552+1</f>
        <v>1</v>
      </c>
      <c r="C553" s="111" t="s">
        <v>2098</v>
      </c>
      <c r="D553" s="113">
        <v>1</v>
      </c>
    </row>
    <row r="554" spans="1:4" ht="16" x14ac:dyDescent="0.2">
      <c r="A554" s="178">
        <f>MAX(A$4:A553)+1</f>
        <v>471</v>
      </c>
      <c r="B554" s="177">
        <f t="shared" si="69"/>
        <v>2</v>
      </c>
      <c r="C554" s="111" t="s">
        <v>2099</v>
      </c>
      <c r="D554" s="113">
        <v>1</v>
      </c>
    </row>
    <row r="555" spans="1:4" x14ac:dyDescent="0.2">
      <c r="A555" s="229" t="s">
        <v>2360</v>
      </c>
      <c r="B555" s="230"/>
      <c r="C555" s="230"/>
      <c r="D555" s="231"/>
    </row>
    <row r="556" spans="1:4" ht="16" x14ac:dyDescent="0.2">
      <c r="A556" s="178">
        <f>MAX(A$4:A555)+1</f>
        <v>472</v>
      </c>
      <c r="B556" s="177">
        <f t="shared" ref="B556:B610" si="70">B555+1</f>
        <v>1</v>
      </c>
      <c r="C556" s="111" t="s">
        <v>2111</v>
      </c>
      <c r="D556" s="113">
        <v>1</v>
      </c>
    </row>
    <row r="557" spans="1:4" ht="16" x14ac:dyDescent="0.2">
      <c r="A557" s="178">
        <f>MAX(A$4:A556)+1</f>
        <v>473</v>
      </c>
      <c r="B557" s="177">
        <f t="shared" si="70"/>
        <v>2</v>
      </c>
      <c r="C557" s="111" t="s">
        <v>2112</v>
      </c>
      <c r="D557" s="113">
        <v>1</v>
      </c>
    </row>
    <row r="558" spans="1:4" x14ac:dyDescent="0.2">
      <c r="A558" s="229" t="s">
        <v>2361</v>
      </c>
      <c r="B558" s="230"/>
      <c r="C558" s="230"/>
      <c r="D558" s="231"/>
    </row>
    <row r="559" spans="1:4" ht="16" x14ac:dyDescent="0.2">
      <c r="A559" s="178">
        <f>MAX(A$4:A558)+1</f>
        <v>474</v>
      </c>
      <c r="B559" s="177">
        <f t="shared" si="70"/>
        <v>1</v>
      </c>
      <c r="C559" s="111" t="s">
        <v>1961</v>
      </c>
      <c r="D559" s="113">
        <v>1</v>
      </c>
    </row>
    <row r="560" spans="1:4" ht="16" x14ac:dyDescent="0.2">
      <c r="A560" s="178">
        <f>MAX(A$4:A559)+1</f>
        <v>475</v>
      </c>
      <c r="B560" s="177">
        <f t="shared" si="70"/>
        <v>2</v>
      </c>
      <c r="C560" s="111" t="s">
        <v>1962</v>
      </c>
      <c r="D560" s="113">
        <v>1</v>
      </c>
    </row>
    <row r="561" spans="1:4" ht="16" x14ac:dyDescent="0.2">
      <c r="A561" s="178">
        <f>MAX(A$4:A560)+1</f>
        <v>476</v>
      </c>
      <c r="B561" s="177">
        <f t="shared" si="70"/>
        <v>3</v>
      </c>
      <c r="C561" s="111" t="s">
        <v>1906</v>
      </c>
      <c r="D561" s="113">
        <v>1</v>
      </c>
    </row>
    <row r="562" spans="1:4" x14ac:dyDescent="0.2">
      <c r="A562" s="229" t="s">
        <v>2362</v>
      </c>
      <c r="B562" s="230"/>
      <c r="C562" s="230"/>
      <c r="D562" s="231"/>
    </row>
    <row r="563" spans="1:4" ht="16" x14ac:dyDescent="0.2">
      <c r="A563" s="178">
        <f>MAX(A$4:A562)+1</f>
        <v>477</v>
      </c>
      <c r="B563" s="177">
        <f t="shared" si="70"/>
        <v>1</v>
      </c>
      <c r="C563" s="111" t="s">
        <v>2137</v>
      </c>
      <c r="D563" s="113">
        <v>1</v>
      </c>
    </row>
    <row r="564" spans="1:4" ht="32" x14ac:dyDescent="0.2">
      <c r="A564" s="178">
        <f>MAX(A$4:A563)+1</f>
        <v>478</v>
      </c>
      <c r="B564" s="177">
        <f t="shared" si="70"/>
        <v>2</v>
      </c>
      <c r="C564" s="111" t="s">
        <v>2138</v>
      </c>
      <c r="D564" s="113">
        <v>1</v>
      </c>
    </row>
    <row r="565" spans="1:4" ht="18.75" customHeight="1" x14ac:dyDescent="0.2">
      <c r="A565" s="178">
        <f>MAX(A$4:A564)+1</f>
        <v>479</v>
      </c>
      <c r="B565" s="177">
        <f t="shared" si="70"/>
        <v>3</v>
      </c>
      <c r="C565" s="111" t="s">
        <v>2139</v>
      </c>
      <c r="D565" s="113">
        <v>1</v>
      </c>
    </row>
    <row r="566" spans="1:4" x14ac:dyDescent="0.2">
      <c r="A566" s="229" t="s">
        <v>2363</v>
      </c>
      <c r="B566" s="230"/>
      <c r="C566" s="230"/>
      <c r="D566" s="231"/>
    </row>
    <row r="567" spans="1:4" ht="16" x14ac:dyDescent="0.2">
      <c r="A567" s="178">
        <f>MAX(A$4:A566)+1</f>
        <v>480</v>
      </c>
      <c r="B567" s="177">
        <f t="shared" si="70"/>
        <v>1</v>
      </c>
      <c r="C567" s="111" t="s">
        <v>1961</v>
      </c>
      <c r="D567" s="113">
        <v>1</v>
      </c>
    </row>
    <row r="568" spans="1:4" ht="16" x14ac:dyDescent="0.2">
      <c r="A568" s="178">
        <f>MAX(A$4:A567)+1</f>
        <v>481</v>
      </c>
      <c r="B568" s="177">
        <f t="shared" si="70"/>
        <v>2</v>
      </c>
      <c r="C568" s="111" t="s">
        <v>1962</v>
      </c>
      <c r="D568" s="113">
        <v>1</v>
      </c>
    </row>
    <row r="569" spans="1:4" ht="16" x14ac:dyDescent="0.2">
      <c r="A569" s="178">
        <f>MAX(A$4:A568)+1</f>
        <v>482</v>
      </c>
      <c r="B569" s="177">
        <f t="shared" si="70"/>
        <v>3</v>
      </c>
      <c r="C569" s="111" t="s">
        <v>1906</v>
      </c>
      <c r="D569" s="113">
        <v>1</v>
      </c>
    </row>
    <row r="570" spans="1:4" x14ac:dyDescent="0.2">
      <c r="A570" s="229" t="s">
        <v>2364</v>
      </c>
      <c r="B570" s="230"/>
      <c r="C570" s="230"/>
      <c r="D570" s="231"/>
    </row>
    <row r="571" spans="1:4" ht="16" x14ac:dyDescent="0.2">
      <c r="A571" s="178">
        <f>MAX(A$4:A570)+1</f>
        <v>483</v>
      </c>
      <c r="B571" s="177">
        <f t="shared" si="70"/>
        <v>1</v>
      </c>
      <c r="C571" s="111" t="s">
        <v>2289</v>
      </c>
      <c r="D571" s="113">
        <v>1</v>
      </c>
    </row>
    <row r="572" spans="1:4" ht="16" x14ac:dyDescent="0.2">
      <c r="A572" s="178">
        <f>MAX(A$4:A571)+1</f>
        <v>484</v>
      </c>
      <c r="B572" s="177">
        <f t="shared" si="70"/>
        <v>2</v>
      </c>
      <c r="C572" s="111" t="s">
        <v>2290</v>
      </c>
      <c r="D572" s="113">
        <v>1</v>
      </c>
    </row>
    <row r="573" spans="1:4" x14ac:dyDescent="0.2">
      <c r="A573" s="229" t="s">
        <v>2365</v>
      </c>
      <c r="B573" s="230"/>
      <c r="C573" s="230"/>
      <c r="D573" s="231"/>
    </row>
    <row r="574" spans="1:4" ht="16" x14ac:dyDescent="0.2">
      <c r="A574" s="178">
        <f>MAX(A$4:A573)+1</f>
        <v>485</v>
      </c>
      <c r="B574" s="177">
        <f t="shared" si="70"/>
        <v>1</v>
      </c>
      <c r="C574" s="111" t="s">
        <v>2291</v>
      </c>
      <c r="D574" s="113">
        <v>1</v>
      </c>
    </row>
    <row r="575" spans="1:4" ht="32" x14ac:dyDescent="0.2">
      <c r="A575" s="178">
        <f>MAX(A$4:A574)+1</f>
        <v>486</v>
      </c>
      <c r="B575" s="177">
        <f t="shared" si="70"/>
        <v>2</v>
      </c>
      <c r="C575" s="111" t="s">
        <v>2292</v>
      </c>
      <c r="D575" s="113">
        <v>1</v>
      </c>
    </row>
    <row r="576" spans="1:4" ht="16" x14ac:dyDescent="0.2">
      <c r="A576" s="178">
        <f>MAX(A$4:A575)+1</f>
        <v>487</v>
      </c>
      <c r="B576" s="177">
        <f t="shared" si="70"/>
        <v>3</v>
      </c>
      <c r="C576" s="111" t="s">
        <v>2293</v>
      </c>
      <c r="D576" s="113">
        <v>1</v>
      </c>
    </row>
    <row r="577" spans="1:4" ht="16" x14ac:dyDescent="0.2">
      <c r="A577" s="178">
        <f>MAX(A$4:A576)+1</f>
        <v>488</v>
      </c>
      <c r="B577" s="177">
        <f t="shared" si="70"/>
        <v>4</v>
      </c>
      <c r="C577" s="111" t="s">
        <v>2294</v>
      </c>
      <c r="D577" s="113">
        <v>1</v>
      </c>
    </row>
    <row r="578" spans="1:4" ht="16" x14ac:dyDescent="0.2">
      <c r="A578" s="178">
        <f>MAX(A$4:A577)+1</f>
        <v>489</v>
      </c>
      <c r="B578" s="177">
        <f t="shared" si="70"/>
        <v>5</v>
      </c>
      <c r="C578" s="111" t="s">
        <v>2295</v>
      </c>
      <c r="D578" s="113">
        <v>1</v>
      </c>
    </row>
    <row r="579" spans="1:4" x14ac:dyDescent="0.2">
      <c r="A579" s="229" t="s">
        <v>2366</v>
      </c>
      <c r="B579" s="230"/>
      <c r="C579" s="230"/>
      <c r="D579" s="231"/>
    </row>
    <row r="580" spans="1:4" ht="30" customHeight="1" x14ac:dyDescent="0.2">
      <c r="A580" s="178">
        <f>MAX(A$4:A579)+1</f>
        <v>490</v>
      </c>
      <c r="B580" s="177">
        <f t="shared" si="70"/>
        <v>1</v>
      </c>
      <c r="C580" s="111" t="s">
        <v>2296</v>
      </c>
      <c r="D580" s="113">
        <v>1</v>
      </c>
    </row>
    <row r="581" spans="1:4" ht="16" x14ac:dyDescent="0.2">
      <c r="A581" s="178">
        <f>MAX(A$4:A580)+1</f>
        <v>491</v>
      </c>
      <c r="B581" s="177">
        <f t="shared" si="70"/>
        <v>2</v>
      </c>
      <c r="C581" s="111" t="s">
        <v>1324</v>
      </c>
      <c r="D581" s="113">
        <v>1</v>
      </c>
    </row>
    <row r="582" spans="1:4" ht="16" x14ac:dyDescent="0.2">
      <c r="A582" s="178">
        <f>MAX(A$4:A581)+1</f>
        <v>492</v>
      </c>
      <c r="B582" s="177">
        <f t="shared" si="70"/>
        <v>3</v>
      </c>
      <c r="C582" s="111" t="s">
        <v>1891</v>
      </c>
      <c r="D582" s="113">
        <v>1</v>
      </c>
    </row>
    <row r="583" spans="1:4" ht="16" x14ac:dyDescent="0.2">
      <c r="A583" s="178">
        <f>MAX(A$4:A582)+1</f>
        <v>493</v>
      </c>
      <c r="B583" s="177">
        <f t="shared" si="70"/>
        <v>4</v>
      </c>
      <c r="C583" s="111" t="s">
        <v>1325</v>
      </c>
      <c r="D583" s="113">
        <v>1</v>
      </c>
    </row>
    <row r="584" spans="1:4" ht="16" x14ac:dyDescent="0.2">
      <c r="A584" s="178">
        <f>MAX(A$4:A583)+1</f>
        <v>494</v>
      </c>
      <c r="B584" s="177">
        <f t="shared" si="70"/>
        <v>5</v>
      </c>
      <c r="C584" s="111" t="s">
        <v>1892</v>
      </c>
      <c r="D584" s="113">
        <v>1</v>
      </c>
    </row>
    <row r="585" spans="1:4" ht="16" x14ac:dyDescent="0.2">
      <c r="A585" s="178">
        <f>MAX(A$4:A584)+1</f>
        <v>495</v>
      </c>
      <c r="B585" s="177">
        <f t="shared" si="70"/>
        <v>6</v>
      </c>
      <c r="C585" s="111" t="s">
        <v>2297</v>
      </c>
      <c r="D585" s="113">
        <v>1</v>
      </c>
    </row>
    <row r="586" spans="1:4" ht="18" customHeight="1" x14ac:dyDescent="0.2">
      <c r="A586" s="178">
        <f>MAX(A$4:A585)+1</f>
        <v>496</v>
      </c>
      <c r="B586" s="177">
        <f t="shared" si="70"/>
        <v>7</v>
      </c>
      <c r="C586" s="111" t="s">
        <v>2110</v>
      </c>
      <c r="D586" s="113">
        <v>1</v>
      </c>
    </row>
    <row r="587" spans="1:4" x14ac:dyDescent="0.2">
      <c r="A587" s="229" t="s">
        <v>2367</v>
      </c>
      <c r="B587" s="230"/>
      <c r="C587" s="230"/>
      <c r="D587" s="231"/>
    </row>
    <row r="588" spans="1:4" ht="32" x14ac:dyDescent="0.2">
      <c r="A588" s="178">
        <f>MAX(A$4:A587)+1</f>
        <v>497</v>
      </c>
      <c r="B588" s="177">
        <f t="shared" si="70"/>
        <v>1</v>
      </c>
      <c r="C588" s="111" t="s">
        <v>2298</v>
      </c>
      <c r="D588" s="113">
        <v>1</v>
      </c>
    </row>
    <row r="589" spans="1:4" x14ac:dyDescent="0.2">
      <c r="A589" s="229" t="s">
        <v>2368</v>
      </c>
      <c r="B589" s="230"/>
      <c r="C589" s="230"/>
      <c r="D589" s="231"/>
    </row>
    <row r="590" spans="1:4" ht="16" x14ac:dyDescent="0.2">
      <c r="A590" s="178">
        <f>MAX(A$4:A589)+1</f>
        <v>498</v>
      </c>
      <c r="B590" s="177">
        <f t="shared" si="70"/>
        <v>1</v>
      </c>
      <c r="C590" s="111" t="s">
        <v>2299</v>
      </c>
      <c r="D590" s="113">
        <v>1</v>
      </c>
    </row>
    <row r="591" spans="1:4" x14ac:dyDescent="0.2">
      <c r="A591" s="229" t="s">
        <v>2369</v>
      </c>
      <c r="B591" s="230"/>
      <c r="C591" s="230"/>
      <c r="D591" s="231"/>
    </row>
    <row r="592" spans="1:4" ht="16" x14ac:dyDescent="0.2">
      <c r="A592" s="178">
        <f>MAX(A$4:A591)+1</f>
        <v>499</v>
      </c>
      <c r="B592" s="177">
        <f t="shared" si="70"/>
        <v>1</v>
      </c>
      <c r="C592" s="111" t="s">
        <v>2300</v>
      </c>
      <c r="D592" s="113">
        <v>1</v>
      </c>
    </row>
    <row r="593" spans="1:4" ht="16" x14ac:dyDescent="0.2">
      <c r="A593" s="178">
        <f>MAX(A$4:A592)+1</f>
        <v>500</v>
      </c>
      <c r="B593" s="177">
        <f t="shared" si="70"/>
        <v>2</v>
      </c>
      <c r="C593" s="111" t="s">
        <v>2301</v>
      </c>
      <c r="D593" s="113">
        <v>1</v>
      </c>
    </row>
    <row r="594" spans="1:4" ht="16" x14ac:dyDescent="0.2">
      <c r="A594" s="178">
        <f>MAX(A$4:A593)+1</f>
        <v>501</v>
      </c>
      <c r="B594" s="177">
        <f t="shared" si="70"/>
        <v>3</v>
      </c>
      <c r="C594" s="111" t="s">
        <v>2302</v>
      </c>
      <c r="D594" s="113">
        <v>1</v>
      </c>
    </row>
    <row r="595" spans="1:4" ht="16" x14ac:dyDescent="0.2">
      <c r="A595" s="178">
        <f>MAX(A$4:A594)+1</f>
        <v>502</v>
      </c>
      <c r="B595" s="177">
        <f t="shared" si="70"/>
        <v>4</v>
      </c>
      <c r="C595" s="111" t="s">
        <v>2303</v>
      </c>
      <c r="D595" s="113">
        <v>1</v>
      </c>
    </row>
    <row r="596" spans="1:4" ht="16" x14ac:dyDescent="0.2">
      <c r="A596" s="178">
        <f>MAX(A$4:A595)+1</f>
        <v>503</v>
      </c>
      <c r="B596" s="177">
        <f t="shared" si="70"/>
        <v>5</v>
      </c>
      <c r="C596" s="111" t="s">
        <v>2304</v>
      </c>
      <c r="D596" s="113">
        <v>1</v>
      </c>
    </row>
    <row r="597" spans="1:4" ht="16" x14ac:dyDescent="0.2">
      <c r="A597" s="178">
        <f>MAX(A$4:A596)+1</f>
        <v>504</v>
      </c>
      <c r="B597" s="177">
        <f t="shared" si="70"/>
        <v>6</v>
      </c>
      <c r="C597" s="111" t="s">
        <v>2305</v>
      </c>
      <c r="D597" s="113">
        <v>1</v>
      </c>
    </row>
    <row r="598" spans="1:4" ht="16" x14ac:dyDescent="0.2">
      <c r="A598" s="178">
        <f>MAX(A$4:A597)+1</f>
        <v>505</v>
      </c>
      <c r="B598" s="177">
        <f t="shared" si="70"/>
        <v>7</v>
      </c>
      <c r="C598" s="111" t="s">
        <v>2306</v>
      </c>
      <c r="D598" s="113">
        <v>1</v>
      </c>
    </row>
    <row r="599" spans="1:4" ht="16" x14ac:dyDescent="0.2">
      <c r="A599" s="178">
        <f>MAX(A$4:A598)+1</f>
        <v>506</v>
      </c>
      <c r="B599" s="177">
        <f t="shared" si="70"/>
        <v>8</v>
      </c>
      <c r="C599" s="111" t="s">
        <v>2307</v>
      </c>
      <c r="D599" s="113">
        <v>1</v>
      </c>
    </row>
    <row r="600" spans="1:4" x14ac:dyDescent="0.2">
      <c r="A600" s="229" t="s">
        <v>2370</v>
      </c>
      <c r="B600" s="230"/>
      <c r="C600" s="230"/>
      <c r="D600" s="231"/>
    </row>
    <row r="601" spans="1:4" ht="16" x14ac:dyDescent="0.2">
      <c r="A601" s="178">
        <f>MAX(A$4:A600)+1</f>
        <v>507</v>
      </c>
      <c r="B601" s="177">
        <f t="shared" si="70"/>
        <v>1</v>
      </c>
      <c r="C601" s="111" t="s">
        <v>2308</v>
      </c>
      <c r="D601" s="113">
        <v>1</v>
      </c>
    </row>
    <row r="602" spans="1:4" ht="16" x14ac:dyDescent="0.2">
      <c r="A602" s="178">
        <f>MAX(A$4:A601)+1</f>
        <v>508</v>
      </c>
      <c r="B602" s="177">
        <f t="shared" si="70"/>
        <v>2</v>
      </c>
      <c r="C602" s="111" t="s">
        <v>2309</v>
      </c>
      <c r="D602" s="113">
        <v>1</v>
      </c>
    </row>
    <row r="603" spans="1:4" ht="16" x14ac:dyDescent="0.2">
      <c r="A603" s="178">
        <f>MAX(A$4:A602)+1</f>
        <v>509</v>
      </c>
      <c r="B603" s="177">
        <f t="shared" si="70"/>
        <v>3</v>
      </c>
      <c r="C603" s="111" t="s">
        <v>1958</v>
      </c>
      <c r="D603" s="113">
        <v>1</v>
      </c>
    </row>
    <row r="604" spans="1:4" ht="16" x14ac:dyDescent="0.2">
      <c r="A604" s="178">
        <f>MAX(A$4:A603)+1</f>
        <v>510</v>
      </c>
      <c r="B604" s="177">
        <f t="shared" si="70"/>
        <v>4</v>
      </c>
      <c r="C604" s="111" t="s">
        <v>2310</v>
      </c>
      <c r="D604" s="113">
        <v>1</v>
      </c>
    </row>
    <row r="605" spans="1:4" x14ac:dyDescent="0.2">
      <c r="A605" s="229" t="s">
        <v>2371</v>
      </c>
      <c r="B605" s="230"/>
      <c r="C605" s="230"/>
      <c r="D605" s="231"/>
    </row>
    <row r="606" spans="1:4" ht="16" x14ac:dyDescent="0.2">
      <c r="A606" s="178">
        <f>MAX(A$4:A605)+1</f>
        <v>511</v>
      </c>
      <c r="B606" s="177">
        <f t="shared" si="70"/>
        <v>1</v>
      </c>
      <c r="C606" s="111" t="s">
        <v>2311</v>
      </c>
      <c r="D606" s="113">
        <v>3</v>
      </c>
    </row>
    <row r="607" spans="1:4" ht="16" x14ac:dyDescent="0.2">
      <c r="A607" s="178">
        <f>MAX(A$4:A606)+1</f>
        <v>512</v>
      </c>
      <c r="B607" s="177">
        <f t="shared" si="70"/>
        <v>2</v>
      </c>
      <c r="C607" s="111" t="s">
        <v>2312</v>
      </c>
      <c r="D607" s="113">
        <v>3</v>
      </c>
    </row>
    <row r="608" spans="1:4" ht="16" x14ac:dyDescent="0.2">
      <c r="A608" s="178">
        <f>MAX(A$4:A607)+1</f>
        <v>513</v>
      </c>
      <c r="B608" s="177">
        <f t="shared" si="70"/>
        <v>3</v>
      </c>
      <c r="C608" s="111" t="s">
        <v>2313</v>
      </c>
      <c r="D608" s="113">
        <v>3</v>
      </c>
    </row>
    <row r="609" spans="1:4" ht="16" x14ac:dyDescent="0.2">
      <c r="A609" s="178">
        <f>MAX(A$4:A608)+1</f>
        <v>514</v>
      </c>
      <c r="B609" s="177">
        <f t="shared" si="70"/>
        <v>4</v>
      </c>
      <c r="C609" s="111" t="s">
        <v>2372</v>
      </c>
      <c r="D609" s="113">
        <v>3</v>
      </c>
    </row>
    <row r="610" spans="1:4" ht="16" x14ac:dyDescent="0.2">
      <c r="A610" s="178">
        <f>MAX(A$4:A609)+1</f>
        <v>515</v>
      </c>
      <c r="B610" s="177">
        <f t="shared" si="70"/>
        <v>5</v>
      </c>
      <c r="C610" s="111" t="s">
        <v>2314</v>
      </c>
      <c r="D610" s="113">
        <v>3</v>
      </c>
    </row>
  </sheetData>
  <autoFilter ref="A3:D3" xr:uid="{9F8B3442-165A-E74B-98CB-F06B2FA012F9}"/>
  <mergeCells count="90">
    <mergeCell ref="A587:D587"/>
    <mergeCell ref="A589:D589"/>
    <mergeCell ref="A591:D591"/>
    <mergeCell ref="A600:D600"/>
    <mergeCell ref="A605:D605"/>
    <mergeCell ref="A562:D562"/>
    <mergeCell ref="A566:D566"/>
    <mergeCell ref="A570:D570"/>
    <mergeCell ref="A573:D573"/>
    <mergeCell ref="A579:D579"/>
    <mergeCell ref="A541:D541"/>
    <mergeCell ref="A546:D546"/>
    <mergeCell ref="A552:D552"/>
    <mergeCell ref="A555:D555"/>
    <mergeCell ref="A558:D558"/>
    <mergeCell ref="A520:D520"/>
    <mergeCell ref="A523:D523"/>
    <mergeCell ref="A525:D525"/>
    <mergeCell ref="A527:D527"/>
    <mergeCell ref="A536:D536"/>
    <mergeCell ref="A505:D505"/>
    <mergeCell ref="A508:D508"/>
    <mergeCell ref="A510:D510"/>
    <mergeCell ref="A513:D513"/>
    <mergeCell ref="A515:D515"/>
    <mergeCell ref="A485:D485"/>
    <mergeCell ref="A488:D488"/>
    <mergeCell ref="A491:D491"/>
    <mergeCell ref="A494:D494"/>
    <mergeCell ref="A498:D498"/>
    <mergeCell ref="A470:D470"/>
    <mergeCell ref="A473:D473"/>
    <mergeCell ref="A476:D476"/>
    <mergeCell ref="A479:D479"/>
    <mergeCell ref="A482:D482"/>
    <mergeCell ref="A451:D451"/>
    <mergeCell ref="A457:D457"/>
    <mergeCell ref="A461:D461"/>
    <mergeCell ref="A465:D465"/>
    <mergeCell ref="A468:D468"/>
    <mergeCell ref="A432:D432"/>
    <mergeCell ref="A437:D437"/>
    <mergeCell ref="A442:D442"/>
    <mergeCell ref="A446:D446"/>
    <mergeCell ref="A448:D448"/>
    <mergeCell ref="A410:D410"/>
    <mergeCell ref="A413:D413"/>
    <mergeCell ref="A416:D416"/>
    <mergeCell ref="A426:D426"/>
    <mergeCell ref="A428:D428"/>
    <mergeCell ref="A387:D387"/>
    <mergeCell ref="A392:D392"/>
    <mergeCell ref="A396:D396"/>
    <mergeCell ref="A405:D405"/>
    <mergeCell ref="A408:D408"/>
    <mergeCell ref="A359:D359"/>
    <mergeCell ref="A362:D362"/>
    <mergeCell ref="A377:D377"/>
    <mergeCell ref="A379:D379"/>
    <mergeCell ref="A381:D381"/>
    <mergeCell ref="A318:D318"/>
    <mergeCell ref="A328:D328"/>
    <mergeCell ref="A333:D333"/>
    <mergeCell ref="A340:D340"/>
    <mergeCell ref="A354:D354"/>
    <mergeCell ref="A223:D223"/>
    <mergeCell ref="A229:D229"/>
    <mergeCell ref="A303:D303"/>
    <mergeCell ref="A308:D308"/>
    <mergeCell ref="A311:D311"/>
    <mergeCell ref="A184:D184"/>
    <mergeCell ref="A193:D193"/>
    <mergeCell ref="A197:D197"/>
    <mergeCell ref="A205:D205"/>
    <mergeCell ref="A214:D214"/>
    <mergeCell ref="A106:D106"/>
    <mergeCell ref="A142:D142"/>
    <mergeCell ref="A149:D149"/>
    <mergeCell ref="A161:D161"/>
    <mergeCell ref="A174:D174"/>
    <mergeCell ref="A53:D53"/>
    <mergeCell ref="A62:D62"/>
    <mergeCell ref="A74:D74"/>
    <mergeCell ref="A83:D83"/>
    <mergeCell ref="A102:D102"/>
    <mergeCell ref="A1:D1"/>
    <mergeCell ref="A4:D4"/>
    <mergeCell ref="A18:D18"/>
    <mergeCell ref="A29:D29"/>
    <mergeCell ref="A46:D46"/>
  </mergeCells>
  <pageMargins left="0.31496062992125984" right="0.27559055118110237" top="0.35433070866141736" bottom="0.31496062992125984" header="0.31496062992125984" footer="0.31496062992125984"/>
  <pageSetup paperSize="9" scale="74" fitToHeight="1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9"/>
  <sheetViews>
    <sheetView view="pageBreakPreview" zoomScale="142" zoomScaleNormal="70" zoomScaleSheetLayoutView="70" workbookViewId="0">
      <selection sqref="A1:I1"/>
    </sheetView>
  </sheetViews>
  <sheetFormatPr baseColWidth="10" defaultColWidth="9.1640625" defaultRowHeight="14" x14ac:dyDescent="0.15"/>
  <cols>
    <col min="1" max="1" width="3.83203125" style="1" bestFit="1" customWidth="1"/>
    <col min="2" max="2" width="71.5" style="10" customWidth="1"/>
    <col min="3" max="3" width="18.83203125" style="1" customWidth="1"/>
    <col min="4" max="4" width="25.5" style="2" customWidth="1"/>
    <col min="5" max="5" width="10.1640625" style="1" customWidth="1"/>
    <col min="6" max="6" width="10.5" style="1" hidden="1" customWidth="1"/>
    <col min="7" max="7" width="43.1640625" style="2" customWidth="1"/>
    <col min="8" max="8" width="14.5" style="10" customWidth="1"/>
    <col min="9" max="9" width="14.33203125" style="1" customWidth="1"/>
    <col min="10" max="16384" width="9.1640625" style="1"/>
  </cols>
  <sheetData>
    <row r="1" spans="1:9" ht="18" x14ac:dyDescent="0.15">
      <c r="A1" s="214" t="s">
        <v>132</v>
      </c>
      <c r="B1" s="214"/>
      <c r="C1" s="214"/>
      <c r="D1" s="214"/>
      <c r="E1" s="214"/>
      <c r="F1" s="214"/>
      <c r="G1" s="214"/>
      <c r="H1" s="214"/>
      <c r="I1" s="214"/>
    </row>
    <row r="3" spans="1:9" s="77" customFormat="1" ht="71" x14ac:dyDescent="0.2">
      <c r="A3" s="3" t="s">
        <v>0</v>
      </c>
      <c r="B3" s="3" t="s">
        <v>162</v>
      </c>
      <c r="C3" s="3" t="s">
        <v>1874</v>
      </c>
      <c r="D3" s="3" t="s">
        <v>1664</v>
      </c>
      <c r="E3" s="3" t="s">
        <v>1097</v>
      </c>
      <c r="F3" s="7" t="s">
        <v>1649</v>
      </c>
      <c r="G3" s="3" t="s">
        <v>1869</v>
      </c>
      <c r="H3" s="3" t="s">
        <v>1663</v>
      </c>
      <c r="I3" s="3" t="s">
        <v>1883</v>
      </c>
    </row>
    <row r="4" spans="1:9" ht="51" customHeight="1" x14ac:dyDescent="0.15">
      <c r="A4" s="5">
        <f>MAX(A$3:A3)+1</f>
        <v>1</v>
      </c>
      <c r="B4" s="34" t="s">
        <v>1835</v>
      </c>
      <c r="C4" s="109"/>
      <c r="D4" s="34" t="s">
        <v>1834</v>
      </c>
      <c r="E4" s="109" t="s">
        <v>184</v>
      </c>
      <c r="F4" s="109" t="s">
        <v>1650</v>
      </c>
      <c r="G4" s="34" t="s">
        <v>1868</v>
      </c>
      <c r="H4" s="34" t="s">
        <v>1654</v>
      </c>
      <c r="I4" s="47" t="s">
        <v>346</v>
      </c>
    </row>
    <row r="5" spans="1:9" ht="30" x14ac:dyDescent="0.15">
      <c r="A5" s="5">
        <f>MAX(A$3:A4)+1</f>
        <v>2</v>
      </c>
      <c r="B5" s="34" t="s">
        <v>1836</v>
      </c>
      <c r="C5" s="109">
        <v>1</v>
      </c>
      <c r="D5" s="34" t="s">
        <v>1834</v>
      </c>
      <c r="E5" s="109" t="s">
        <v>184</v>
      </c>
      <c r="F5" s="109" t="s">
        <v>1650</v>
      </c>
      <c r="G5" s="34"/>
      <c r="H5" s="34"/>
      <c r="I5" s="47" t="s">
        <v>346</v>
      </c>
    </row>
    <row r="6" spans="1:9" ht="30" x14ac:dyDescent="0.15">
      <c r="A6" s="5">
        <f>MAX(A$3:A5)+1</f>
        <v>3</v>
      </c>
      <c r="B6" s="34" t="s">
        <v>1837</v>
      </c>
      <c r="C6" s="109">
        <v>1</v>
      </c>
      <c r="D6" s="34" t="s">
        <v>1834</v>
      </c>
      <c r="E6" s="109" t="s">
        <v>184</v>
      </c>
      <c r="F6" s="109" t="s">
        <v>1652</v>
      </c>
      <c r="G6" s="34"/>
      <c r="H6" s="34"/>
      <c r="I6" s="47" t="s">
        <v>346</v>
      </c>
    </row>
    <row r="7" spans="1:9" ht="30" x14ac:dyDescent="0.15">
      <c r="A7" s="5">
        <f>MAX(A$3:A6)+1</f>
        <v>4</v>
      </c>
      <c r="B7" s="34" t="s">
        <v>1838</v>
      </c>
      <c r="C7" s="109">
        <v>1</v>
      </c>
      <c r="D7" s="34" t="s">
        <v>1834</v>
      </c>
      <c r="E7" s="109" t="s">
        <v>184</v>
      </c>
      <c r="F7" s="109" t="s">
        <v>1652</v>
      </c>
      <c r="G7" s="34"/>
      <c r="H7" s="34"/>
      <c r="I7" s="47" t="s">
        <v>346</v>
      </c>
    </row>
    <row r="8" spans="1:9" ht="30" x14ac:dyDescent="0.15">
      <c r="A8" s="5">
        <f>MAX(A$3:A7)+1</f>
        <v>5</v>
      </c>
      <c r="B8" s="34" t="s">
        <v>1839</v>
      </c>
      <c r="C8" s="109">
        <v>1</v>
      </c>
      <c r="D8" s="34" t="s">
        <v>1834</v>
      </c>
      <c r="E8" s="109" t="s">
        <v>184</v>
      </c>
      <c r="F8" s="109" t="s">
        <v>1652</v>
      </c>
      <c r="G8" s="34"/>
      <c r="H8" s="34"/>
      <c r="I8" s="47" t="s">
        <v>346</v>
      </c>
    </row>
    <row r="9" spans="1:9" ht="30" x14ac:dyDescent="0.15">
      <c r="A9" s="5">
        <f>MAX(A$3:A8)+1</f>
        <v>6</v>
      </c>
      <c r="B9" s="34" t="s">
        <v>1832</v>
      </c>
      <c r="C9" s="109">
        <v>3</v>
      </c>
      <c r="D9" s="34" t="s">
        <v>1831</v>
      </c>
      <c r="E9" s="109" t="s">
        <v>184</v>
      </c>
      <c r="F9" s="109" t="s">
        <v>1651</v>
      </c>
      <c r="G9" s="34" t="s">
        <v>1833</v>
      </c>
      <c r="H9" s="34" t="s">
        <v>1655</v>
      </c>
      <c r="I9" s="47" t="s">
        <v>362</v>
      </c>
    </row>
    <row r="10" spans="1:9" ht="30" x14ac:dyDescent="0.15">
      <c r="A10" s="5">
        <f>MAX(A$3:A9)+1</f>
        <v>7</v>
      </c>
      <c r="B10" s="34" t="s">
        <v>1863</v>
      </c>
      <c r="C10" s="109">
        <v>1</v>
      </c>
      <c r="D10" s="34" t="s">
        <v>1817</v>
      </c>
      <c r="E10" s="109" t="s">
        <v>184</v>
      </c>
      <c r="F10" s="109" t="s">
        <v>1652</v>
      </c>
      <c r="G10" s="34"/>
      <c r="H10" s="34" t="s">
        <v>1656</v>
      </c>
      <c r="I10" s="47" t="s">
        <v>418</v>
      </c>
    </row>
    <row r="11" spans="1:9" ht="30" x14ac:dyDescent="0.15">
      <c r="A11" s="5">
        <f>MAX(A$3:A10)+1</f>
        <v>8</v>
      </c>
      <c r="B11" s="34" t="s">
        <v>1862</v>
      </c>
      <c r="C11" s="109">
        <v>1</v>
      </c>
      <c r="D11" s="34" t="s">
        <v>1817</v>
      </c>
      <c r="E11" s="109" t="s">
        <v>184</v>
      </c>
      <c r="F11" s="109" t="s">
        <v>1652</v>
      </c>
      <c r="G11" s="34"/>
      <c r="H11" s="34"/>
      <c r="I11" s="47" t="s">
        <v>418</v>
      </c>
    </row>
    <row r="12" spans="1:9" ht="30" x14ac:dyDescent="0.15">
      <c r="A12" s="5">
        <f>MAX(A$3:A11)+1</f>
        <v>9</v>
      </c>
      <c r="B12" s="34" t="s">
        <v>1818</v>
      </c>
      <c r="C12" s="109">
        <v>3</v>
      </c>
      <c r="D12" s="34" t="s">
        <v>1817</v>
      </c>
      <c r="E12" s="109" t="s">
        <v>184</v>
      </c>
      <c r="F12" s="109" t="s">
        <v>1650</v>
      </c>
      <c r="G12" s="34" t="s">
        <v>1653</v>
      </c>
      <c r="H12" s="34" t="s">
        <v>1656</v>
      </c>
      <c r="I12" s="47" t="s">
        <v>418</v>
      </c>
    </row>
    <row r="13" spans="1:9" ht="15" x14ac:dyDescent="0.15">
      <c r="A13" s="5">
        <f>MAX(A$3:A12)+1</f>
        <v>10</v>
      </c>
      <c r="B13" s="34" t="s">
        <v>1863</v>
      </c>
      <c r="C13" s="109">
        <v>3</v>
      </c>
      <c r="D13" s="34" t="s">
        <v>1817</v>
      </c>
      <c r="E13" s="109" t="s">
        <v>184</v>
      </c>
      <c r="F13" s="109" t="s">
        <v>1652</v>
      </c>
      <c r="G13" s="34" t="s">
        <v>1873</v>
      </c>
      <c r="H13" s="34"/>
      <c r="I13" s="47" t="s">
        <v>378</v>
      </c>
    </row>
    <row r="14" spans="1:9" ht="45" x14ac:dyDescent="0.15">
      <c r="A14" s="5">
        <f>MAX(A$3:A13)+1</f>
        <v>11</v>
      </c>
      <c r="B14" s="34" t="s">
        <v>1864</v>
      </c>
      <c r="C14" s="109">
        <v>1</v>
      </c>
      <c r="D14" s="34" t="s">
        <v>1817</v>
      </c>
      <c r="E14" s="109" t="s">
        <v>184</v>
      </c>
      <c r="F14" s="109" t="s">
        <v>1652</v>
      </c>
      <c r="G14" s="34" t="s">
        <v>1871</v>
      </c>
      <c r="H14" s="34" t="s">
        <v>1656</v>
      </c>
      <c r="I14" s="47" t="s">
        <v>418</v>
      </c>
    </row>
    <row r="15" spans="1:9" ht="15" x14ac:dyDescent="0.15">
      <c r="A15" s="5">
        <f>MAX(A$3:A14)+1</f>
        <v>12</v>
      </c>
      <c r="B15" s="34" t="s">
        <v>1819</v>
      </c>
      <c r="C15" s="109">
        <v>1</v>
      </c>
      <c r="D15" s="34" t="s">
        <v>1817</v>
      </c>
      <c r="E15" s="109" t="s">
        <v>184</v>
      </c>
      <c r="F15" s="109" t="s">
        <v>1652</v>
      </c>
      <c r="G15" s="34"/>
      <c r="H15" s="34"/>
      <c r="I15" s="47" t="s">
        <v>351</v>
      </c>
    </row>
    <row r="16" spans="1:9" ht="30" x14ac:dyDescent="0.15">
      <c r="A16" s="5">
        <f>MAX(A$3:A15)+1</f>
        <v>13</v>
      </c>
      <c r="B16" s="34" t="s">
        <v>1820</v>
      </c>
      <c r="C16" s="109">
        <v>1</v>
      </c>
      <c r="D16" s="34" t="s">
        <v>1817</v>
      </c>
      <c r="E16" s="109" t="s">
        <v>184</v>
      </c>
      <c r="F16" s="109" t="s">
        <v>1652</v>
      </c>
      <c r="G16" s="34"/>
      <c r="H16" s="34" t="s">
        <v>1656</v>
      </c>
      <c r="I16" s="47" t="s">
        <v>489</v>
      </c>
    </row>
    <row r="17" spans="1:9" ht="30" x14ac:dyDescent="0.15">
      <c r="A17" s="5">
        <f>MAX(A$3:A16)+1</f>
        <v>14</v>
      </c>
      <c r="B17" s="34" t="s">
        <v>1821</v>
      </c>
      <c r="C17" s="109">
        <v>1</v>
      </c>
      <c r="D17" s="34" t="s">
        <v>1817</v>
      </c>
      <c r="E17" s="109" t="s">
        <v>184</v>
      </c>
      <c r="F17" s="109" t="s">
        <v>1652</v>
      </c>
      <c r="G17" s="34"/>
      <c r="H17" s="34" t="s">
        <v>1656</v>
      </c>
      <c r="I17" s="47" t="s">
        <v>378</v>
      </c>
    </row>
    <row r="18" spans="1:9" ht="45" x14ac:dyDescent="0.15">
      <c r="A18" s="5">
        <f>MAX(A$3:A17)+1</f>
        <v>15</v>
      </c>
      <c r="B18" s="34" t="s">
        <v>1822</v>
      </c>
      <c r="C18" s="109"/>
      <c r="D18" s="34" t="s">
        <v>1817</v>
      </c>
      <c r="E18" s="109" t="s">
        <v>184</v>
      </c>
      <c r="F18" s="109" t="s">
        <v>1652</v>
      </c>
      <c r="G18" s="34" t="s">
        <v>1867</v>
      </c>
      <c r="H18" s="34" t="s">
        <v>1655</v>
      </c>
      <c r="I18" s="47" t="s">
        <v>418</v>
      </c>
    </row>
    <row r="19" spans="1:9" ht="45" x14ac:dyDescent="0.15">
      <c r="A19" s="5">
        <f>MAX(A$3:A18)+1</f>
        <v>16</v>
      </c>
      <c r="B19" s="34" t="s">
        <v>1823</v>
      </c>
      <c r="C19" s="109">
        <v>3</v>
      </c>
      <c r="D19" s="34" t="s">
        <v>1817</v>
      </c>
      <c r="E19" s="109" t="s">
        <v>184</v>
      </c>
      <c r="F19" s="109" t="s">
        <v>1652</v>
      </c>
      <c r="G19" s="34" t="s">
        <v>1865</v>
      </c>
      <c r="H19" s="34" t="s">
        <v>1655</v>
      </c>
      <c r="I19" s="47" t="s">
        <v>378</v>
      </c>
    </row>
    <row r="20" spans="1:9" ht="45" x14ac:dyDescent="0.15">
      <c r="A20" s="5">
        <f>MAX(A$3:A19)+1</f>
        <v>17</v>
      </c>
      <c r="B20" s="34" t="s">
        <v>1824</v>
      </c>
      <c r="C20" s="109"/>
      <c r="D20" s="34" t="s">
        <v>1817</v>
      </c>
      <c r="E20" s="109" t="s">
        <v>184</v>
      </c>
      <c r="F20" s="109" t="s">
        <v>1651</v>
      </c>
      <c r="G20" s="34" t="s">
        <v>1867</v>
      </c>
      <c r="H20" s="34" t="s">
        <v>1655</v>
      </c>
      <c r="I20" s="47" t="s">
        <v>404</v>
      </c>
    </row>
    <row r="21" spans="1:9" ht="45" x14ac:dyDescent="0.15">
      <c r="A21" s="5">
        <f>MAX(A$3:A20)+1</f>
        <v>18</v>
      </c>
      <c r="B21" s="34" t="s">
        <v>1825</v>
      </c>
      <c r="C21" s="109"/>
      <c r="D21" s="34" t="s">
        <v>1817</v>
      </c>
      <c r="E21" s="109" t="s">
        <v>184</v>
      </c>
      <c r="F21" s="109" t="s">
        <v>1651</v>
      </c>
      <c r="G21" s="34" t="s">
        <v>1867</v>
      </c>
      <c r="H21" s="34" t="s">
        <v>1655</v>
      </c>
      <c r="I21" s="47" t="s">
        <v>404</v>
      </c>
    </row>
    <row r="22" spans="1:9" ht="45" x14ac:dyDescent="0.15">
      <c r="A22" s="5">
        <f>MAX(A$3:A21)+1</f>
        <v>19</v>
      </c>
      <c r="B22" s="34" t="s">
        <v>1841</v>
      </c>
      <c r="C22" s="109"/>
      <c r="D22" s="34" t="s">
        <v>183</v>
      </c>
      <c r="E22" s="109" t="s">
        <v>183</v>
      </c>
      <c r="F22" s="109" t="s">
        <v>1652</v>
      </c>
      <c r="G22" s="34" t="s">
        <v>1661</v>
      </c>
      <c r="H22" s="34" t="s">
        <v>1655</v>
      </c>
      <c r="I22" s="47" t="s">
        <v>410</v>
      </c>
    </row>
    <row r="23" spans="1:9" ht="45" x14ac:dyDescent="0.15">
      <c r="A23" s="5">
        <f>MAX(A$3:A22)+1</f>
        <v>20</v>
      </c>
      <c r="B23" s="34" t="s">
        <v>1842</v>
      </c>
      <c r="C23" s="109"/>
      <c r="D23" s="34" t="s">
        <v>183</v>
      </c>
      <c r="E23" s="109" t="s">
        <v>183</v>
      </c>
      <c r="F23" s="109" t="s">
        <v>1652</v>
      </c>
      <c r="G23" s="34" t="s">
        <v>1661</v>
      </c>
      <c r="H23" s="34" t="s">
        <v>1655</v>
      </c>
      <c r="I23" s="47" t="s">
        <v>410</v>
      </c>
    </row>
    <row r="24" spans="1:9" ht="30" x14ac:dyDescent="0.15">
      <c r="A24" s="5">
        <f>MAX(A$3:A23)+1</f>
        <v>21</v>
      </c>
      <c r="B24" s="34" t="s">
        <v>1843</v>
      </c>
      <c r="C24" s="109">
        <v>3</v>
      </c>
      <c r="D24" s="34" t="s">
        <v>183</v>
      </c>
      <c r="E24" s="109" t="s">
        <v>183</v>
      </c>
      <c r="F24" s="109" t="s">
        <v>1650</v>
      </c>
      <c r="G24" s="34" t="s">
        <v>1711</v>
      </c>
      <c r="H24" s="34" t="s">
        <v>1654</v>
      </c>
      <c r="I24" s="47" t="s">
        <v>410</v>
      </c>
    </row>
    <row r="25" spans="1:9" ht="15" x14ac:dyDescent="0.15">
      <c r="A25" s="5">
        <f>MAX(A$3:A24)+1</f>
        <v>22</v>
      </c>
      <c r="B25" s="34" t="s">
        <v>1844</v>
      </c>
      <c r="C25" s="109">
        <v>3</v>
      </c>
      <c r="D25" s="34" t="s">
        <v>183</v>
      </c>
      <c r="E25" s="109" t="s">
        <v>183</v>
      </c>
      <c r="F25" s="109" t="s">
        <v>1650</v>
      </c>
      <c r="G25" s="34" t="s">
        <v>1833</v>
      </c>
      <c r="H25" s="34" t="s">
        <v>1655</v>
      </c>
      <c r="I25" s="47" t="s">
        <v>489</v>
      </c>
    </row>
    <row r="26" spans="1:9" ht="30" x14ac:dyDescent="0.15">
      <c r="A26" s="5">
        <f>MAX(A$3:A25)+1</f>
        <v>23</v>
      </c>
      <c r="B26" s="34" t="s">
        <v>1845</v>
      </c>
      <c r="C26" s="109">
        <v>3</v>
      </c>
      <c r="D26" s="34" t="s">
        <v>183</v>
      </c>
      <c r="E26" s="109" t="s">
        <v>183</v>
      </c>
      <c r="F26" s="109" t="s">
        <v>1650</v>
      </c>
      <c r="G26" s="34" t="s">
        <v>1866</v>
      </c>
      <c r="H26" s="34" t="s">
        <v>1654</v>
      </c>
      <c r="I26" s="47" t="s">
        <v>410</v>
      </c>
    </row>
    <row r="27" spans="1:9" ht="30" x14ac:dyDescent="0.15">
      <c r="A27" s="5">
        <f>MAX(A$3:A26)+1</f>
        <v>24</v>
      </c>
      <c r="B27" s="34" t="s">
        <v>1846</v>
      </c>
      <c r="C27" s="109"/>
      <c r="D27" s="34" t="s">
        <v>183</v>
      </c>
      <c r="E27" s="109" t="s">
        <v>183</v>
      </c>
      <c r="F27" s="109" t="s">
        <v>1650</v>
      </c>
      <c r="G27" s="34" t="s">
        <v>1660</v>
      </c>
      <c r="H27" s="34" t="s">
        <v>1654</v>
      </c>
      <c r="I27" s="47" t="s">
        <v>410</v>
      </c>
    </row>
    <row r="28" spans="1:9" ht="30" x14ac:dyDescent="0.15">
      <c r="A28" s="5">
        <f>MAX(A$3:A27)+1</f>
        <v>25</v>
      </c>
      <c r="B28" s="34" t="s">
        <v>1847</v>
      </c>
      <c r="C28" s="109"/>
      <c r="D28" s="34" t="s">
        <v>183</v>
      </c>
      <c r="E28" s="109" t="s">
        <v>183</v>
      </c>
      <c r="F28" s="109" t="s">
        <v>1652</v>
      </c>
      <c r="G28" s="34" t="s">
        <v>1866</v>
      </c>
      <c r="H28" s="34" t="s">
        <v>1654</v>
      </c>
      <c r="I28" s="47" t="s">
        <v>410</v>
      </c>
    </row>
    <row r="29" spans="1:9" ht="30" x14ac:dyDescent="0.15">
      <c r="A29" s="5">
        <f>MAX(A$3:A28)+1</f>
        <v>26</v>
      </c>
      <c r="B29" s="34" t="s">
        <v>1848</v>
      </c>
      <c r="C29" s="109"/>
      <c r="D29" s="34" t="s">
        <v>183</v>
      </c>
      <c r="E29" s="109" t="s">
        <v>183</v>
      </c>
      <c r="F29" s="109" t="s">
        <v>1652</v>
      </c>
      <c r="G29" s="34" t="s">
        <v>1866</v>
      </c>
      <c r="H29" s="34" t="s">
        <v>1654</v>
      </c>
      <c r="I29" s="47" t="s">
        <v>410</v>
      </c>
    </row>
    <row r="30" spans="1:9" ht="30" x14ac:dyDescent="0.15">
      <c r="A30" s="5">
        <f>MAX(A$3:A29)+1</f>
        <v>27</v>
      </c>
      <c r="B30" s="34" t="s">
        <v>1849</v>
      </c>
      <c r="C30" s="109"/>
      <c r="D30" s="34" t="s">
        <v>183</v>
      </c>
      <c r="E30" s="109" t="s">
        <v>183</v>
      </c>
      <c r="F30" s="109" t="s">
        <v>1652</v>
      </c>
      <c r="G30" s="34" t="s">
        <v>1866</v>
      </c>
      <c r="H30" s="34" t="s">
        <v>1654</v>
      </c>
      <c r="I30" s="47" t="s">
        <v>410</v>
      </c>
    </row>
    <row r="31" spans="1:9" ht="30" x14ac:dyDescent="0.15">
      <c r="A31" s="5">
        <f>MAX(A$3:A30)+1</f>
        <v>28</v>
      </c>
      <c r="B31" s="34" t="s">
        <v>1850</v>
      </c>
      <c r="C31" s="109"/>
      <c r="D31" s="34" t="s">
        <v>183</v>
      </c>
      <c r="E31" s="109" t="s">
        <v>183</v>
      </c>
      <c r="F31" s="109" t="s">
        <v>1652</v>
      </c>
      <c r="G31" s="34" t="s">
        <v>1866</v>
      </c>
      <c r="H31" s="34" t="s">
        <v>1654</v>
      </c>
      <c r="I31" s="47" t="s">
        <v>410</v>
      </c>
    </row>
    <row r="32" spans="1:9" ht="45" x14ac:dyDescent="0.15">
      <c r="A32" s="5">
        <f>MAX(A$3:A31)+1</f>
        <v>29</v>
      </c>
      <c r="B32" s="34" t="s">
        <v>1803</v>
      </c>
      <c r="C32" s="109">
        <v>3</v>
      </c>
      <c r="D32" s="34" t="s">
        <v>1802</v>
      </c>
      <c r="E32" s="109" t="s">
        <v>184</v>
      </c>
      <c r="F32" s="109" t="s">
        <v>1650</v>
      </c>
      <c r="G32" s="34" t="s">
        <v>1659</v>
      </c>
      <c r="H32" s="34" t="s">
        <v>1655</v>
      </c>
      <c r="I32" s="47" t="s">
        <v>351</v>
      </c>
    </row>
    <row r="33" spans="1:9" ht="30" x14ac:dyDescent="0.15">
      <c r="A33" s="5">
        <f>MAX(A$3:A32)+1</f>
        <v>30</v>
      </c>
      <c r="B33" s="34" t="s">
        <v>1855</v>
      </c>
      <c r="C33" s="109">
        <v>1</v>
      </c>
      <c r="D33" s="34" t="s">
        <v>1802</v>
      </c>
      <c r="E33" s="109" t="s">
        <v>184</v>
      </c>
      <c r="F33" s="109"/>
      <c r="G33" s="34"/>
      <c r="H33" s="34"/>
      <c r="I33" s="47" t="s">
        <v>351</v>
      </c>
    </row>
    <row r="34" spans="1:9" ht="30" x14ac:dyDescent="0.15">
      <c r="A34" s="5">
        <f>MAX(A$3:A33)+1</f>
        <v>31</v>
      </c>
      <c r="B34" s="34" t="s">
        <v>1856</v>
      </c>
      <c r="C34" s="109">
        <v>1</v>
      </c>
      <c r="D34" s="34" t="s">
        <v>1802</v>
      </c>
      <c r="E34" s="109" t="s">
        <v>184</v>
      </c>
      <c r="F34" s="109"/>
      <c r="G34" s="34"/>
      <c r="H34" s="34"/>
      <c r="I34" s="47" t="s">
        <v>351</v>
      </c>
    </row>
    <row r="35" spans="1:9" ht="30" x14ac:dyDescent="0.15">
      <c r="A35" s="5">
        <f>MAX(A$3:A34)+1</f>
        <v>32</v>
      </c>
      <c r="B35" s="34" t="s">
        <v>1804</v>
      </c>
      <c r="C35" s="109">
        <v>3</v>
      </c>
      <c r="D35" s="34" t="s">
        <v>1802</v>
      </c>
      <c r="E35" s="109" t="s">
        <v>184</v>
      </c>
      <c r="F35" s="109" t="s">
        <v>1652</v>
      </c>
      <c r="G35" s="34" t="s">
        <v>1660</v>
      </c>
      <c r="H35" s="34" t="s">
        <v>1654</v>
      </c>
      <c r="I35" s="47" t="s">
        <v>351</v>
      </c>
    </row>
    <row r="36" spans="1:9" ht="30" x14ac:dyDescent="0.15">
      <c r="A36" s="5">
        <f>MAX(A$3:A35)+1</f>
        <v>33</v>
      </c>
      <c r="B36" s="34" t="s">
        <v>1805</v>
      </c>
      <c r="C36" s="109">
        <v>3</v>
      </c>
      <c r="D36" s="34" t="s">
        <v>1802</v>
      </c>
      <c r="E36" s="109" t="s">
        <v>184</v>
      </c>
      <c r="F36" s="109" t="s">
        <v>1651</v>
      </c>
      <c r="G36" s="34" t="s">
        <v>1860</v>
      </c>
      <c r="H36" s="34" t="s">
        <v>1655</v>
      </c>
      <c r="I36" s="47" t="s">
        <v>410</v>
      </c>
    </row>
    <row r="37" spans="1:9" ht="30" x14ac:dyDescent="0.15">
      <c r="A37" s="5">
        <f>MAX(A$3:A36)+1</f>
        <v>34</v>
      </c>
      <c r="B37" s="34" t="s">
        <v>1806</v>
      </c>
      <c r="C37" s="109">
        <v>1</v>
      </c>
      <c r="D37" s="34" t="s">
        <v>1802</v>
      </c>
      <c r="E37" s="109" t="s">
        <v>184</v>
      </c>
      <c r="F37" s="109" t="s">
        <v>1652</v>
      </c>
      <c r="G37" s="34"/>
      <c r="H37" s="34" t="s">
        <v>1656</v>
      </c>
      <c r="I37" s="47" t="s">
        <v>351</v>
      </c>
    </row>
    <row r="38" spans="1:9" ht="45" x14ac:dyDescent="0.15">
      <c r="A38" s="5">
        <f>MAX(A$3:A37)+1</f>
        <v>35</v>
      </c>
      <c r="B38" s="34" t="s">
        <v>1807</v>
      </c>
      <c r="C38" s="109">
        <v>3</v>
      </c>
      <c r="D38" s="34" t="s">
        <v>1802</v>
      </c>
      <c r="E38" s="109" t="s">
        <v>184</v>
      </c>
      <c r="F38" s="109" t="s">
        <v>1650</v>
      </c>
      <c r="G38" s="34" t="s">
        <v>1659</v>
      </c>
      <c r="H38" s="34" t="s">
        <v>1655</v>
      </c>
      <c r="I38" s="47" t="s">
        <v>378</v>
      </c>
    </row>
    <row r="39" spans="1:9" ht="45" x14ac:dyDescent="0.15">
      <c r="A39" s="5">
        <f>MAX(A$3:A38)+1</f>
        <v>36</v>
      </c>
      <c r="B39" s="34" t="s">
        <v>1808</v>
      </c>
      <c r="C39" s="109">
        <v>3</v>
      </c>
      <c r="D39" s="34" t="s">
        <v>1802</v>
      </c>
      <c r="E39" s="109" t="s">
        <v>184</v>
      </c>
      <c r="F39" s="109" t="s">
        <v>1652</v>
      </c>
      <c r="G39" s="34" t="s">
        <v>1659</v>
      </c>
      <c r="H39" s="34" t="s">
        <v>1655</v>
      </c>
      <c r="I39" s="47" t="s">
        <v>378</v>
      </c>
    </row>
    <row r="40" spans="1:9" ht="30" x14ac:dyDescent="0.15">
      <c r="A40" s="5">
        <f>MAX(A$3:A39)+1</f>
        <v>37</v>
      </c>
      <c r="B40" s="34" t="s">
        <v>1809</v>
      </c>
      <c r="C40" s="109">
        <v>3</v>
      </c>
      <c r="D40" s="34" t="s">
        <v>1802</v>
      </c>
      <c r="E40" s="109" t="s">
        <v>184</v>
      </c>
      <c r="F40" s="109" t="s">
        <v>1652</v>
      </c>
      <c r="G40" s="34" t="s">
        <v>1660</v>
      </c>
      <c r="H40" s="34" t="s">
        <v>1654</v>
      </c>
      <c r="I40" s="47" t="s">
        <v>351</v>
      </c>
    </row>
    <row r="41" spans="1:9" ht="45" x14ac:dyDescent="0.15">
      <c r="A41" s="5">
        <f>MAX(A$3:A40)+1</f>
        <v>38</v>
      </c>
      <c r="B41" s="34" t="s">
        <v>1810</v>
      </c>
      <c r="C41" s="109">
        <v>3</v>
      </c>
      <c r="D41" s="34" t="s">
        <v>1802</v>
      </c>
      <c r="E41" s="109" t="s">
        <v>184</v>
      </c>
      <c r="F41" s="109" t="s">
        <v>1650</v>
      </c>
      <c r="G41" s="34" t="s">
        <v>1861</v>
      </c>
      <c r="H41" s="34" t="s">
        <v>1655</v>
      </c>
      <c r="I41" s="47" t="s">
        <v>378</v>
      </c>
    </row>
    <row r="42" spans="1:9" ht="45" x14ac:dyDescent="0.15">
      <c r="A42" s="5">
        <f>MAX(A$3:A41)+1</f>
        <v>39</v>
      </c>
      <c r="B42" s="34" t="s">
        <v>1811</v>
      </c>
      <c r="C42" s="109"/>
      <c r="D42" s="34" t="s">
        <v>1802</v>
      </c>
      <c r="E42" s="109" t="s">
        <v>184</v>
      </c>
      <c r="F42" s="109" t="s">
        <v>1652</v>
      </c>
      <c r="G42" s="34" t="s">
        <v>1867</v>
      </c>
      <c r="H42" s="34" t="s">
        <v>1655</v>
      </c>
      <c r="I42" s="47" t="s">
        <v>378</v>
      </c>
    </row>
    <row r="43" spans="1:9" ht="45" x14ac:dyDescent="0.15">
      <c r="A43" s="5">
        <f>MAX(A$3:A42)+1</f>
        <v>40</v>
      </c>
      <c r="B43" s="34" t="s">
        <v>1812</v>
      </c>
      <c r="C43" s="109"/>
      <c r="D43" s="34" t="s">
        <v>1802</v>
      </c>
      <c r="E43" s="109" t="s">
        <v>184</v>
      </c>
      <c r="F43" s="109" t="s">
        <v>1650</v>
      </c>
      <c r="G43" s="34" t="s">
        <v>1662</v>
      </c>
      <c r="H43" s="34" t="s">
        <v>1654</v>
      </c>
      <c r="I43" s="47" t="s">
        <v>357</v>
      </c>
    </row>
    <row r="44" spans="1:9" ht="30" x14ac:dyDescent="0.15">
      <c r="A44" s="5">
        <f>MAX(A$3:A43)+1</f>
        <v>41</v>
      </c>
      <c r="B44" s="34" t="s">
        <v>1813</v>
      </c>
      <c r="C44" s="109"/>
      <c r="D44" s="34" t="s">
        <v>1802</v>
      </c>
      <c r="E44" s="109" t="s">
        <v>184</v>
      </c>
      <c r="F44" s="109" t="s">
        <v>1650</v>
      </c>
      <c r="G44" s="34" t="s">
        <v>1657</v>
      </c>
      <c r="H44" s="34" t="s">
        <v>1654</v>
      </c>
      <c r="I44" s="47" t="s">
        <v>357</v>
      </c>
    </row>
    <row r="45" spans="1:9" ht="45" x14ac:dyDescent="0.15">
      <c r="A45" s="5">
        <f>MAX(A$3:A44)+1</f>
        <v>42</v>
      </c>
      <c r="B45" s="34" t="s">
        <v>1814</v>
      </c>
      <c r="C45" s="109"/>
      <c r="D45" s="34" t="s">
        <v>1802</v>
      </c>
      <c r="E45" s="109" t="s">
        <v>184</v>
      </c>
      <c r="F45" s="109" t="s">
        <v>1650</v>
      </c>
      <c r="G45" s="34" t="s">
        <v>1867</v>
      </c>
      <c r="H45" s="34" t="s">
        <v>1655</v>
      </c>
      <c r="I45" s="47" t="s">
        <v>378</v>
      </c>
    </row>
    <row r="46" spans="1:9" ht="45" x14ac:dyDescent="0.15">
      <c r="A46" s="5">
        <f>MAX(A$3:A45)+1</f>
        <v>43</v>
      </c>
      <c r="B46" s="34" t="s">
        <v>1815</v>
      </c>
      <c r="C46" s="109"/>
      <c r="D46" s="34" t="s">
        <v>1802</v>
      </c>
      <c r="E46" s="109" t="s">
        <v>184</v>
      </c>
      <c r="F46" s="109" t="s">
        <v>1650</v>
      </c>
      <c r="G46" s="34" t="s">
        <v>1867</v>
      </c>
      <c r="H46" s="34" t="s">
        <v>1655</v>
      </c>
      <c r="I46" s="47" t="s">
        <v>357</v>
      </c>
    </row>
    <row r="47" spans="1:9" ht="45" x14ac:dyDescent="0.15">
      <c r="A47" s="5">
        <f>MAX(A$3:A46)+1</f>
        <v>44</v>
      </c>
      <c r="B47" s="34" t="s">
        <v>1816</v>
      </c>
      <c r="C47" s="109"/>
      <c r="D47" s="34" t="s">
        <v>1802</v>
      </c>
      <c r="E47" s="109" t="s">
        <v>184</v>
      </c>
      <c r="F47" s="109" t="s">
        <v>1651</v>
      </c>
      <c r="G47" s="34" t="s">
        <v>1867</v>
      </c>
      <c r="H47" s="34" t="s">
        <v>1655</v>
      </c>
      <c r="I47" s="47" t="s">
        <v>362</v>
      </c>
    </row>
    <row r="48" spans="1:9" ht="15" x14ac:dyDescent="0.15">
      <c r="A48" s="5">
        <f>MAX(A$3:A47)+1</f>
        <v>45</v>
      </c>
      <c r="B48" s="34" t="s">
        <v>1857</v>
      </c>
      <c r="C48" s="109">
        <v>1</v>
      </c>
      <c r="D48" s="34" t="s">
        <v>1840</v>
      </c>
      <c r="E48" s="109" t="s">
        <v>184</v>
      </c>
      <c r="F48" s="109" t="s">
        <v>1650</v>
      </c>
      <c r="G48" s="34"/>
      <c r="H48" s="34"/>
      <c r="I48" s="47" t="s">
        <v>351</v>
      </c>
    </row>
    <row r="49" spans="1:9" ht="15" x14ac:dyDescent="0.15">
      <c r="A49" s="5">
        <f>MAX(A$3:A48)+1</f>
        <v>46</v>
      </c>
      <c r="B49" s="34" t="s">
        <v>1982</v>
      </c>
      <c r="C49" s="109">
        <v>1</v>
      </c>
      <c r="D49" s="34" t="s">
        <v>1840</v>
      </c>
      <c r="E49" s="109" t="s">
        <v>184</v>
      </c>
      <c r="F49" s="109"/>
      <c r="G49" s="34"/>
      <c r="H49" s="34"/>
      <c r="I49" s="47" t="s">
        <v>351</v>
      </c>
    </row>
    <row r="50" spans="1:9" ht="30" x14ac:dyDescent="0.15">
      <c r="A50" s="5">
        <f>MAX(A$3:A49)+1</f>
        <v>47</v>
      </c>
      <c r="B50" s="34" t="s">
        <v>1801</v>
      </c>
      <c r="C50" s="109">
        <v>3</v>
      </c>
      <c r="D50" s="34" t="s">
        <v>1800</v>
      </c>
      <c r="E50" s="109" t="s">
        <v>184</v>
      </c>
      <c r="F50" s="109" t="s">
        <v>1650</v>
      </c>
      <c r="G50" s="34" t="s">
        <v>1658</v>
      </c>
      <c r="H50" s="34" t="s">
        <v>1654</v>
      </c>
      <c r="I50" s="47" t="s">
        <v>351</v>
      </c>
    </row>
    <row r="51" spans="1:9" ht="45" x14ac:dyDescent="0.15">
      <c r="A51" s="5">
        <f>MAX(A$3:A50)+1</f>
        <v>48</v>
      </c>
      <c r="B51" s="34" t="s">
        <v>1858</v>
      </c>
      <c r="C51" s="109">
        <v>3</v>
      </c>
      <c r="D51" s="34" t="s">
        <v>1870</v>
      </c>
      <c r="E51" s="109" t="s">
        <v>184</v>
      </c>
      <c r="F51" s="109" t="s">
        <v>1652</v>
      </c>
      <c r="G51" s="34"/>
      <c r="H51" s="34" t="s">
        <v>1656</v>
      </c>
      <c r="I51" s="47" t="s">
        <v>351</v>
      </c>
    </row>
    <row r="52" spans="1:9" ht="45" x14ac:dyDescent="0.15">
      <c r="A52" s="5">
        <f>MAX(A$3:A51)+1</f>
        <v>49</v>
      </c>
      <c r="B52" s="34" t="s">
        <v>1859</v>
      </c>
      <c r="C52" s="109">
        <v>1</v>
      </c>
      <c r="D52" s="34" t="s">
        <v>1870</v>
      </c>
      <c r="E52" s="109" t="s">
        <v>184</v>
      </c>
      <c r="F52" s="109"/>
      <c r="G52" s="34"/>
      <c r="H52" s="34"/>
      <c r="I52" s="47" t="s">
        <v>351</v>
      </c>
    </row>
    <row r="53" spans="1:9" ht="15" x14ac:dyDescent="0.15">
      <c r="A53" s="5">
        <f>MAX(A$3:A52)+1</f>
        <v>50</v>
      </c>
      <c r="B53" s="34" t="s">
        <v>1827</v>
      </c>
      <c r="C53" s="109">
        <v>3</v>
      </c>
      <c r="D53" s="34" t="s">
        <v>1826</v>
      </c>
      <c r="E53" s="109" t="s">
        <v>184</v>
      </c>
      <c r="F53" s="109" t="s">
        <v>1652</v>
      </c>
      <c r="G53" s="34" t="s">
        <v>1872</v>
      </c>
      <c r="H53" s="34" t="s">
        <v>1654</v>
      </c>
      <c r="I53" s="47" t="s">
        <v>489</v>
      </c>
    </row>
    <row r="54" spans="1:9" ht="15" x14ac:dyDescent="0.15">
      <c r="A54" s="5">
        <f>MAX(A$3:A53)+1</f>
        <v>51</v>
      </c>
      <c r="B54" s="34" t="s">
        <v>1828</v>
      </c>
      <c r="C54" s="109">
        <v>3</v>
      </c>
      <c r="D54" s="34" t="s">
        <v>1826</v>
      </c>
      <c r="E54" s="109" t="s">
        <v>184</v>
      </c>
      <c r="F54" s="109" t="s">
        <v>1652</v>
      </c>
      <c r="G54" s="34" t="s">
        <v>1872</v>
      </c>
      <c r="H54" s="34" t="s">
        <v>1654</v>
      </c>
      <c r="I54" s="47" t="s">
        <v>489</v>
      </c>
    </row>
    <row r="55" spans="1:9" ht="15" x14ac:dyDescent="0.15">
      <c r="A55" s="5">
        <f>MAX(A$3:A54)+1</f>
        <v>52</v>
      </c>
      <c r="B55" s="34" t="s">
        <v>1158</v>
      </c>
      <c r="C55" s="109">
        <v>3</v>
      </c>
      <c r="D55" s="34" t="s">
        <v>1826</v>
      </c>
      <c r="E55" s="109" t="s">
        <v>184</v>
      </c>
      <c r="F55" s="109" t="s">
        <v>1652</v>
      </c>
      <c r="G55" s="34" t="s">
        <v>1872</v>
      </c>
      <c r="H55" s="34" t="s">
        <v>1654</v>
      </c>
      <c r="I55" s="47" t="s">
        <v>489</v>
      </c>
    </row>
    <row r="56" spans="1:9" ht="15" x14ac:dyDescent="0.15">
      <c r="A56" s="5">
        <f>MAX(A$3:A55)+1</f>
        <v>53</v>
      </c>
      <c r="B56" s="34" t="s">
        <v>1829</v>
      </c>
      <c r="C56" s="109">
        <v>3</v>
      </c>
      <c r="D56" s="34" t="s">
        <v>1826</v>
      </c>
      <c r="E56" s="109" t="s">
        <v>184</v>
      </c>
      <c r="F56" s="109" t="s">
        <v>1652</v>
      </c>
      <c r="G56" s="34" t="s">
        <v>1872</v>
      </c>
      <c r="H56" s="34" t="s">
        <v>1654</v>
      </c>
      <c r="I56" s="47" t="s">
        <v>489</v>
      </c>
    </row>
    <row r="57" spans="1:9" ht="45" x14ac:dyDescent="0.15">
      <c r="A57" s="5">
        <f>MAX(A$3:A56)+1</f>
        <v>54</v>
      </c>
      <c r="B57" s="34" t="s">
        <v>1851</v>
      </c>
      <c r="C57" s="109">
        <v>3</v>
      </c>
      <c r="D57" s="34" t="s">
        <v>1826</v>
      </c>
      <c r="E57" s="109" t="s">
        <v>184</v>
      </c>
      <c r="F57" s="109" t="s">
        <v>1652</v>
      </c>
      <c r="G57" s="34" t="s">
        <v>1860</v>
      </c>
      <c r="H57" s="34" t="s">
        <v>1655</v>
      </c>
      <c r="I57" s="47" t="s">
        <v>489</v>
      </c>
    </row>
    <row r="58" spans="1:9" ht="30" x14ac:dyDescent="0.15">
      <c r="A58" s="5">
        <f>MAX(A$3:A57)+1</f>
        <v>55</v>
      </c>
      <c r="B58" s="34" t="s">
        <v>1830</v>
      </c>
      <c r="C58" s="109">
        <v>3</v>
      </c>
      <c r="D58" s="34" t="s">
        <v>1826</v>
      </c>
      <c r="E58" s="109" t="s">
        <v>184</v>
      </c>
      <c r="F58" s="109" t="s">
        <v>1652</v>
      </c>
      <c r="G58" s="34" t="s">
        <v>1872</v>
      </c>
      <c r="H58" s="34" t="s">
        <v>1654</v>
      </c>
      <c r="I58" s="47" t="s">
        <v>489</v>
      </c>
    </row>
    <row r="59" spans="1:9" ht="15" x14ac:dyDescent="0.15">
      <c r="B59" s="13" t="s">
        <v>173</v>
      </c>
    </row>
  </sheetData>
  <autoFilter ref="A3:I59" xr:uid="{00000000-0001-0000-0200-000000000000}"/>
  <mergeCells count="1">
    <mergeCell ref="A1:I1"/>
  </mergeCells>
  <printOptions horizontalCentered="1"/>
  <pageMargins left="0.23622047244094491" right="0.15748031496062992" top="0.19685039370078741" bottom="0.19685039370078741" header="0.19685039370078741" footer="0.11811023622047245"/>
  <pageSetup paperSize="9" scale="64" fitToHeight="7" orientation="landscape"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2CEB6-1A06-8A4C-BBEB-BED1D5B92E09}">
  <sheetPr>
    <pageSetUpPr fitToPage="1"/>
  </sheetPr>
  <dimension ref="A1:Q88"/>
  <sheetViews>
    <sheetView view="pageBreakPreview" zoomScale="81" zoomScaleNormal="100" workbookViewId="0">
      <selection activeCell="A4" sqref="A4:L4"/>
    </sheetView>
  </sheetViews>
  <sheetFormatPr baseColWidth="10" defaultColWidth="10.83203125" defaultRowHeight="16" x14ac:dyDescent="0.2"/>
  <cols>
    <col min="1" max="2" width="5.5" style="175" customWidth="1"/>
    <col min="3" max="3" width="52.5" style="165" customWidth="1"/>
    <col min="4" max="4" width="14.1640625" style="165" bestFit="1" customWidth="1"/>
    <col min="5" max="5" width="53.83203125" style="165" hidden="1" customWidth="1"/>
    <col min="6" max="6" width="8" style="176" hidden="1" customWidth="1"/>
    <col min="7" max="7" width="11.33203125" style="176" hidden="1" customWidth="1"/>
    <col min="8" max="8" width="21.1640625" style="176" customWidth="1"/>
    <col min="9" max="9" width="17.6640625" style="165" customWidth="1"/>
    <col min="10" max="10" width="19.33203125" style="165" customWidth="1"/>
    <col min="11" max="11" width="59.1640625" style="165" customWidth="1"/>
    <col min="12" max="12" width="18" style="165" customWidth="1"/>
    <col min="13" max="13" width="14.83203125" style="165" customWidth="1"/>
    <col min="14" max="16384" width="10.83203125" style="165"/>
  </cols>
  <sheetData>
    <row r="1" spans="1:17" ht="21" x14ac:dyDescent="0.25">
      <c r="A1" s="235" t="s">
        <v>2100</v>
      </c>
      <c r="B1" s="235"/>
      <c r="C1" s="235"/>
      <c r="D1" s="235"/>
      <c r="E1" s="235"/>
      <c r="F1" s="235"/>
      <c r="G1" s="235"/>
      <c r="H1" s="235"/>
      <c r="I1" s="235"/>
      <c r="J1" s="235"/>
      <c r="K1" s="235"/>
      <c r="L1" s="235"/>
    </row>
    <row r="3" spans="1:17" ht="107" x14ac:dyDescent="0.2">
      <c r="A3" s="166" t="s">
        <v>0</v>
      </c>
      <c r="B3" s="166" t="s">
        <v>0</v>
      </c>
      <c r="C3" s="166" t="s">
        <v>1994</v>
      </c>
      <c r="D3" s="166" t="s">
        <v>1097</v>
      </c>
      <c r="E3" s="166" t="s">
        <v>2084</v>
      </c>
      <c r="F3" s="167" t="s">
        <v>1995</v>
      </c>
      <c r="G3" s="167" t="s">
        <v>1996</v>
      </c>
      <c r="H3" s="167" t="s">
        <v>2150</v>
      </c>
      <c r="I3" s="166" t="s">
        <v>1997</v>
      </c>
      <c r="J3" s="166" t="s">
        <v>1883</v>
      </c>
      <c r="K3" s="166" t="s">
        <v>2083</v>
      </c>
      <c r="L3" s="166" t="s">
        <v>2113</v>
      </c>
      <c r="M3" s="168" t="s">
        <v>2114</v>
      </c>
      <c r="N3" s="169" t="s">
        <v>2115</v>
      </c>
      <c r="O3" s="169" t="s">
        <v>2116</v>
      </c>
      <c r="P3" s="169" t="s">
        <v>2117</v>
      </c>
      <c r="Q3" s="169"/>
    </row>
    <row r="4" spans="1:17" s="169" customFormat="1" ht="21" x14ac:dyDescent="0.2">
      <c r="A4" s="232" t="s">
        <v>1998</v>
      </c>
      <c r="B4" s="233"/>
      <c r="C4" s="233"/>
      <c r="D4" s="233"/>
      <c r="E4" s="233"/>
      <c r="F4" s="233"/>
      <c r="G4" s="233"/>
      <c r="H4" s="233"/>
      <c r="I4" s="233"/>
      <c r="J4" s="233"/>
      <c r="K4" s="233"/>
      <c r="L4" s="234"/>
      <c r="M4" s="168"/>
    </row>
    <row r="5" spans="1:17" s="169" customFormat="1" ht="40" x14ac:dyDescent="0.2">
      <c r="A5" s="170">
        <f>MAX(A$4:A4)+1</f>
        <v>1</v>
      </c>
      <c r="B5" s="170">
        <f>+B4+1</f>
        <v>1</v>
      </c>
      <c r="C5" s="171" t="s">
        <v>1803</v>
      </c>
      <c r="D5" s="171" t="s">
        <v>184</v>
      </c>
      <c r="E5" s="171" t="s">
        <v>1998</v>
      </c>
      <c r="F5" s="172">
        <v>1</v>
      </c>
      <c r="G5" s="172">
        <v>24065</v>
      </c>
      <c r="H5" s="172">
        <v>4</v>
      </c>
      <c r="I5" s="171" t="s">
        <v>545</v>
      </c>
      <c r="J5" s="171" t="s">
        <v>351</v>
      </c>
      <c r="K5" s="171" t="s">
        <v>1999</v>
      </c>
      <c r="L5" s="171"/>
      <c r="M5" s="165"/>
      <c r="N5" s="165">
        <v>1</v>
      </c>
      <c r="O5" s="165">
        <v>1</v>
      </c>
      <c r="P5" s="165">
        <v>1</v>
      </c>
      <c r="Q5" s="165"/>
    </row>
    <row r="6" spans="1:17" ht="40" x14ac:dyDescent="0.2">
      <c r="A6" s="170">
        <f>MAX(A$4:A5)+1</f>
        <v>2</v>
      </c>
      <c r="B6" s="170">
        <f t="shared" ref="B6:B69" si="0">+B5+1</f>
        <v>2</v>
      </c>
      <c r="C6" s="171" t="s">
        <v>1807</v>
      </c>
      <c r="D6" s="171" t="s">
        <v>184</v>
      </c>
      <c r="E6" s="171" t="s">
        <v>1998</v>
      </c>
      <c r="F6" s="172">
        <v>1</v>
      </c>
      <c r="G6" s="172">
        <v>1</v>
      </c>
      <c r="H6" s="172">
        <v>3</v>
      </c>
      <c r="I6" s="171" t="s">
        <v>2000</v>
      </c>
      <c r="J6" s="171" t="s">
        <v>378</v>
      </c>
      <c r="K6" s="171" t="s">
        <v>1659</v>
      </c>
      <c r="L6" s="171" t="s">
        <v>1655</v>
      </c>
      <c r="N6" s="165">
        <v>1</v>
      </c>
      <c r="O6" s="165">
        <v>1</v>
      </c>
      <c r="P6" s="165">
        <v>1</v>
      </c>
    </row>
    <row r="7" spans="1:17" ht="40" x14ac:dyDescent="0.2">
      <c r="A7" s="170">
        <f>MAX(A$4:A6)+1</f>
        <v>3</v>
      </c>
      <c r="B7" s="170">
        <f t="shared" si="0"/>
        <v>3</v>
      </c>
      <c r="C7" s="171" t="s">
        <v>1804</v>
      </c>
      <c r="D7" s="171" t="s">
        <v>184</v>
      </c>
      <c r="E7" s="171" t="s">
        <v>1998</v>
      </c>
      <c r="F7" s="172">
        <v>3</v>
      </c>
      <c r="G7" s="172">
        <v>518</v>
      </c>
      <c r="H7" s="172">
        <v>3</v>
      </c>
      <c r="I7" s="171" t="s">
        <v>2000</v>
      </c>
      <c r="J7" s="171" t="s">
        <v>351</v>
      </c>
      <c r="K7" s="171" t="s">
        <v>1660</v>
      </c>
      <c r="L7" s="171" t="s">
        <v>2001</v>
      </c>
      <c r="N7" s="165">
        <v>1</v>
      </c>
      <c r="O7" s="165">
        <v>1</v>
      </c>
      <c r="P7" s="165">
        <v>1</v>
      </c>
    </row>
    <row r="8" spans="1:17" ht="60" x14ac:dyDescent="0.2">
      <c r="A8" s="170">
        <f>MAX(A$4:A7)+1</f>
        <v>4</v>
      </c>
      <c r="B8" s="170">
        <f t="shared" si="0"/>
        <v>4</v>
      </c>
      <c r="C8" s="171" t="s">
        <v>2002</v>
      </c>
      <c r="D8" s="171" t="s">
        <v>184</v>
      </c>
      <c r="E8" s="171" t="s">
        <v>1998</v>
      </c>
      <c r="F8" s="172">
        <v>1</v>
      </c>
      <c r="G8" s="172">
        <v>2652</v>
      </c>
      <c r="H8" s="172">
        <v>3</v>
      </c>
      <c r="I8" s="171" t="s">
        <v>2000</v>
      </c>
      <c r="J8" s="171" t="s">
        <v>378</v>
      </c>
      <c r="K8" s="171" t="s">
        <v>2003</v>
      </c>
      <c r="L8" s="171" t="s">
        <v>1655</v>
      </c>
      <c r="N8" s="165">
        <v>1</v>
      </c>
      <c r="O8" s="165">
        <v>1</v>
      </c>
      <c r="P8" s="165">
        <v>1</v>
      </c>
    </row>
    <row r="9" spans="1:17" ht="40" x14ac:dyDescent="0.2">
      <c r="A9" s="170">
        <f>MAX(A$4:A8)+1</f>
        <v>5</v>
      </c>
      <c r="B9" s="170">
        <f t="shared" si="0"/>
        <v>5</v>
      </c>
      <c r="C9" s="171" t="s">
        <v>1808</v>
      </c>
      <c r="D9" s="171" t="s">
        <v>184</v>
      </c>
      <c r="E9" s="171" t="s">
        <v>1998</v>
      </c>
      <c r="F9" s="172">
        <v>2</v>
      </c>
      <c r="G9" s="172">
        <v>828</v>
      </c>
      <c r="H9" s="172">
        <v>3</v>
      </c>
      <c r="I9" s="171" t="s">
        <v>2000</v>
      </c>
      <c r="J9" s="171" t="s">
        <v>378</v>
      </c>
      <c r="K9" s="171" t="s">
        <v>1659</v>
      </c>
      <c r="L9" s="171" t="s">
        <v>1655</v>
      </c>
      <c r="N9" s="165">
        <v>1</v>
      </c>
      <c r="O9" s="165">
        <v>0</v>
      </c>
      <c r="P9" s="165">
        <v>1</v>
      </c>
    </row>
    <row r="10" spans="1:17" ht="40" x14ac:dyDescent="0.2">
      <c r="A10" s="170">
        <f>MAX(A$4:A9)+1</f>
        <v>6</v>
      </c>
      <c r="B10" s="170">
        <f t="shared" si="0"/>
        <v>6</v>
      </c>
      <c r="C10" s="171" t="s">
        <v>2004</v>
      </c>
      <c r="D10" s="171" t="s">
        <v>184</v>
      </c>
      <c r="E10" s="171" t="s">
        <v>1998</v>
      </c>
      <c r="F10" s="172">
        <v>1</v>
      </c>
      <c r="G10" s="172">
        <v>8511</v>
      </c>
      <c r="H10" s="172">
        <v>3</v>
      </c>
      <c r="I10" s="171" t="s">
        <v>2000</v>
      </c>
      <c r="J10" s="171" t="s">
        <v>378</v>
      </c>
      <c r="K10" s="171" t="s">
        <v>2003</v>
      </c>
      <c r="L10" s="171" t="s">
        <v>1655</v>
      </c>
      <c r="N10" s="165">
        <v>1</v>
      </c>
      <c r="O10" s="165">
        <v>0</v>
      </c>
      <c r="P10" s="165">
        <v>1</v>
      </c>
    </row>
    <row r="11" spans="1:17" ht="40" x14ac:dyDescent="0.2">
      <c r="A11" s="170">
        <f>MAX(A$4:A10)+1</f>
        <v>7</v>
      </c>
      <c r="B11" s="170">
        <f t="shared" si="0"/>
        <v>7</v>
      </c>
      <c r="C11" s="171" t="s">
        <v>1809</v>
      </c>
      <c r="D11" s="171" t="s">
        <v>184</v>
      </c>
      <c r="E11" s="171" t="s">
        <v>1998</v>
      </c>
      <c r="F11" s="172">
        <v>1</v>
      </c>
      <c r="G11" s="172">
        <v>620</v>
      </c>
      <c r="H11" s="172">
        <v>3</v>
      </c>
      <c r="I11" s="171" t="s">
        <v>2000</v>
      </c>
      <c r="J11" s="171" t="s">
        <v>351</v>
      </c>
      <c r="K11" s="171" t="s">
        <v>1660</v>
      </c>
      <c r="L11" s="171" t="s">
        <v>2001</v>
      </c>
      <c r="N11" s="165">
        <v>1</v>
      </c>
      <c r="O11" s="165">
        <v>1</v>
      </c>
      <c r="P11" s="165">
        <v>1</v>
      </c>
    </row>
    <row r="12" spans="1:17" ht="60" x14ac:dyDescent="0.2">
      <c r="A12" s="170">
        <f>MAX(A$4:A11)+1</f>
        <v>8</v>
      </c>
      <c r="B12" s="170">
        <f t="shared" si="0"/>
        <v>8</v>
      </c>
      <c r="C12" s="171" t="s">
        <v>1811</v>
      </c>
      <c r="D12" s="171" t="s">
        <v>184</v>
      </c>
      <c r="E12" s="171" t="s">
        <v>1998</v>
      </c>
      <c r="F12" s="172" t="s">
        <v>2005</v>
      </c>
      <c r="G12" s="172" t="s">
        <v>2005</v>
      </c>
      <c r="H12" s="172">
        <v>0</v>
      </c>
      <c r="I12" s="171" t="s">
        <v>2006</v>
      </c>
      <c r="J12" s="171" t="s">
        <v>378</v>
      </c>
      <c r="K12" s="171" t="s">
        <v>1867</v>
      </c>
      <c r="L12" s="171" t="s">
        <v>1655</v>
      </c>
      <c r="N12" s="165">
        <v>1</v>
      </c>
      <c r="O12" s="165">
        <v>1</v>
      </c>
      <c r="P12" s="165">
        <v>0</v>
      </c>
    </row>
    <row r="13" spans="1:17" ht="60" x14ac:dyDescent="0.2">
      <c r="A13" s="170">
        <f>MAX(A$4:A12)+1</f>
        <v>9</v>
      </c>
      <c r="B13" s="170">
        <f t="shared" si="0"/>
        <v>9</v>
      </c>
      <c r="C13" s="171" t="s">
        <v>2007</v>
      </c>
      <c r="D13" s="171" t="s">
        <v>184</v>
      </c>
      <c r="E13" s="171" t="s">
        <v>1998</v>
      </c>
      <c r="F13" s="172" t="s">
        <v>2005</v>
      </c>
      <c r="G13" s="172" t="s">
        <v>2005</v>
      </c>
      <c r="H13" s="172">
        <v>0</v>
      </c>
      <c r="I13" s="171" t="s">
        <v>2006</v>
      </c>
      <c r="J13" s="171" t="s">
        <v>2269</v>
      </c>
      <c r="K13" s="171" t="s">
        <v>1867</v>
      </c>
      <c r="L13" s="171" t="s">
        <v>1655</v>
      </c>
      <c r="N13" s="165">
        <v>1</v>
      </c>
      <c r="O13" s="165">
        <v>1</v>
      </c>
      <c r="P13" s="165">
        <v>0</v>
      </c>
    </row>
    <row r="14" spans="1:17" ht="40" x14ac:dyDescent="0.2">
      <c r="A14" s="170">
        <f>MAX(A$4:A13)+1</f>
        <v>10</v>
      </c>
      <c r="B14" s="170">
        <f t="shared" si="0"/>
        <v>10</v>
      </c>
      <c r="C14" s="171" t="s">
        <v>2008</v>
      </c>
      <c r="D14" s="171" t="s">
        <v>184</v>
      </c>
      <c r="E14" s="171" t="s">
        <v>1998</v>
      </c>
      <c r="F14" s="172">
        <v>2</v>
      </c>
      <c r="G14" s="172">
        <v>290944</v>
      </c>
      <c r="H14" s="172">
        <v>4</v>
      </c>
      <c r="I14" s="171" t="s">
        <v>545</v>
      </c>
      <c r="J14" s="171" t="s">
        <v>378</v>
      </c>
      <c r="K14" s="171" t="s">
        <v>1861</v>
      </c>
      <c r="L14" s="171" t="s">
        <v>1655</v>
      </c>
      <c r="N14" s="165">
        <v>1</v>
      </c>
      <c r="O14" s="165">
        <v>1</v>
      </c>
      <c r="P14" s="165">
        <v>1</v>
      </c>
    </row>
    <row r="15" spans="1:17" ht="60" x14ac:dyDescent="0.2">
      <c r="A15" s="170">
        <f>MAX(A$4:A14)+1</f>
        <v>11</v>
      </c>
      <c r="B15" s="170">
        <f t="shared" si="0"/>
        <v>11</v>
      </c>
      <c r="C15" s="171" t="s">
        <v>2009</v>
      </c>
      <c r="D15" s="171" t="s">
        <v>184</v>
      </c>
      <c r="E15" s="171" t="s">
        <v>1998</v>
      </c>
      <c r="F15" s="172">
        <v>3</v>
      </c>
      <c r="G15" s="172">
        <v>412392</v>
      </c>
      <c r="H15" s="172">
        <v>2</v>
      </c>
      <c r="I15" s="171" t="s">
        <v>1650</v>
      </c>
      <c r="J15" s="171" t="s">
        <v>351</v>
      </c>
      <c r="K15" s="171"/>
      <c r="L15" s="171"/>
      <c r="N15" s="165">
        <v>1</v>
      </c>
      <c r="O15" s="165">
        <v>1</v>
      </c>
      <c r="P15" s="165">
        <v>1</v>
      </c>
    </row>
    <row r="16" spans="1:17" ht="40" x14ac:dyDescent="0.2">
      <c r="A16" s="170">
        <f>MAX(A$4:A15)+1</f>
        <v>12</v>
      </c>
      <c r="B16" s="170">
        <f t="shared" si="0"/>
        <v>12</v>
      </c>
      <c r="C16" s="171" t="s">
        <v>2010</v>
      </c>
      <c r="D16" s="171" t="s">
        <v>184</v>
      </c>
      <c r="E16" s="171" t="s">
        <v>1998</v>
      </c>
      <c r="F16" s="172" t="s">
        <v>2005</v>
      </c>
      <c r="G16" s="172" t="s">
        <v>2005</v>
      </c>
      <c r="H16" s="172">
        <v>0</v>
      </c>
      <c r="I16" s="171" t="s">
        <v>2006</v>
      </c>
      <c r="J16" s="171" t="s">
        <v>404</v>
      </c>
      <c r="K16" s="171" t="s">
        <v>1867</v>
      </c>
      <c r="L16" s="171" t="s">
        <v>2001</v>
      </c>
      <c r="N16" s="165">
        <v>1</v>
      </c>
      <c r="O16" s="165">
        <v>1</v>
      </c>
      <c r="P16" s="165">
        <v>0</v>
      </c>
    </row>
    <row r="17" spans="1:17" ht="40" x14ac:dyDescent="0.2">
      <c r="A17" s="170">
        <f>MAX(A$4:A16)+1</f>
        <v>13</v>
      </c>
      <c r="B17" s="170">
        <f t="shared" si="0"/>
        <v>13</v>
      </c>
      <c r="C17" s="171" t="s">
        <v>1805</v>
      </c>
      <c r="D17" s="171" t="s">
        <v>184</v>
      </c>
      <c r="E17" s="171" t="s">
        <v>1998</v>
      </c>
      <c r="F17" s="172">
        <v>1</v>
      </c>
      <c r="G17" s="172">
        <v>313642</v>
      </c>
      <c r="H17" s="172">
        <v>3</v>
      </c>
      <c r="I17" s="171" t="s">
        <v>2000</v>
      </c>
      <c r="J17" s="171" t="s">
        <v>410</v>
      </c>
      <c r="K17" s="171" t="s">
        <v>2003</v>
      </c>
      <c r="L17" s="171" t="s">
        <v>1655</v>
      </c>
      <c r="N17" s="165">
        <v>1</v>
      </c>
      <c r="O17" s="165">
        <v>1</v>
      </c>
      <c r="P17" s="165">
        <v>1</v>
      </c>
    </row>
    <row r="18" spans="1:17" ht="60" x14ac:dyDescent="0.2">
      <c r="A18" s="170">
        <f>MAX(A$4:A17)+1</f>
        <v>14</v>
      </c>
      <c r="B18" s="170">
        <f t="shared" si="0"/>
        <v>14</v>
      </c>
      <c r="C18" s="171" t="s">
        <v>2104</v>
      </c>
      <c r="D18" s="171" t="s">
        <v>184</v>
      </c>
      <c r="E18" s="171" t="s">
        <v>1998</v>
      </c>
      <c r="F18" s="172">
        <v>1</v>
      </c>
      <c r="G18" s="172">
        <v>13019</v>
      </c>
      <c r="H18" s="172">
        <v>2</v>
      </c>
      <c r="I18" s="171" t="s">
        <v>1650</v>
      </c>
      <c r="J18" s="171" t="s">
        <v>404</v>
      </c>
      <c r="K18" s="171"/>
      <c r="L18" s="171"/>
      <c r="N18" s="165">
        <v>1</v>
      </c>
      <c r="O18" s="165">
        <v>0</v>
      </c>
      <c r="P18" s="165">
        <v>1</v>
      </c>
    </row>
    <row r="19" spans="1:17" ht="21" x14ac:dyDescent="0.2">
      <c r="A19" s="232" t="s">
        <v>2022</v>
      </c>
      <c r="B19" s="233"/>
      <c r="C19" s="233"/>
      <c r="D19" s="233"/>
      <c r="E19" s="233"/>
      <c r="F19" s="233"/>
      <c r="G19" s="233"/>
      <c r="H19" s="233"/>
      <c r="I19" s="233"/>
      <c r="J19" s="233"/>
      <c r="K19" s="233"/>
      <c r="L19" s="234"/>
      <c r="M19" s="173"/>
      <c r="O19" s="173"/>
      <c r="P19" s="173"/>
      <c r="Q19" s="173"/>
    </row>
    <row r="20" spans="1:17" s="173" customFormat="1" ht="40" x14ac:dyDescent="0.2">
      <c r="A20" s="170">
        <f>MAX(A$4:A19)+1</f>
        <v>15</v>
      </c>
      <c r="B20" s="170">
        <f t="shared" si="0"/>
        <v>1</v>
      </c>
      <c r="C20" s="171" t="s">
        <v>2021</v>
      </c>
      <c r="D20" s="171" t="s">
        <v>184</v>
      </c>
      <c r="E20" s="171" t="s">
        <v>2022</v>
      </c>
      <c r="F20" s="172" t="s">
        <v>2005</v>
      </c>
      <c r="G20" s="172" t="s">
        <v>2005</v>
      </c>
      <c r="H20" s="172">
        <v>4</v>
      </c>
      <c r="I20" s="171" t="s">
        <v>545</v>
      </c>
      <c r="J20" s="171" t="s">
        <v>404</v>
      </c>
      <c r="K20" s="171" t="s">
        <v>1999</v>
      </c>
      <c r="L20" s="171"/>
      <c r="M20" s="165"/>
      <c r="N20" s="165">
        <v>1</v>
      </c>
      <c r="O20" s="165">
        <v>1</v>
      </c>
      <c r="P20" s="165">
        <v>1</v>
      </c>
      <c r="Q20" s="165"/>
    </row>
    <row r="21" spans="1:17" ht="40" x14ac:dyDescent="0.2">
      <c r="A21" s="170">
        <f>MAX(A$4:A20)+1</f>
        <v>16</v>
      </c>
      <c r="B21" s="170">
        <f t="shared" si="0"/>
        <v>2</v>
      </c>
      <c r="C21" s="171" t="s">
        <v>2023</v>
      </c>
      <c r="D21" s="171" t="s">
        <v>184</v>
      </c>
      <c r="E21" s="171" t="s">
        <v>2022</v>
      </c>
      <c r="F21" s="172">
        <v>1</v>
      </c>
      <c r="G21" s="172">
        <v>15</v>
      </c>
      <c r="H21" s="172">
        <v>2</v>
      </c>
      <c r="I21" s="171" t="s">
        <v>1650</v>
      </c>
      <c r="J21" s="171" t="s">
        <v>378</v>
      </c>
      <c r="K21" s="171" t="s">
        <v>1999</v>
      </c>
      <c r="L21" s="171"/>
      <c r="N21" s="165">
        <v>1</v>
      </c>
      <c r="O21" s="165">
        <v>1</v>
      </c>
      <c r="P21" s="165">
        <v>1</v>
      </c>
    </row>
    <row r="22" spans="1:17" ht="40" x14ac:dyDescent="0.2">
      <c r="A22" s="170">
        <f>MAX(A$4:A21)+1</f>
        <v>17</v>
      </c>
      <c r="B22" s="170">
        <f t="shared" si="0"/>
        <v>3</v>
      </c>
      <c r="C22" s="171" t="s">
        <v>2024</v>
      </c>
      <c r="D22" s="171" t="s">
        <v>184</v>
      </c>
      <c r="E22" s="171" t="s">
        <v>2022</v>
      </c>
      <c r="F22" s="172">
        <v>21</v>
      </c>
      <c r="G22" s="172">
        <v>1027</v>
      </c>
      <c r="H22" s="172">
        <v>4</v>
      </c>
      <c r="I22" s="171" t="s">
        <v>545</v>
      </c>
      <c r="J22" s="171" t="s">
        <v>418</v>
      </c>
      <c r="K22" s="171" t="s">
        <v>1999</v>
      </c>
      <c r="L22" s="171"/>
      <c r="N22" s="165">
        <v>1</v>
      </c>
      <c r="O22" s="165">
        <v>1</v>
      </c>
      <c r="P22" s="165">
        <v>1</v>
      </c>
    </row>
    <row r="23" spans="1:17" ht="40" x14ac:dyDescent="0.2">
      <c r="A23" s="170">
        <f>MAX(A$4:A22)+1</f>
        <v>18</v>
      </c>
      <c r="B23" s="170">
        <f t="shared" si="0"/>
        <v>4</v>
      </c>
      <c r="C23" s="171" t="s">
        <v>2025</v>
      </c>
      <c r="D23" s="171" t="s">
        <v>184</v>
      </c>
      <c r="E23" s="171" t="s">
        <v>2022</v>
      </c>
      <c r="F23" s="172">
        <v>1</v>
      </c>
      <c r="G23" s="172">
        <v>1</v>
      </c>
      <c r="H23" s="172">
        <v>4</v>
      </c>
      <c r="I23" s="171" t="s">
        <v>545</v>
      </c>
      <c r="J23" s="171" t="s">
        <v>418</v>
      </c>
      <c r="K23" s="171" t="s">
        <v>1999</v>
      </c>
      <c r="L23" s="171"/>
      <c r="N23" s="165">
        <v>1</v>
      </c>
      <c r="O23" s="165">
        <v>0</v>
      </c>
      <c r="P23" s="165">
        <v>1</v>
      </c>
    </row>
    <row r="24" spans="1:17" ht="60" x14ac:dyDescent="0.2">
      <c r="A24" s="170">
        <f>MAX(A$4:A23)+1</f>
        <v>19</v>
      </c>
      <c r="B24" s="170">
        <f t="shared" si="0"/>
        <v>5</v>
      </c>
      <c r="C24" s="171" t="s">
        <v>2026</v>
      </c>
      <c r="D24" s="171" t="s">
        <v>184</v>
      </c>
      <c r="E24" s="171" t="s">
        <v>2022</v>
      </c>
      <c r="F24" s="172">
        <v>1</v>
      </c>
      <c r="G24" s="172">
        <v>7</v>
      </c>
      <c r="H24" s="172">
        <v>4</v>
      </c>
      <c r="I24" s="171" t="s">
        <v>545</v>
      </c>
      <c r="J24" s="171" t="s">
        <v>418</v>
      </c>
      <c r="K24" s="171" t="s">
        <v>1999</v>
      </c>
      <c r="L24" s="171"/>
      <c r="N24" s="165">
        <v>1</v>
      </c>
      <c r="O24" s="165">
        <v>1</v>
      </c>
      <c r="P24" s="165">
        <v>1</v>
      </c>
    </row>
    <row r="25" spans="1:17" ht="40" x14ac:dyDescent="0.2">
      <c r="A25" s="170">
        <f>MAX(A$4:A24)+1</f>
        <v>20</v>
      </c>
      <c r="B25" s="170">
        <f t="shared" si="0"/>
        <v>6</v>
      </c>
      <c r="C25" s="171" t="s">
        <v>2027</v>
      </c>
      <c r="D25" s="171" t="s">
        <v>184</v>
      </c>
      <c r="E25" s="171" t="s">
        <v>2022</v>
      </c>
      <c r="F25" s="172">
        <v>52</v>
      </c>
      <c r="G25" s="172">
        <v>28815</v>
      </c>
      <c r="H25" s="172">
        <v>3</v>
      </c>
      <c r="I25" s="171" t="s">
        <v>2000</v>
      </c>
      <c r="J25" s="171" t="s">
        <v>418</v>
      </c>
      <c r="K25" s="171" t="s">
        <v>1653</v>
      </c>
      <c r="L25" s="171" t="s">
        <v>1656</v>
      </c>
      <c r="N25" s="165">
        <v>1</v>
      </c>
      <c r="O25" s="165">
        <v>1</v>
      </c>
      <c r="P25" s="165">
        <v>1</v>
      </c>
    </row>
    <row r="26" spans="1:17" ht="40" x14ac:dyDescent="0.2">
      <c r="A26" s="170">
        <f>MAX(A$4:A25)+1</f>
        <v>21</v>
      </c>
      <c r="B26" s="170">
        <f t="shared" si="0"/>
        <v>7</v>
      </c>
      <c r="C26" s="171" t="s">
        <v>2028</v>
      </c>
      <c r="D26" s="171" t="s">
        <v>184</v>
      </c>
      <c r="E26" s="171" t="s">
        <v>2022</v>
      </c>
      <c r="F26" s="172">
        <v>1</v>
      </c>
      <c r="G26" s="172">
        <v>208</v>
      </c>
      <c r="H26" s="172">
        <v>4</v>
      </c>
      <c r="I26" s="171" t="s">
        <v>545</v>
      </c>
      <c r="J26" s="171" t="s">
        <v>378</v>
      </c>
      <c r="K26" s="171" t="s">
        <v>1999</v>
      </c>
      <c r="L26" s="171"/>
      <c r="N26" s="165">
        <v>1</v>
      </c>
      <c r="O26" s="165">
        <v>1</v>
      </c>
      <c r="P26" s="165">
        <v>1</v>
      </c>
    </row>
    <row r="27" spans="1:17" ht="40" x14ac:dyDescent="0.2">
      <c r="A27" s="170">
        <f>MAX(A$4:A26)+1</f>
        <v>22</v>
      </c>
      <c r="B27" s="170">
        <f t="shared" si="0"/>
        <v>8</v>
      </c>
      <c r="C27" s="171" t="s">
        <v>2029</v>
      </c>
      <c r="D27" s="171" t="s">
        <v>184</v>
      </c>
      <c r="E27" s="171" t="s">
        <v>2022</v>
      </c>
      <c r="F27" s="172">
        <v>33</v>
      </c>
      <c r="G27" s="172">
        <v>50731</v>
      </c>
      <c r="H27" s="172">
        <v>4</v>
      </c>
      <c r="I27" s="171" t="s">
        <v>545</v>
      </c>
      <c r="J27" s="171" t="s">
        <v>418</v>
      </c>
      <c r="K27" s="171" t="s">
        <v>1999</v>
      </c>
      <c r="L27" s="171"/>
      <c r="N27" s="165">
        <v>1</v>
      </c>
      <c r="O27" s="165">
        <v>0</v>
      </c>
      <c r="P27" s="165">
        <v>1</v>
      </c>
    </row>
    <row r="28" spans="1:17" ht="40" x14ac:dyDescent="0.2">
      <c r="A28" s="170">
        <f>MAX(A$4:A27)+1</f>
        <v>23</v>
      </c>
      <c r="B28" s="170">
        <f t="shared" si="0"/>
        <v>9</v>
      </c>
      <c r="C28" s="171" t="s">
        <v>2030</v>
      </c>
      <c r="D28" s="171" t="s">
        <v>184</v>
      </c>
      <c r="E28" s="171" t="s">
        <v>2022</v>
      </c>
      <c r="F28" s="172">
        <v>1</v>
      </c>
      <c r="G28" s="172">
        <v>43</v>
      </c>
      <c r="H28" s="172">
        <v>4</v>
      </c>
      <c r="I28" s="171" t="s">
        <v>545</v>
      </c>
      <c r="J28" s="171" t="s">
        <v>378</v>
      </c>
      <c r="K28" s="171" t="s">
        <v>1999</v>
      </c>
      <c r="L28" s="171"/>
      <c r="N28" s="165">
        <v>1</v>
      </c>
      <c r="O28" s="165">
        <v>0</v>
      </c>
      <c r="P28" s="165">
        <v>1</v>
      </c>
    </row>
    <row r="29" spans="1:17" ht="40" x14ac:dyDescent="0.2">
      <c r="A29" s="170">
        <f>MAX(A$4:A28)+1</f>
        <v>24</v>
      </c>
      <c r="B29" s="170">
        <f t="shared" si="0"/>
        <v>10</v>
      </c>
      <c r="C29" s="171" t="s">
        <v>2031</v>
      </c>
      <c r="D29" s="171" t="s">
        <v>184</v>
      </c>
      <c r="E29" s="171" t="s">
        <v>2022</v>
      </c>
      <c r="F29" s="172">
        <v>28</v>
      </c>
      <c r="G29" s="172">
        <v>1963</v>
      </c>
      <c r="H29" s="172">
        <v>4</v>
      </c>
      <c r="I29" s="171" t="s">
        <v>545</v>
      </c>
      <c r="J29" s="171" t="s">
        <v>418</v>
      </c>
      <c r="K29" s="171" t="s">
        <v>1999</v>
      </c>
      <c r="L29" s="171"/>
      <c r="N29" s="165">
        <v>1</v>
      </c>
      <c r="O29" s="165">
        <v>0</v>
      </c>
      <c r="P29" s="165">
        <v>1</v>
      </c>
    </row>
    <row r="30" spans="1:17" ht="40" x14ac:dyDescent="0.2">
      <c r="A30" s="170">
        <f>MAX(A$4:A29)+1</f>
        <v>25</v>
      </c>
      <c r="B30" s="170">
        <f t="shared" si="0"/>
        <v>11</v>
      </c>
      <c r="C30" s="171" t="s">
        <v>2032</v>
      </c>
      <c r="D30" s="171" t="s">
        <v>184</v>
      </c>
      <c r="E30" s="171" t="s">
        <v>2022</v>
      </c>
      <c r="F30" s="172">
        <v>10</v>
      </c>
      <c r="G30" s="172">
        <v>99</v>
      </c>
      <c r="H30" s="172">
        <v>2</v>
      </c>
      <c r="I30" s="171" t="s">
        <v>1650</v>
      </c>
      <c r="J30" s="171" t="s">
        <v>489</v>
      </c>
      <c r="K30" s="171"/>
      <c r="L30" s="171"/>
      <c r="N30" s="165">
        <v>1</v>
      </c>
      <c r="O30" s="165">
        <v>1</v>
      </c>
      <c r="P30" s="165">
        <v>1</v>
      </c>
    </row>
    <row r="31" spans="1:17" ht="38.25" customHeight="1" x14ac:dyDescent="0.2">
      <c r="A31" s="170">
        <f>MAX(A$4:A30)+1</f>
        <v>26</v>
      </c>
      <c r="B31" s="170">
        <f t="shared" si="0"/>
        <v>12</v>
      </c>
      <c r="C31" s="171" t="s">
        <v>2033</v>
      </c>
      <c r="D31" s="171" t="s">
        <v>184</v>
      </c>
      <c r="E31" s="171" t="s">
        <v>2022</v>
      </c>
      <c r="F31" s="172">
        <v>1</v>
      </c>
      <c r="G31" s="172">
        <v>1</v>
      </c>
      <c r="H31" s="172">
        <v>4</v>
      </c>
      <c r="I31" s="171" t="s">
        <v>545</v>
      </c>
      <c r="J31" s="171" t="s">
        <v>351</v>
      </c>
      <c r="K31" s="171" t="s">
        <v>1999</v>
      </c>
      <c r="L31" s="171"/>
      <c r="N31" s="165">
        <v>1</v>
      </c>
      <c r="O31" s="165">
        <v>1</v>
      </c>
      <c r="P31" s="165">
        <v>1</v>
      </c>
    </row>
    <row r="32" spans="1:17" ht="38.25" customHeight="1" x14ac:dyDescent="0.2">
      <c r="A32" s="170">
        <f>MAX(A$4:A31)+1</f>
        <v>27</v>
      </c>
      <c r="B32" s="170">
        <f t="shared" si="0"/>
        <v>13</v>
      </c>
      <c r="C32" s="171" t="s">
        <v>1819</v>
      </c>
      <c r="D32" s="171" t="s">
        <v>184</v>
      </c>
      <c r="E32" s="171" t="s">
        <v>2022</v>
      </c>
      <c r="F32" s="172">
        <v>48</v>
      </c>
      <c r="G32" s="172">
        <v>5609</v>
      </c>
      <c r="H32" s="172">
        <v>4</v>
      </c>
      <c r="I32" s="171" t="s">
        <v>545</v>
      </c>
      <c r="J32" s="171" t="s">
        <v>351</v>
      </c>
      <c r="K32" s="171" t="s">
        <v>1999</v>
      </c>
      <c r="L32" s="171"/>
      <c r="N32" s="165">
        <v>1</v>
      </c>
      <c r="O32" s="165">
        <v>0</v>
      </c>
      <c r="P32" s="165">
        <v>1</v>
      </c>
    </row>
    <row r="33" spans="1:17" ht="38.25" customHeight="1" x14ac:dyDescent="0.2">
      <c r="A33" s="170">
        <f>MAX(A$4:A32)+1</f>
        <v>28</v>
      </c>
      <c r="B33" s="170">
        <f t="shared" si="0"/>
        <v>14</v>
      </c>
      <c r="C33" s="171" t="s">
        <v>2034</v>
      </c>
      <c r="D33" s="171" t="s">
        <v>184</v>
      </c>
      <c r="E33" s="171" t="s">
        <v>2022</v>
      </c>
      <c r="F33" s="172">
        <v>40</v>
      </c>
      <c r="G33" s="172">
        <v>79</v>
      </c>
      <c r="H33" s="172">
        <v>4</v>
      </c>
      <c r="I33" s="171" t="s">
        <v>545</v>
      </c>
      <c r="J33" s="171" t="s">
        <v>418</v>
      </c>
      <c r="K33" s="171" t="s">
        <v>1999</v>
      </c>
      <c r="L33" s="171"/>
      <c r="N33" s="165">
        <v>1</v>
      </c>
      <c r="O33" s="165">
        <v>0</v>
      </c>
      <c r="P33" s="165">
        <v>1</v>
      </c>
    </row>
    <row r="34" spans="1:17" ht="60" x14ac:dyDescent="0.2">
      <c r="A34" s="170">
        <f>MAX(A$4:A33)+1</f>
        <v>29</v>
      </c>
      <c r="B34" s="170">
        <f t="shared" si="0"/>
        <v>15</v>
      </c>
      <c r="C34" s="171" t="s">
        <v>2035</v>
      </c>
      <c r="D34" s="171" t="s">
        <v>184</v>
      </c>
      <c r="E34" s="171" t="s">
        <v>2022</v>
      </c>
      <c r="F34" s="172">
        <v>7</v>
      </c>
      <c r="G34" s="172">
        <v>28</v>
      </c>
      <c r="H34" s="172">
        <v>4</v>
      </c>
      <c r="I34" s="171" t="s">
        <v>545</v>
      </c>
      <c r="J34" s="171" t="s">
        <v>418</v>
      </c>
      <c r="K34" s="171" t="s">
        <v>1999</v>
      </c>
      <c r="L34" s="171"/>
      <c r="N34" s="165">
        <v>1</v>
      </c>
      <c r="O34" s="165">
        <v>0</v>
      </c>
      <c r="P34" s="165">
        <v>1</v>
      </c>
    </row>
    <row r="35" spans="1:17" ht="60" x14ac:dyDescent="0.2">
      <c r="A35" s="170">
        <f>MAX(A$4:A34)+1</f>
        <v>30</v>
      </c>
      <c r="B35" s="170">
        <f t="shared" si="0"/>
        <v>16</v>
      </c>
      <c r="C35" s="171" t="s">
        <v>2036</v>
      </c>
      <c r="D35" s="171" t="s">
        <v>184</v>
      </c>
      <c r="E35" s="171" t="s">
        <v>2022</v>
      </c>
      <c r="F35" s="172" t="s">
        <v>2005</v>
      </c>
      <c r="G35" s="172" t="s">
        <v>2005</v>
      </c>
      <c r="H35" s="172">
        <v>0</v>
      </c>
      <c r="I35" s="171" t="s">
        <v>2006</v>
      </c>
      <c r="J35" s="171" t="s">
        <v>489</v>
      </c>
      <c r="K35" s="171" t="s">
        <v>1867</v>
      </c>
      <c r="L35" s="171" t="s">
        <v>2001</v>
      </c>
      <c r="N35" s="165">
        <v>1</v>
      </c>
      <c r="O35" s="165">
        <v>1</v>
      </c>
      <c r="P35" s="165">
        <v>0</v>
      </c>
    </row>
    <row r="36" spans="1:17" ht="52.5" customHeight="1" x14ac:dyDescent="0.2">
      <c r="A36" s="170">
        <f>MAX(A$4:A35)+1</f>
        <v>31</v>
      </c>
      <c r="B36" s="170">
        <f t="shared" si="0"/>
        <v>17</v>
      </c>
      <c r="C36" s="171" t="s">
        <v>2037</v>
      </c>
      <c r="D36" s="171" t="s">
        <v>184</v>
      </c>
      <c r="E36" s="171" t="s">
        <v>2022</v>
      </c>
      <c r="F36" s="172">
        <v>2</v>
      </c>
      <c r="G36" s="172">
        <v>2</v>
      </c>
      <c r="H36" s="172">
        <v>4</v>
      </c>
      <c r="I36" s="171" t="s">
        <v>545</v>
      </c>
      <c r="J36" s="171" t="s">
        <v>418</v>
      </c>
      <c r="K36" s="171" t="s">
        <v>1999</v>
      </c>
      <c r="L36" s="171"/>
      <c r="N36" s="165">
        <v>1</v>
      </c>
      <c r="O36" s="165">
        <v>0</v>
      </c>
      <c r="P36" s="165">
        <v>1</v>
      </c>
    </row>
    <row r="37" spans="1:17" ht="60" x14ac:dyDescent="0.2">
      <c r="A37" s="170">
        <f>MAX(A$4:A36)+1</f>
        <v>32</v>
      </c>
      <c r="B37" s="170">
        <f t="shared" si="0"/>
        <v>18</v>
      </c>
      <c r="C37" s="171" t="s">
        <v>2038</v>
      </c>
      <c r="D37" s="171" t="s">
        <v>184</v>
      </c>
      <c r="E37" s="171" t="s">
        <v>2022</v>
      </c>
      <c r="F37" s="172">
        <v>25</v>
      </c>
      <c r="G37" s="172">
        <v>489</v>
      </c>
      <c r="H37" s="172">
        <v>4</v>
      </c>
      <c r="I37" s="171" t="s">
        <v>545</v>
      </c>
      <c r="J37" s="171" t="s">
        <v>418</v>
      </c>
      <c r="K37" s="171" t="s">
        <v>1999</v>
      </c>
      <c r="L37" s="171"/>
      <c r="N37" s="165">
        <v>1</v>
      </c>
      <c r="O37" s="165">
        <v>0</v>
      </c>
      <c r="P37" s="165">
        <v>1</v>
      </c>
    </row>
    <row r="38" spans="1:17" ht="40" x14ac:dyDescent="0.2">
      <c r="A38" s="170">
        <f>MAX(A$4:A37)+1</f>
        <v>33</v>
      </c>
      <c r="B38" s="170">
        <f t="shared" si="0"/>
        <v>19</v>
      </c>
      <c r="C38" s="171" t="s">
        <v>2039</v>
      </c>
      <c r="D38" s="171" t="s">
        <v>184</v>
      </c>
      <c r="E38" s="171" t="s">
        <v>2022</v>
      </c>
      <c r="F38" s="172">
        <v>7</v>
      </c>
      <c r="G38" s="172">
        <v>87</v>
      </c>
      <c r="H38" s="172">
        <v>2</v>
      </c>
      <c r="I38" s="171" t="s">
        <v>1650</v>
      </c>
      <c r="J38" s="171" t="s">
        <v>418</v>
      </c>
      <c r="K38" s="171"/>
      <c r="L38" s="171"/>
      <c r="N38" s="165">
        <v>1</v>
      </c>
      <c r="O38" s="165">
        <v>1</v>
      </c>
      <c r="P38" s="165">
        <v>1</v>
      </c>
    </row>
    <row r="39" spans="1:17" ht="40" x14ac:dyDescent="0.2">
      <c r="A39" s="170">
        <f>MAX(A$4:A38)+1</f>
        <v>34</v>
      </c>
      <c r="B39" s="170">
        <f t="shared" si="0"/>
        <v>20</v>
      </c>
      <c r="C39" s="171" t="s">
        <v>2075</v>
      </c>
      <c r="D39" s="171" t="s">
        <v>184</v>
      </c>
      <c r="E39" s="171" t="s">
        <v>2022</v>
      </c>
      <c r="F39" s="172"/>
      <c r="G39" s="172"/>
      <c r="H39" s="172">
        <v>2</v>
      </c>
      <c r="I39" s="171" t="s">
        <v>1650</v>
      </c>
      <c r="J39" s="171" t="s">
        <v>378</v>
      </c>
      <c r="K39" s="171"/>
      <c r="L39" s="171"/>
      <c r="M39" s="174" t="s">
        <v>2076</v>
      </c>
      <c r="N39" s="165">
        <v>1</v>
      </c>
      <c r="O39" s="165">
        <v>0</v>
      </c>
      <c r="P39" s="165">
        <v>0</v>
      </c>
    </row>
    <row r="40" spans="1:17" ht="60" x14ac:dyDescent="0.2">
      <c r="A40" s="170">
        <f>MAX(A$4:A39)+1</f>
        <v>35</v>
      </c>
      <c r="B40" s="170">
        <f t="shared" si="0"/>
        <v>21</v>
      </c>
      <c r="C40" s="171" t="s">
        <v>2077</v>
      </c>
      <c r="D40" s="171" t="s">
        <v>184</v>
      </c>
      <c r="E40" s="171" t="s">
        <v>2022</v>
      </c>
      <c r="F40" s="172"/>
      <c r="G40" s="172"/>
      <c r="H40" s="172">
        <v>0</v>
      </c>
      <c r="I40" s="171" t="s">
        <v>2006</v>
      </c>
      <c r="J40" s="171" t="s">
        <v>378</v>
      </c>
      <c r="K40" s="171" t="s">
        <v>2081</v>
      </c>
      <c r="L40" s="171" t="s">
        <v>2001</v>
      </c>
      <c r="M40" s="165" t="s">
        <v>2078</v>
      </c>
      <c r="N40" s="165">
        <v>1</v>
      </c>
      <c r="O40" s="165">
        <v>0</v>
      </c>
      <c r="P40" s="165">
        <v>0</v>
      </c>
    </row>
    <row r="41" spans="1:17" ht="40" x14ac:dyDescent="0.2">
      <c r="A41" s="170">
        <f>MAX(A$4:A40)+1</f>
        <v>36</v>
      </c>
      <c r="B41" s="170">
        <f t="shared" si="0"/>
        <v>22</v>
      </c>
      <c r="C41" s="171" t="s">
        <v>2079</v>
      </c>
      <c r="D41" s="171" t="s">
        <v>184</v>
      </c>
      <c r="E41" s="171" t="s">
        <v>2022</v>
      </c>
      <c r="F41" s="172"/>
      <c r="G41" s="172"/>
      <c r="H41" s="172">
        <v>1</v>
      </c>
      <c r="I41" s="171" t="s">
        <v>2072</v>
      </c>
      <c r="J41" s="171" t="s">
        <v>378</v>
      </c>
      <c r="K41" s="171" t="s">
        <v>2003</v>
      </c>
      <c r="L41" s="171" t="s">
        <v>1655</v>
      </c>
      <c r="M41" s="165" t="s">
        <v>2080</v>
      </c>
      <c r="N41" s="165">
        <v>1</v>
      </c>
      <c r="O41" s="165">
        <v>1</v>
      </c>
      <c r="P41" s="165">
        <v>0</v>
      </c>
      <c r="Q41" s="165" t="s">
        <v>2118</v>
      </c>
    </row>
    <row r="42" spans="1:17" ht="57" customHeight="1" x14ac:dyDescent="0.2">
      <c r="A42" s="170">
        <f>MAX(A$4:A41)+1</f>
        <v>37</v>
      </c>
      <c r="B42" s="170">
        <f t="shared" si="0"/>
        <v>23</v>
      </c>
      <c r="C42" s="171" t="s">
        <v>2059</v>
      </c>
      <c r="D42" s="171" t="s">
        <v>184</v>
      </c>
      <c r="E42" s="171" t="s">
        <v>2022</v>
      </c>
      <c r="F42" s="172">
        <v>2</v>
      </c>
      <c r="G42" s="172">
        <v>10770</v>
      </c>
      <c r="H42" s="172">
        <v>3</v>
      </c>
      <c r="I42" s="171" t="s">
        <v>2015</v>
      </c>
      <c r="J42" s="171" t="s">
        <v>378</v>
      </c>
      <c r="K42" s="171" t="s">
        <v>2003</v>
      </c>
      <c r="L42" s="171" t="s">
        <v>1656</v>
      </c>
      <c r="M42" s="174" t="s">
        <v>2082</v>
      </c>
      <c r="N42" s="165">
        <v>1</v>
      </c>
      <c r="O42" s="165">
        <v>1</v>
      </c>
      <c r="P42" s="165">
        <v>0</v>
      </c>
      <c r="Q42" s="165" t="s">
        <v>2118</v>
      </c>
    </row>
    <row r="43" spans="1:17" ht="21" x14ac:dyDescent="0.2">
      <c r="A43" s="232" t="s">
        <v>2041</v>
      </c>
      <c r="B43" s="233"/>
      <c r="C43" s="233"/>
      <c r="D43" s="233"/>
      <c r="E43" s="233"/>
      <c r="F43" s="233"/>
      <c r="G43" s="233"/>
      <c r="H43" s="233"/>
      <c r="I43" s="233"/>
      <c r="J43" s="233"/>
      <c r="K43" s="233"/>
      <c r="L43" s="234"/>
      <c r="M43" s="173"/>
      <c r="O43" s="173"/>
      <c r="P43" s="173"/>
      <c r="Q43" s="173"/>
    </row>
    <row r="44" spans="1:17" s="173" customFormat="1" ht="40" x14ac:dyDescent="0.2">
      <c r="A44" s="170">
        <f>MAX(A$4:A43)+1</f>
        <v>38</v>
      </c>
      <c r="B44" s="170">
        <f t="shared" si="0"/>
        <v>1</v>
      </c>
      <c r="C44" s="171" t="s">
        <v>2040</v>
      </c>
      <c r="D44" s="171" t="s">
        <v>184</v>
      </c>
      <c r="E44" s="171" t="s">
        <v>2041</v>
      </c>
      <c r="F44" s="172" t="s">
        <v>2005</v>
      </c>
      <c r="G44" s="172" t="s">
        <v>2005</v>
      </c>
      <c r="H44" s="172">
        <v>0</v>
      </c>
      <c r="I44" s="171" t="s">
        <v>2006</v>
      </c>
      <c r="J44" s="171" t="s">
        <v>362</v>
      </c>
      <c r="K44" s="171" t="s">
        <v>1867</v>
      </c>
      <c r="L44" s="171" t="s">
        <v>2001</v>
      </c>
      <c r="M44" s="165"/>
      <c r="N44" s="165">
        <v>1</v>
      </c>
      <c r="O44" s="165">
        <v>0</v>
      </c>
      <c r="P44" s="165">
        <v>0</v>
      </c>
      <c r="Q44" s="165"/>
    </row>
    <row r="45" spans="1:17" ht="40" x14ac:dyDescent="0.2">
      <c r="A45" s="170">
        <f>MAX(A$4:A44)+1</f>
        <v>39</v>
      </c>
      <c r="B45" s="170">
        <f t="shared" si="0"/>
        <v>2</v>
      </c>
      <c r="C45" s="171" t="s">
        <v>2042</v>
      </c>
      <c r="D45" s="171" t="s">
        <v>184</v>
      </c>
      <c r="E45" s="171" t="s">
        <v>2041</v>
      </c>
      <c r="F45" s="172" t="s">
        <v>2005</v>
      </c>
      <c r="G45" s="172" t="s">
        <v>2005</v>
      </c>
      <c r="H45" s="172">
        <v>0</v>
      </c>
      <c r="I45" s="171" t="s">
        <v>2006</v>
      </c>
      <c r="J45" s="171" t="s">
        <v>362</v>
      </c>
      <c r="K45" s="171" t="s">
        <v>1867</v>
      </c>
      <c r="L45" s="171" t="s">
        <v>2001</v>
      </c>
      <c r="N45" s="165">
        <v>1</v>
      </c>
      <c r="O45" s="165">
        <v>1</v>
      </c>
      <c r="P45" s="165">
        <v>0</v>
      </c>
    </row>
    <row r="46" spans="1:17" ht="60" x14ac:dyDescent="0.2">
      <c r="A46" s="170">
        <f>MAX(A$4:A45)+1</f>
        <v>40</v>
      </c>
      <c r="B46" s="170">
        <f t="shared" si="0"/>
        <v>3</v>
      </c>
      <c r="C46" s="171" t="s">
        <v>1832</v>
      </c>
      <c r="D46" s="171" t="s">
        <v>184</v>
      </c>
      <c r="E46" s="171" t="s">
        <v>2041</v>
      </c>
      <c r="F46" s="172">
        <v>1</v>
      </c>
      <c r="G46" s="172">
        <v>584</v>
      </c>
      <c r="H46" s="172">
        <v>3</v>
      </c>
      <c r="I46" s="171" t="s">
        <v>2000</v>
      </c>
      <c r="J46" s="171" t="s">
        <v>362</v>
      </c>
      <c r="K46" s="171" t="s">
        <v>1867</v>
      </c>
      <c r="L46" s="171" t="s">
        <v>1655</v>
      </c>
      <c r="N46" s="165">
        <v>1</v>
      </c>
      <c r="O46" s="165">
        <v>1</v>
      </c>
      <c r="P46" s="165">
        <v>1</v>
      </c>
    </row>
    <row r="47" spans="1:17" ht="27.75" customHeight="1" x14ac:dyDescent="0.2">
      <c r="A47" s="232" t="s">
        <v>2044</v>
      </c>
      <c r="B47" s="233"/>
      <c r="C47" s="233"/>
      <c r="D47" s="233"/>
      <c r="E47" s="233"/>
      <c r="F47" s="233"/>
      <c r="G47" s="233"/>
      <c r="H47" s="233"/>
      <c r="I47" s="233"/>
      <c r="J47" s="233"/>
      <c r="K47" s="233"/>
      <c r="L47" s="234"/>
      <c r="M47" s="173"/>
      <c r="O47" s="173"/>
      <c r="P47" s="173"/>
      <c r="Q47" s="173"/>
    </row>
    <row r="48" spans="1:17" s="173" customFormat="1" ht="40" x14ac:dyDescent="0.2">
      <c r="A48" s="170">
        <f>MAX(A$4:A47)+1</f>
        <v>41</v>
      </c>
      <c r="B48" s="170">
        <f t="shared" si="0"/>
        <v>1</v>
      </c>
      <c r="C48" s="171" t="s">
        <v>2043</v>
      </c>
      <c r="D48" s="171" t="s">
        <v>184</v>
      </c>
      <c r="E48" s="171" t="s">
        <v>2044</v>
      </c>
      <c r="F48" s="172">
        <v>1</v>
      </c>
      <c r="G48" s="172">
        <v>42</v>
      </c>
      <c r="H48" s="172">
        <v>3</v>
      </c>
      <c r="I48" s="171" t="s">
        <v>2000</v>
      </c>
      <c r="J48" s="171" t="s">
        <v>2269</v>
      </c>
      <c r="K48" s="171" t="s">
        <v>1660</v>
      </c>
      <c r="L48" s="171" t="s">
        <v>2001</v>
      </c>
      <c r="M48" s="165"/>
      <c r="N48" s="165">
        <v>1</v>
      </c>
      <c r="O48" s="165">
        <v>1</v>
      </c>
      <c r="P48" s="165">
        <v>1</v>
      </c>
      <c r="Q48" s="165"/>
    </row>
    <row r="49" spans="1:17" ht="21" x14ac:dyDescent="0.2">
      <c r="A49" s="232" t="s">
        <v>2045</v>
      </c>
      <c r="B49" s="233"/>
      <c r="C49" s="233"/>
      <c r="D49" s="233"/>
      <c r="E49" s="233"/>
      <c r="F49" s="233"/>
      <c r="G49" s="233"/>
      <c r="H49" s="233"/>
      <c r="I49" s="233"/>
      <c r="J49" s="233"/>
      <c r="K49" s="233"/>
      <c r="L49" s="234"/>
      <c r="M49" s="173"/>
      <c r="O49" s="173"/>
      <c r="P49" s="173"/>
      <c r="Q49" s="173"/>
    </row>
    <row r="50" spans="1:17" s="173" customFormat="1" ht="40" x14ac:dyDescent="0.2">
      <c r="A50" s="170">
        <f>MAX(A$4:A49)+1</f>
        <v>42</v>
      </c>
      <c r="B50" s="170">
        <f t="shared" si="0"/>
        <v>1</v>
      </c>
      <c r="C50" s="171" t="s">
        <v>1829</v>
      </c>
      <c r="D50" s="171" t="s">
        <v>184</v>
      </c>
      <c r="E50" s="171" t="s">
        <v>2045</v>
      </c>
      <c r="F50" s="172">
        <v>2</v>
      </c>
      <c r="G50" s="172">
        <v>19864</v>
      </c>
      <c r="H50" s="172">
        <v>4</v>
      </c>
      <c r="I50" s="171" t="s">
        <v>545</v>
      </c>
      <c r="J50" s="171" t="s">
        <v>489</v>
      </c>
      <c r="K50" s="171" t="s">
        <v>2046</v>
      </c>
      <c r="L50" s="171"/>
      <c r="M50" s="165"/>
      <c r="N50" s="165">
        <v>1</v>
      </c>
      <c r="O50" s="165">
        <v>1</v>
      </c>
      <c r="P50" s="165">
        <v>1</v>
      </c>
      <c r="Q50" s="165"/>
    </row>
    <row r="51" spans="1:17" ht="40" x14ac:dyDescent="0.2">
      <c r="A51" s="170">
        <f>MAX(A$4:A50)+1</f>
        <v>43</v>
      </c>
      <c r="B51" s="170">
        <f t="shared" si="0"/>
        <v>2</v>
      </c>
      <c r="C51" s="171" t="s">
        <v>2047</v>
      </c>
      <c r="D51" s="171" t="s">
        <v>184</v>
      </c>
      <c r="E51" s="171" t="s">
        <v>2045</v>
      </c>
      <c r="F51" s="172">
        <v>2</v>
      </c>
      <c r="G51" s="172">
        <v>2040</v>
      </c>
      <c r="H51" s="172">
        <v>3</v>
      </c>
      <c r="I51" s="171" t="s">
        <v>2000</v>
      </c>
      <c r="J51" s="171" t="s">
        <v>489</v>
      </c>
      <c r="K51" s="171" t="s">
        <v>1867</v>
      </c>
      <c r="L51" s="171" t="s">
        <v>1655</v>
      </c>
      <c r="N51" s="165">
        <v>1</v>
      </c>
      <c r="O51" s="165">
        <v>0</v>
      </c>
      <c r="P51" s="165">
        <v>1</v>
      </c>
    </row>
    <row r="52" spans="1:17" ht="40" x14ac:dyDescent="0.2">
      <c r="A52" s="170">
        <f>MAX(A$4:A51)+1</f>
        <v>44</v>
      </c>
      <c r="B52" s="170">
        <f t="shared" si="0"/>
        <v>3</v>
      </c>
      <c r="C52" s="171" t="s">
        <v>2048</v>
      </c>
      <c r="D52" s="171" t="s">
        <v>184</v>
      </c>
      <c r="E52" s="171" t="s">
        <v>2045</v>
      </c>
      <c r="F52" s="172" t="s">
        <v>2005</v>
      </c>
      <c r="G52" s="172" t="s">
        <v>2005</v>
      </c>
      <c r="H52" s="172">
        <v>0</v>
      </c>
      <c r="I52" s="171" t="s">
        <v>2006</v>
      </c>
      <c r="J52" s="171" t="s">
        <v>489</v>
      </c>
      <c r="K52" s="171" t="s">
        <v>1867</v>
      </c>
      <c r="L52" s="171" t="s">
        <v>1655</v>
      </c>
      <c r="N52" s="165">
        <v>1</v>
      </c>
      <c r="O52" s="165">
        <v>0</v>
      </c>
      <c r="P52" s="165">
        <v>0</v>
      </c>
    </row>
    <row r="53" spans="1:17" ht="60" x14ac:dyDescent="0.2">
      <c r="A53" s="170">
        <f>MAX(A$4:A52)+1</f>
        <v>45</v>
      </c>
      <c r="B53" s="170">
        <f t="shared" si="0"/>
        <v>4</v>
      </c>
      <c r="C53" s="171" t="s">
        <v>2049</v>
      </c>
      <c r="D53" s="171" t="s">
        <v>184</v>
      </c>
      <c r="E53" s="171" t="s">
        <v>2045</v>
      </c>
      <c r="F53" s="172">
        <v>2</v>
      </c>
      <c r="G53" s="172">
        <v>5135</v>
      </c>
      <c r="H53" s="172">
        <v>4</v>
      </c>
      <c r="I53" s="171" t="s">
        <v>545</v>
      </c>
      <c r="J53" s="171" t="s">
        <v>489</v>
      </c>
      <c r="K53" s="171" t="s">
        <v>2046</v>
      </c>
      <c r="L53" s="171"/>
      <c r="N53" s="165">
        <v>1</v>
      </c>
      <c r="O53" s="165">
        <v>0</v>
      </c>
      <c r="P53" s="165">
        <v>1</v>
      </c>
    </row>
    <row r="54" spans="1:17" ht="40" x14ac:dyDescent="0.2">
      <c r="A54" s="170">
        <f>MAX(A$4:A53)+1</f>
        <v>46</v>
      </c>
      <c r="B54" s="170">
        <f t="shared" si="0"/>
        <v>5</v>
      </c>
      <c r="C54" s="171" t="s">
        <v>2050</v>
      </c>
      <c r="D54" s="171" t="s">
        <v>184</v>
      </c>
      <c r="E54" s="171" t="s">
        <v>2045</v>
      </c>
      <c r="F54" s="172">
        <v>2</v>
      </c>
      <c r="G54" s="172">
        <v>502</v>
      </c>
      <c r="H54" s="172">
        <v>3</v>
      </c>
      <c r="I54" s="171" t="s">
        <v>2000</v>
      </c>
      <c r="J54" s="171" t="s">
        <v>489</v>
      </c>
      <c r="K54" s="171" t="s">
        <v>1867</v>
      </c>
      <c r="L54" s="171" t="s">
        <v>1655</v>
      </c>
      <c r="N54" s="165">
        <v>1</v>
      </c>
      <c r="O54" s="165">
        <v>1</v>
      </c>
      <c r="P54" s="165">
        <v>1</v>
      </c>
    </row>
    <row r="55" spans="1:17" ht="40" x14ac:dyDescent="0.2">
      <c r="A55" s="170">
        <f>MAX(A$4:A54)+1</f>
        <v>47</v>
      </c>
      <c r="B55" s="170">
        <f t="shared" si="0"/>
        <v>6</v>
      </c>
      <c r="C55" s="171" t="s">
        <v>1827</v>
      </c>
      <c r="D55" s="171" t="s">
        <v>184</v>
      </c>
      <c r="E55" s="171" t="s">
        <v>2045</v>
      </c>
      <c r="F55" s="172" t="s">
        <v>2005</v>
      </c>
      <c r="G55" s="172" t="s">
        <v>2005</v>
      </c>
      <c r="H55" s="172">
        <v>0</v>
      </c>
      <c r="I55" s="171" t="s">
        <v>2006</v>
      </c>
      <c r="J55" s="171" t="s">
        <v>489</v>
      </c>
      <c r="K55" s="171" t="s">
        <v>1867</v>
      </c>
      <c r="L55" s="171" t="s">
        <v>1655</v>
      </c>
      <c r="N55" s="165">
        <v>1</v>
      </c>
      <c r="O55" s="165">
        <v>0</v>
      </c>
      <c r="P55" s="165">
        <v>0</v>
      </c>
    </row>
    <row r="56" spans="1:17" ht="21" x14ac:dyDescent="0.2">
      <c r="A56" s="232" t="s">
        <v>2052</v>
      </c>
      <c r="B56" s="233"/>
      <c r="C56" s="233"/>
      <c r="D56" s="233"/>
      <c r="E56" s="233"/>
      <c r="F56" s="233"/>
      <c r="G56" s="233"/>
      <c r="H56" s="233"/>
      <c r="I56" s="233"/>
      <c r="J56" s="233"/>
      <c r="K56" s="233"/>
      <c r="L56" s="234"/>
      <c r="M56" s="173"/>
      <c r="O56" s="173"/>
      <c r="P56" s="173"/>
      <c r="Q56" s="173"/>
    </row>
    <row r="57" spans="1:17" s="173" customFormat="1" ht="44.25" customHeight="1" x14ac:dyDescent="0.2">
      <c r="A57" s="170">
        <f>MAX(A$4:A56)+1</f>
        <v>48</v>
      </c>
      <c r="B57" s="170">
        <f t="shared" si="0"/>
        <v>1</v>
      </c>
      <c r="C57" s="171" t="s">
        <v>2051</v>
      </c>
      <c r="D57" s="171" t="s">
        <v>184</v>
      </c>
      <c r="E57" s="171" t="s">
        <v>2052</v>
      </c>
      <c r="F57" s="172">
        <v>1</v>
      </c>
      <c r="G57" s="172">
        <v>88983</v>
      </c>
      <c r="H57" s="172">
        <v>3</v>
      </c>
      <c r="I57" s="171" t="s">
        <v>2000</v>
      </c>
      <c r="J57" s="171" t="s">
        <v>351</v>
      </c>
      <c r="K57" s="171" t="s">
        <v>2003</v>
      </c>
      <c r="L57" s="171" t="s">
        <v>1655</v>
      </c>
      <c r="M57" s="165"/>
      <c r="N57" s="165">
        <v>1</v>
      </c>
      <c r="O57" s="165">
        <v>1</v>
      </c>
      <c r="P57" s="165">
        <v>1</v>
      </c>
      <c r="Q57" s="165"/>
    </row>
    <row r="58" spans="1:17" ht="44.25" customHeight="1" x14ac:dyDescent="0.2">
      <c r="A58" s="170">
        <f>MAX(A$4:A57)+1</f>
        <v>49</v>
      </c>
      <c r="B58" s="170">
        <f t="shared" si="0"/>
        <v>2</v>
      </c>
      <c r="C58" s="171" t="s">
        <v>1857</v>
      </c>
      <c r="D58" s="171" t="s">
        <v>184</v>
      </c>
      <c r="E58" s="171" t="s">
        <v>2052</v>
      </c>
      <c r="F58" s="172">
        <v>1</v>
      </c>
      <c r="G58" s="172">
        <v>12414</v>
      </c>
      <c r="H58" s="172">
        <v>3</v>
      </c>
      <c r="I58" s="171" t="s">
        <v>2000</v>
      </c>
      <c r="J58" s="171" t="s">
        <v>351</v>
      </c>
      <c r="K58" s="171" t="s">
        <v>2003</v>
      </c>
      <c r="L58" s="171" t="s">
        <v>1655</v>
      </c>
      <c r="N58" s="165">
        <v>1</v>
      </c>
      <c r="O58" s="165">
        <v>0</v>
      </c>
      <c r="P58" s="165">
        <v>1</v>
      </c>
    </row>
    <row r="59" spans="1:17" ht="21" x14ac:dyDescent="0.2">
      <c r="A59" s="232" t="s">
        <v>2054</v>
      </c>
      <c r="B59" s="233"/>
      <c r="C59" s="233"/>
      <c r="D59" s="233"/>
      <c r="E59" s="233"/>
      <c r="F59" s="233"/>
      <c r="G59" s="233"/>
      <c r="H59" s="233"/>
      <c r="I59" s="233"/>
      <c r="J59" s="233"/>
      <c r="K59" s="233"/>
      <c r="L59" s="234"/>
      <c r="M59" s="173"/>
      <c r="O59" s="173"/>
      <c r="P59" s="173"/>
      <c r="Q59" s="173"/>
    </row>
    <row r="60" spans="1:17" s="173" customFormat="1" ht="60" x14ac:dyDescent="0.2">
      <c r="A60" s="170">
        <f>MAX(A$4:A59)+1</f>
        <v>50</v>
      </c>
      <c r="B60" s="170">
        <f t="shared" si="0"/>
        <v>1</v>
      </c>
      <c r="C60" s="171" t="s">
        <v>2053</v>
      </c>
      <c r="D60" s="171" t="s">
        <v>184</v>
      </c>
      <c r="E60" s="171" t="s">
        <v>2054</v>
      </c>
      <c r="F60" s="172">
        <v>1</v>
      </c>
      <c r="G60" s="172">
        <v>21218</v>
      </c>
      <c r="H60" s="172">
        <v>3</v>
      </c>
      <c r="I60" s="171" t="s">
        <v>2000</v>
      </c>
      <c r="J60" s="171" t="s">
        <v>346</v>
      </c>
      <c r="K60" s="171" t="s">
        <v>2003</v>
      </c>
      <c r="L60" s="171" t="s">
        <v>1655</v>
      </c>
      <c r="M60" s="165"/>
      <c r="N60" s="165">
        <v>1</v>
      </c>
      <c r="O60" s="165">
        <v>1</v>
      </c>
      <c r="P60" s="165">
        <v>1</v>
      </c>
      <c r="Q60" s="165"/>
    </row>
    <row r="61" spans="1:17" ht="49.5" customHeight="1" x14ac:dyDescent="0.2">
      <c r="A61" s="170">
        <f>MAX(A$4:A60)+1</f>
        <v>51</v>
      </c>
      <c r="B61" s="170">
        <f t="shared" si="0"/>
        <v>2</v>
      </c>
      <c r="C61" s="171" t="s">
        <v>2055</v>
      </c>
      <c r="D61" s="171" t="s">
        <v>184</v>
      </c>
      <c r="E61" s="171" t="s">
        <v>2054</v>
      </c>
      <c r="F61" s="172">
        <v>1</v>
      </c>
      <c r="G61" s="172">
        <v>797</v>
      </c>
      <c r="H61" s="172">
        <v>3</v>
      </c>
      <c r="I61" s="171" t="s">
        <v>2000</v>
      </c>
      <c r="J61" s="171" t="s">
        <v>346</v>
      </c>
      <c r="K61" s="171" t="s">
        <v>2003</v>
      </c>
      <c r="L61" s="171" t="s">
        <v>1655</v>
      </c>
      <c r="N61" s="165">
        <v>1</v>
      </c>
      <c r="O61" s="165">
        <v>0</v>
      </c>
      <c r="P61" s="165">
        <v>1</v>
      </c>
    </row>
    <row r="62" spans="1:17" ht="40" x14ac:dyDescent="0.2">
      <c r="A62" s="170">
        <f>MAX(A$4:A61)+1</f>
        <v>52</v>
      </c>
      <c r="B62" s="170">
        <f t="shared" si="0"/>
        <v>3</v>
      </c>
      <c r="C62" s="171" t="s">
        <v>2056</v>
      </c>
      <c r="D62" s="171" t="s">
        <v>184</v>
      </c>
      <c r="E62" s="171" t="s">
        <v>2054</v>
      </c>
      <c r="F62" s="172" t="s">
        <v>2005</v>
      </c>
      <c r="G62" s="172" t="s">
        <v>2005</v>
      </c>
      <c r="H62" s="172">
        <v>0</v>
      </c>
      <c r="I62" s="171" t="s">
        <v>2006</v>
      </c>
      <c r="J62" s="171" t="s">
        <v>346</v>
      </c>
      <c r="K62" s="171" t="s">
        <v>1867</v>
      </c>
      <c r="L62" s="171" t="s">
        <v>1655</v>
      </c>
      <c r="N62" s="165">
        <v>1</v>
      </c>
      <c r="O62" s="165">
        <v>1</v>
      </c>
      <c r="P62" s="165">
        <v>0</v>
      </c>
    </row>
    <row r="63" spans="1:17" ht="40" x14ac:dyDescent="0.2">
      <c r="A63" s="170">
        <f>MAX(A$4:A62)+1</f>
        <v>53</v>
      </c>
      <c r="B63" s="170">
        <f t="shared" si="0"/>
        <v>4</v>
      </c>
      <c r="C63" s="171" t="s">
        <v>2057</v>
      </c>
      <c r="D63" s="171" t="s">
        <v>184</v>
      </c>
      <c r="E63" s="171" t="s">
        <v>2054</v>
      </c>
      <c r="F63" s="172" t="s">
        <v>2005</v>
      </c>
      <c r="G63" s="172" t="s">
        <v>2005</v>
      </c>
      <c r="H63" s="172">
        <v>0</v>
      </c>
      <c r="I63" s="171" t="s">
        <v>2006</v>
      </c>
      <c r="J63" s="171" t="s">
        <v>346</v>
      </c>
      <c r="K63" s="171" t="s">
        <v>1867</v>
      </c>
      <c r="L63" s="171" t="s">
        <v>1655</v>
      </c>
      <c r="N63" s="165">
        <v>1</v>
      </c>
      <c r="O63" s="165">
        <v>0</v>
      </c>
      <c r="P63" s="165">
        <v>0</v>
      </c>
    </row>
    <row r="64" spans="1:17" ht="40" x14ac:dyDescent="0.2">
      <c r="A64" s="170">
        <f>MAX(A$4:A63)+1</f>
        <v>54</v>
      </c>
      <c r="B64" s="170">
        <f t="shared" si="0"/>
        <v>5</v>
      </c>
      <c r="C64" s="171" t="s">
        <v>2058</v>
      </c>
      <c r="D64" s="171" t="s">
        <v>184</v>
      </c>
      <c r="E64" s="171" t="s">
        <v>2054</v>
      </c>
      <c r="F64" s="172">
        <v>2</v>
      </c>
      <c r="G64" s="172">
        <v>10770</v>
      </c>
      <c r="H64" s="172">
        <v>3</v>
      </c>
      <c r="I64" s="171" t="s">
        <v>2000</v>
      </c>
      <c r="J64" s="171" t="s">
        <v>346</v>
      </c>
      <c r="K64" s="171" t="s">
        <v>2003</v>
      </c>
      <c r="L64" s="171" t="s">
        <v>1655</v>
      </c>
      <c r="N64" s="165">
        <v>1</v>
      </c>
      <c r="O64" s="165">
        <v>0</v>
      </c>
      <c r="P64" s="165">
        <v>1</v>
      </c>
    </row>
    <row r="65" spans="1:17" ht="21" x14ac:dyDescent="0.2">
      <c r="A65" s="232" t="s">
        <v>2061</v>
      </c>
      <c r="B65" s="233"/>
      <c r="C65" s="233"/>
      <c r="D65" s="233"/>
      <c r="E65" s="233"/>
      <c r="F65" s="233"/>
      <c r="G65" s="233"/>
      <c r="H65" s="233"/>
      <c r="I65" s="233"/>
      <c r="J65" s="233"/>
      <c r="K65" s="233"/>
      <c r="L65" s="234"/>
      <c r="M65" s="173"/>
      <c r="O65" s="173"/>
      <c r="P65" s="173"/>
      <c r="Q65" s="173"/>
    </row>
    <row r="66" spans="1:17" s="173" customFormat="1" ht="40" x14ac:dyDescent="0.2">
      <c r="A66" s="170">
        <f>MAX(A$4:A65)+1</f>
        <v>55</v>
      </c>
      <c r="B66" s="170">
        <f t="shared" si="0"/>
        <v>1</v>
      </c>
      <c r="C66" s="171" t="s">
        <v>2060</v>
      </c>
      <c r="D66" s="171" t="s">
        <v>184</v>
      </c>
      <c r="E66" s="171" t="s">
        <v>2061</v>
      </c>
      <c r="F66" s="172">
        <v>2</v>
      </c>
      <c r="G66" s="172">
        <v>6108</v>
      </c>
      <c r="H66" s="172">
        <v>2</v>
      </c>
      <c r="I66" s="171" t="s">
        <v>1650</v>
      </c>
      <c r="J66" s="171" t="s">
        <v>418</v>
      </c>
      <c r="K66" s="171"/>
      <c r="L66" s="171"/>
      <c r="M66" s="165"/>
      <c r="N66" s="165">
        <v>1</v>
      </c>
      <c r="O66" s="165">
        <v>0</v>
      </c>
      <c r="P66" s="165">
        <v>1</v>
      </c>
      <c r="Q66" s="165"/>
    </row>
    <row r="67" spans="1:17" ht="40" x14ac:dyDescent="0.2">
      <c r="A67" s="170">
        <f>MAX(A$4:A66)+1</f>
        <v>56</v>
      </c>
      <c r="B67" s="170">
        <f t="shared" si="0"/>
        <v>2</v>
      </c>
      <c r="C67" s="171" t="s">
        <v>2062</v>
      </c>
      <c r="D67" s="171" t="s">
        <v>184</v>
      </c>
      <c r="E67" s="171" t="s">
        <v>2061</v>
      </c>
      <c r="F67" s="172">
        <v>6</v>
      </c>
      <c r="G67" s="172">
        <v>139</v>
      </c>
      <c r="H67" s="172">
        <v>2</v>
      </c>
      <c r="I67" s="171" t="s">
        <v>1650</v>
      </c>
      <c r="J67" s="171" t="s">
        <v>418</v>
      </c>
      <c r="K67" s="171"/>
      <c r="L67" s="171"/>
      <c r="N67" s="165">
        <v>1</v>
      </c>
      <c r="O67" s="165">
        <v>0</v>
      </c>
      <c r="P67" s="165">
        <v>1</v>
      </c>
    </row>
    <row r="68" spans="1:17" ht="60" x14ac:dyDescent="0.2">
      <c r="A68" s="170">
        <f>MAX(A$4:A67)+1</f>
        <v>57</v>
      </c>
      <c r="B68" s="170">
        <f t="shared" si="0"/>
        <v>3</v>
      </c>
      <c r="C68" s="171" t="s">
        <v>2063</v>
      </c>
      <c r="D68" s="171" t="s">
        <v>184</v>
      </c>
      <c r="E68" s="171" t="s">
        <v>2061</v>
      </c>
      <c r="F68" s="172">
        <v>1</v>
      </c>
      <c r="G68" s="172">
        <v>246</v>
      </c>
      <c r="H68" s="172">
        <v>3</v>
      </c>
      <c r="I68" s="171" t="s">
        <v>2000</v>
      </c>
      <c r="J68" s="171" t="s">
        <v>351</v>
      </c>
      <c r="K68" s="171" t="s">
        <v>2064</v>
      </c>
      <c r="L68" s="171" t="s">
        <v>1655</v>
      </c>
      <c r="N68" s="165">
        <v>1</v>
      </c>
      <c r="O68" s="165">
        <v>1</v>
      </c>
      <c r="P68" s="165">
        <v>1</v>
      </c>
    </row>
    <row r="69" spans="1:17" ht="60" x14ac:dyDescent="0.2">
      <c r="A69" s="170">
        <f>MAX(A$4:A68)+1</f>
        <v>58</v>
      </c>
      <c r="B69" s="170">
        <f t="shared" si="0"/>
        <v>4</v>
      </c>
      <c r="C69" s="171" t="s">
        <v>2065</v>
      </c>
      <c r="D69" s="171" t="s">
        <v>184</v>
      </c>
      <c r="E69" s="171" t="s">
        <v>2061</v>
      </c>
      <c r="F69" s="172">
        <v>1</v>
      </c>
      <c r="G69" s="172">
        <v>7</v>
      </c>
      <c r="H69" s="172">
        <v>3</v>
      </c>
      <c r="I69" s="171" t="s">
        <v>2000</v>
      </c>
      <c r="J69" s="171" t="s">
        <v>351</v>
      </c>
      <c r="K69" s="171" t="s">
        <v>2064</v>
      </c>
      <c r="L69" s="171" t="s">
        <v>1655</v>
      </c>
      <c r="N69" s="165">
        <v>1</v>
      </c>
      <c r="O69" s="165">
        <v>0</v>
      </c>
      <c r="P69" s="165">
        <v>1</v>
      </c>
    </row>
    <row r="70" spans="1:17" ht="60" x14ac:dyDescent="0.2">
      <c r="A70" s="170">
        <f>MAX(A$4:A69)+1</f>
        <v>59</v>
      </c>
      <c r="B70" s="170">
        <f t="shared" ref="B70:B77" si="1">+B69+1</f>
        <v>5</v>
      </c>
      <c r="C70" s="171" t="s">
        <v>2066</v>
      </c>
      <c r="D70" s="171" t="s">
        <v>184</v>
      </c>
      <c r="E70" s="171" t="s">
        <v>2061</v>
      </c>
      <c r="F70" s="172">
        <v>1</v>
      </c>
      <c r="G70" s="172">
        <v>3</v>
      </c>
      <c r="H70" s="172">
        <v>3</v>
      </c>
      <c r="I70" s="171" t="s">
        <v>2000</v>
      </c>
      <c r="J70" s="171" t="s">
        <v>351</v>
      </c>
      <c r="K70" s="171" t="s">
        <v>2064</v>
      </c>
      <c r="L70" s="171" t="s">
        <v>1655</v>
      </c>
      <c r="N70" s="165">
        <v>1</v>
      </c>
      <c r="O70" s="165">
        <v>0</v>
      </c>
      <c r="P70" s="165">
        <v>1</v>
      </c>
    </row>
    <row r="71" spans="1:17" ht="40" x14ac:dyDescent="0.2">
      <c r="A71" s="170">
        <f>MAX(A$4:A70)+1</f>
        <v>60</v>
      </c>
      <c r="B71" s="170">
        <f t="shared" si="1"/>
        <v>6</v>
      </c>
      <c r="C71" s="171" t="s">
        <v>2067</v>
      </c>
      <c r="D71" s="171" t="s">
        <v>184</v>
      </c>
      <c r="E71" s="171" t="s">
        <v>2061</v>
      </c>
      <c r="F71" s="172">
        <v>1</v>
      </c>
      <c r="G71" s="172">
        <v>297</v>
      </c>
      <c r="H71" s="172">
        <v>2</v>
      </c>
      <c r="I71" s="171" t="s">
        <v>1650</v>
      </c>
      <c r="J71" s="171" t="s">
        <v>351</v>
      </c>
      <c r="K71" s="171"/>
      <c r="L71" s="171"/>
      <c r="N71" s="165">
        <v>1</v>
      </c>
      <c r="O71" s="165">
        <v>0</v>
      </c>
      <c r="P71" s="165">
        <v>1</v>
      </c>
    </row>
    <row r="72" spans="1:17" ht="40" x14ac:dyDescent="0.2">
      <c r="A72" s="170">
        <f>MAX(A$4:A71)+1</f>
        <v>61</v>
      </c>
      <c r="B72" s="170">
        <f t="shared" si="1"/>
        <v>7</v>
      </c>
      <c r="C72" s="171" t="s">
        <v>2068</v>
      </c>
      <c r="D72" s="171" t="s">
        <v>184</v>
      </c>
      <c r="E72" s="171" t="s">
        <v>2061</v>
      </c>
      <c r="F72" s="172">
        <v>1</v>
      </c>
      <c r="G72" s="172">
        <v>48</v>
      </c>
      <c r="H72" s="172">
        <v>2</v>
      </c>
      <c r="I72" s="171" t="s">
        <v>1650</v>
      </c>
      <c r="J72" s="171" t="s">
        <v>351</v>
      </c>
      <c r="K72" s="171"/>
      <c r="L72" s="171"/>
      <c r="N72" s="165">
        <v>1</v>
      </c>
      <c r="O72" s="165">
        <v>0</v>
      </c>
      <c r="P72" s="165">
        <v>1</v>
      </c>
    </row>
    <row r="73" spans="1:17" ht="40" x14ac:dyDescent="0.2">
      <c r="A73" s="170">
        <f>MAX(A$4:A72)+1</f>
        <v>62</v>
      </c>
      <c r="B73" s="170">
        <f t="shared" si="1"/>
        <v>8</v>
      </c>
      <c r="C73" s="171" t="s">
        <v>2069</v>
      </c>
      <c r="D73" s="171" t="s">
        <v>184</v>
      </c>
      <c r="E73" s="171" t="s">
        <v>2061</v>
      </c>
      <c r="F73" s="172">
        <v>1</v>
      </c>
      <c r="G73" s="172">
        <v>7</v>
      </c>
      <c r="H73" s="172">
        <v>2</v>
      </c>
      <c r="I73" s="171" t="s">
        <v>1650</v>
      </c>
      <c r="J73" s="171" t="s">
        <v>351</v>
      </c>
      <c r="K73" s="171"/>
      <c r="L73" s="171"/>
      <c r="N73" s="165">
        <v>1</v>
      </c>
      <c r="O73" s="165">
        <v>0</v>
      </c>
      <c r="P73" s="165">
        <v>1</v>
      </c>
    </row>
    <row r="74" spans="1:17" ht="40" x14ac:dyDescent="0.2">
      <c r="A74" s="170">
        <f>MAX(A$4:A73)+1</f>
        <v>63</v>
      </c>
      <c r="B74" s="170">
        <f t="shared" si="1"/>
        <v>9</v>
      </c>
      <c r="C74" s="171" t="s">
        <v>2070</v>
      </c>
      <c r="D74" s="171" t="s">
        <v>184</v>
      </c>
      <c r="E74" s="171" t="s">
        <v>2061</v>
      </c>
      <c r="F74" s="172">
        <v>1</v>
      </c>
      <c r="G74" s="172">
        <v>177</v>
      </c>
      <c r="H74" s="172">
        <v>2</v>
      </c>
      <c r="I74" s="171" t="s">
        <v>1650</v>
      </c>
      <c r="J74" s="171" t="s">
        <v>351</v>
      </c>
      <c r="K74" s="171"/>
      <c r="L74" s="171"/>
      <c r="N74" s="165">
        <v>1</v>
      </c>
      <c r="O74" s="165">
        <v>0</v>
      </c>
      <c r="P74" s="165">
        <v>1</v>
      </c>
    </row>
    <row r="75" spans="1:17" ht="40" x14ac:dyDescent="0.2">
      <c r="A75" s="170">
        <f>MAX(A$4:A74)+1</f>
        <v>64</v>
      </c>
      <c r="B75" s="170">
        <f t="shared" si="1"/>
        <v>10</v>
      </c>
      <c r="C75" s="171" t="s">
        <v>2071</v>
      </c>
      <c r="D75" s="171" t="s">
        <v>184</v>
      </c>
      <c r="E75" s="171" t="s">
        <v>2061</v>
      </c>
      <c r="F75" s="172">
        <v>1</v>
      </c>
      <c r="G75" s="172">
        <v>6</v>
      </c>
      <c r="H75" s="172">
        <v>2</v>
      </c>
      <c r="I75" s="171" t="s">
        <v>1650</v>
      </c>
      <c r="J75" s="171" t="s">
        <v>351</v>
      </c>
      <c r="K75" s="171"/>
      <c r="L75" s="171"/>
      <c r="N75" s="165">
        <v>1</v>
      </c>
      <c r="O75" s="165">
        <v>0</v>
      </c>
      <c r="P75" s="165">
        <v>0</v>
      </c>
    </row>
    <row r="76" spans="1:17" ht="40" x14ac:dyDescent="0.2">
      <c r="A76" s="170">
        <f>MAX(A$4:A75)+1</f>
        <v>65</v>
      </c>
      <c r="B76" s="170">
        <f t="shared" si="1"/>
        <v>11</v>
      </c>
      <c r="C76" s="171" t="s">
        <v>2073</v>
      </c>
      <c r="D76" s="171" t="s">
        <v>184</v>
      </c>
      <c r="E76" s="171" t="s">
        <v>2061</v>
      </c>
      <c r="F76" s="172"/>
      <c r="G76" s="172"/>
      <c r="H76" s="172">
        <v>2</v>
      </c>
      <c r="I76" s="171" t="s">
        <v>1650</v>
      </c>
      <c r="J76" s="171" t="s">
        <v>351</v>
      </c>
      <c r="K76" s="171"/>
      <c r="L76" s="171"/>
      <c r="N76" s="165">
        <v>1</v>
      </c>
      <c r="O76" s="165">
        <v>0</v>
      </c>
      <c r="P76" s="165">
        <v>0</v>
      </c>
    </row>
    <row r="77" spans="1:17" ht="40" x14ac:dyDescent="0.2">
      <c r="A77" s="170">
        <f>MAX(A$4:A76)+1</f>
        <v>66</v>
      </c>
      <c r="B77" s="170">
        <f t="shared" si="1"/>
        <v>12</v>
      </c>
      <c r="C77" s="171" t="s">
        <v>1819</v>
      </c>
      <c r="D77" s="171" t="s">
        <v>184</v>
      </c>
      <c r="E77" s="171" t="s">
        <v>2061</v>
      </c>
      <c r="F77" s="172"/>
      <c r="G77" s="172"/>
      <c r="H77" s="172">
        <v>1</v>
      </c>
      <c r="I77" s="171" t="s">
        <v>2072</v>
      </c>
      <c r="J77" s="171" t="s">
        <v>351</v>
      </c>
      <c r="K77" s="171"/>
      <c r="L77" s="171" t="s">
        <v>1656</v>
      </c>
      <c r="N77" s="165">
        <v>1</v>
      </c>
      <c r="O77" s="165">
        <v>0</v>
      </c>
      <c r="P77" s="165">
        <v>0</v>
      </c>
    </row>
    <row r="78" spans="1:17" ht="21" x14ac:dyDescent="0.2">
      <c r="A78" s="232" t="s">
        <v>2120</v>
      </c>
      <c r="B78" s="233"/>
      <c r="C78" s="233"/>
      <c r="D78" s="233"/>
      <c r="E78" s="233"/>
      <c r="F78" s="233"/>
      <c r="G78" s="233"/>
      <c r="H78" s="233"/>
      <c r="I78" s="233"/>
      <c r="J78" s="233"/>
      <c r="K78" s="233"/>
      <c r="L78" s="234"/>
      <c r="M78" s="173"/>
      <c r="O78" s="173"/>
      <c r="P78" s="173"/>
      <c r="Q78" s="173"/>
    </row>
    <row r="79" spans="1:17" s="173" customFormat="1" ht="40" x14ac:dyDescent="0.2">
      <c r="A79" s="170">
        <f>MAX(A$4:A78)+1</f>
        <v>67</v>
      </c>
      <c r="B79" s="170">
        <f t="shared" ref="B79:B86" si="2">+B78+1</f>
        <v>1</v>
      </c>
      <c r="C79" s="171" t="s">
        <v>2011</v>
      </c>
      <c r="D79" s="171" t="s">
        <v>183</v>
      </c>
      <c r="E79" s="171" t="s">
        <v>2012</v>
      </c>
      <c r="F79" s="172">
        <v>1</v>
      </c>
      <c r="G79" s="172">
        <v>480</v>
      </c>
      <c r="H79" s="172">
        <v>3</v>
      </c>
      <c r="I79" s="171" t="s">
        <v>2000</v>
      </c>
      <c r="J79" s="171" t="s">
        <v>410</v>
      </c>
      <c r="K79" s="171" t="s">
        <v>1867</v>
      </c>
      <c r="L79" s="171" t="s">
        <v>1655</v>
      </c>
      <c r="M79" s="165"/>
      <c r="N79" s="165">
        <v>1</v>
      </c>
      <c r="O79" s="165">
        <v>1</v>
      </c>
      <c r="P79" s="165">
        <v>1</v>
      </c>
      <c r="Q79" s="165"/>
    </row>
    <row r="80" spans="1:17" ht="40" x14ac:dyDescent="0.2">
      <c r="A80" s="170">
        <f>MAX(A$4:A79)+1</f>
        <v>68</v>
      </c>
      <c r="B80" s="170">
        <f t="shared" si="2"/>
        <v>2</v>
      </c>
      <c r="C80" s="171" t="s">
        <v>1844</v>
      </c>
      <c r="D80" s="171" t="s">
        <v>183</v>
      </c>
      <c r="E80" s="171" t="s">
        <v>2012</v>
      </c>
      <c r="F80" s="172">
        <v>1</v>
      </c>
      <c r="G80" s="172">
        <v>210</v>
      </c>
      <c r="H80" s="172">
        <v>3</v>
      </c>
      <c r="I80" s="171" t="s">
        <v>2000</v>
      </c>
      <c r="J80" s="171" t="s">
        <v>410</v>
      </c>
      <c r="K80" s="171" t="s">
        <v>1867</v>
      </c>
      <c r="L80" s="171" t="s">
        <v>1655</v>
      </c>
      <c r="N80" s="165">
        <v>1</v>
      </c>
      <c r="O80" s="165">
        <v>1</v>
      </c>
      <c r="P80" s="165">
        <v>1</v>
      </c>
    </row>
    <row r="81" spans="1:17" ht="40" x14ac:dyDescent="0.2">
      <c r="A81" s="170">
        <f>MAX(A$4:A80)+1</f>
        <v>69</v>
      </c>
      <c r="B81" s="170">
        <f t="shared" si="2"/>
        <v>3</v>
      </c>
      <c r="C81" s="171" t="s">
        <v>2013</v>
      </c>
      <c r="D81" s="171" t="s">
        <v>183</v>
      </c>
      <c r="E81" s="171" t="s">
        <v>2012</v>
      </c>
      <c r="F81" s="172">
        <v>1</v>
      </c>
      <c r="G81" s="172">
        <v>89</v>
      </c>
      <c r="H81" s="172">
        <v>3</v>
      </c>
      <c r="I81" s="171" t="s">
        <v>2000</v>
      </c>
      <c r="J81" s="171" t="s">
        <v>410</v>
      </c>
      <c r="K81" s="171" t="s">
        <v>1867</v>
      </c>
      <c r="L81" s="171" t="s">
        <v>1655</v>
      </c>
      <c r="N81" s="165">
        <v>1</v>
      </c>
      <c r="O81" s="165">
        <v>1</v>
      </c>
      <c r="P81" s="165">
        <v>1</v>
      </c>
    </row>
    <row r="82" spans="1:17" ht="40" x14ac:dyDescent="0.2">
      <c r="A82" s="170">
        <f>MAX(A$4:A81)+1</f>
        <v>70</v>
      </c>
      <c r="B82" s="170">
        <f t="shared" si="2"/>
        <v>4</v>
      </c>
      <c r="C82" s="171" t="s">
        <v>2014</v>
      </c>
      <c r="D82" s="171" t="s">
        <v>183</v>
      </c>
      <c r="E82" s="171" t="s">
        <v>2012</v>
      </c>
      <c r="F82" s="172">
        <v>1</v>
      </c>
      <c r="G82" s="172">
        <v>24736</v>
      </c>
      <c r="H82" s="172">
        <v>3</v>
      </c>
      <c r="I82" s="171" t="s">
        <v>2015</v>
      </c>
      <c r="J82" s="171"/>
      <c r="K82" s="171" t="s">
        <v>1867</v>
      </c>
      <c r="L82" s="171" t="s">
        <v>1655</v>
      </c>
      <c r="N82" s="165">
        <v>1</v>
      </c>
      <c r="O82" s="165">
        <v>1</v>
      </c>
      <c r="P82" s="165">
        <v>0</v>
      </c>
    </row>
    <row r="83" spans="1:17" ht="60" x14ac:dyDescent="0.2">
      <c r="A83" s="170">
        <f>MAX(A$4:A82)+1</f>
        <v>71</v>
      </c>
      <c r="B83" s="170">
        <f t="shared" si="2"/>
        <v>5</v>
      </c>
      <c r="C83" s="171" t="s">
        <v>2016</v>
      </c>
      <c r="D83" s="171" t="s">
        <v>183</v>
      </c>
      <c r="E83" s="171" t="s">
        <v>2012</v>
      </c>
      <c r="F83" s="172">
        <v>1</v>
      </c>
      <c r="G83" s="172">
        <v>8046</v>
      </c>
      <c r="H83" s="172">
        <v>3</v>
      </c>
      <c r="I83" s="171" t="s">
        <v>2015</v>
      </c>
      <c r="J83" s="171"/>
      <c r="K83" s="171" t="s">
        <v>1867</v>
      </c>
      <c r="L83" s="171" t="s">
        <v>1655</v>
      </c>
      <c r="N83" s="165">
        <v>1</v>
      </c>
      <c r="O83" s="165">
        <v>1</v>
      </c>
      <c r="P83" s="165">
        <v>0</v>
      </c>
    </row>
    <row r="84" spans="1:17" ht="40" x14ac:dyDescent="0.2">
      <c r="A84" s="170">
        <f>MAX(A$4:A83)+1</f>
        <v>72</v>
      </c>
      <c r="B84" s="170">
        <f t="shared" si="2"/>
        <v>6</v>
      </c>
      <c r="C84" s="171" t="s">
        <v>2017</v>
      </c>
      <c r="D84" s="171" t="s">
        <v>183</v>
      </c>
      <c r="E84" s="171" t="s">
        <v>2012</v>
      </c>
      <c r="F84" s="172">
        <v>1</v>
      </c>
      <c r="G84" s="172">
        <v>100</v>
      </c>
      <c r="H84" s="172">
        <v>3</v>
      </c>
      <c r="I84" s="171" t="s">
        <v>2015</v>
      </c>
      <c r="J84" s="171"/>
      <c r="K84" s="171" t="s">
        <v>1867</v>
      </c>
      <c r="L84" s="171" t="s">
        <v>1655</v>
      </c>
      <c r="N84" s="165">
        <v>1</v>
      </c>
      <c r="O84" s="165">
        <v>0</v>
      </c>
      <c r="P84" s="165">
        <v>0</v>
      </c>
    </row>
    <row r="85" spans="1:17" ht="40" x14ac:dyDescent="0.2">
      <c r="A85" s="170">
        <f>MAX(A$4:A84)+1</f>
        <v>73</v>
      </c>
      <c r="B85" s="170">
        <f t="shared" si="2"/>
        <v>7</v>
      </c>
      <c r="C85" s="171" t="s">
        <v>2018</v>
      </c>
      <c r="D85" s="171" t="s">
        <v>183</v>
      </c>
      <c r="E85" s="171" t="s">
        <v>2012</v>
      </c>
      <c r="F85" s="172">
        <v>1</v>
      </c>
      <c r="G85" s="172">
        <v>8033</v>
      </c>
      <c r="H85" s="172">
        <v>3</v>
      </c>
      <c r="I85" s="171" t="s">
        <v>2015</v>
      </c>
      <c r="J85" s="171"/>
      <c r="K85" s="171" t="s">
        <v>1867</v>
      </c>
      <c r="L85" s="171" t="s">
        <v>1655</v>
      </c>
      <c r="N85" s="165">
        <v>1</v>
      </c>
      <c r="O85" s="165">
        <v>1</v>
      </c>
      <c r="P85" s="165">
        <v>0</v>
      </c>
    </row>
    <row r="86" spans="1:17" ht="40" x14ac:dyDescent="0.2">
      <c r="A86" s="170">
        <f>MAX(A$4:A85)+1</f>
        <v>74</v>
      </c>
      <c r="B86" s="170">
        <f t="shared" si="2"/>
        <v>8</v>
      </c>
      <c r="C86" s="171" t="s">
        <v>1845</v>
      </c>
      <c r="D86" s="171" t="s">
        <v>183</v>
      </c>
      <c r="E86" s="171" t="s">
        <v>2012</v>
      </c>
      <c r="F86" s="172">
        <v>2</v>
      </c>
      <c r="G86" s="172">
        <v>41073</v>
      </c>
      <c r="H86" s="172">
        <v>3</v>
      </c>
      <c r="I86" s="171" t="s">
        <v>2000</v>
      </c>
      <c r="J86" s="171" t="s">
        <v>410</v>
      </c>
      <c r="K86" s="171" t="s">
        <v>1867</v>
      </c>
      <c r="L86" s="171" t="s">
        <v>1655</v>
      </c>
      <c r="N86" s="165">
        <v>1</v>
      </c>
      <c r="O86" s="165">
        <v>1</v>
      </c>
      <c r="P86" s="165">
        <v>1</v>
      </c>
    </row>
    <row r="87" spans="1:17" ht="21" x14ac:dyDescent="0.2">
      <c r="A87" s="232" t="s">
        <v>2121</v>
      </c>
      <c r="B87" s="233"/>
      <c r="C87" s="233"/>
      <c r="D87" s="233"/>
      <c r="E87" s="233"/>
      <c r="F87" s="233"/>
      <c r="G87" s="233"/>
      <c r="H87" s="233"/>
      <c r="I87" s="233"/>
      <c r="J87" s="233"/>
      <c r="K87" s="233"/>
      <c r="L87" s="234"/>
      <c r="M87" s="173"/>
      <c r="O87" s="173"/>
      <c r="P87" s="173"/>
      <c r="Q87" s="173"/>
    </row>
    <row r="88" spans="1:17" s="173" customFormat="1" ht="40" x14ac:dyDescent="0.2">
      <c r="A88" s="170">
        <f>MAX(A$4:A87)+1</f>
        <v>75</v>
      </c>
      <c r="B88" s="170">
        <f t="shared" ref="B88" si="3">+B87+1</f>
        <v>1</v>
      </c>
      <c r="C88" s="171" t="s">
        <v>2019</v>
      </c>
      <c r="D88" s="171" t="s">
        <v>183</v>
      </c>
      <c r="E88" s="171" t="s">
        <v>2020</v>
      </c>
      <c r="F88" s="172">
        <v>1</v>
      </c>
      <c r="G88" s="172">
        <v>825</v>
      </c>
      <c r="H88" s="172">
        <v>3</v>
      </c>
      <c r="I88" s="171" t="s">
        <v>2015</v>
      </c>
      <c r="J88" s="171"/>
      <c r="K88" s="171" t="s">
        <v>1867</v>
      </c>
      <c r="L88" s="171" t="s">
        <v>1655</v>
      </c>
      <c r="M88" s="165"/>
      <c r="N88" s="165">
        <v>1</v>
      </c>
      <c r="O88" s="165">
        <v>1</v>
      </c>
      <c r="P88" s="165">
        <v>0</v>
      </c>
      <c r="Q88" s="165"/>
    </row>
  </sheetData>
  <autoFilter ref="A3:Q88" xr:uid="{1342CEB6-1A06-8A4C-BBEB-BED1D5B92E09}"/>
  <mergeCells count="11">
    <mergeCell ref="A59:L59"/>
    <mergeCell ref="A65:L65"/>
    <mergeCell ref="A78:L78"/>
    <mergeCell ref="A87:L87"/>
    <mergeCell ref="A1:L1"/>
    <mergeCell ref="A4:L4"/>
    <mergeCell ref="A19:L19"/>
    <mergeCell ref="A43:L43"/>
    <mergeCell ref="A47:L47"/>
    <mergeCell ref="A49:L49"/>
    <mergeCell ref="A56:L56"/>
  </mergeCells>
  <printOptions horizontalCentered="1"/>
  <pageMargins left="0.19685039370078741" right="0.15748031496062992" top="0.19685039370078741" bottom="0.23622047244094491" header="0.15748031496062992" footer="0.15748031496062992"/>
  <pageSetup paperSize="9" scale="63" fitToHeight="9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127"/>
  <sheetViews>
    <sheetView view="pageBreakPreview" topLeftCell="A14" zoomScale="115" zoomScaleNormal="100" zoomScaleSheetLayoutView="115" workbookViewId="0">
      <selection activeCell="C3" sqref="C3"/>
    </sheetView>
  </sheetViews>
  <sheetFormatPr baseColWidth="10" defaultColWidth="9.1640625" defaultRowHeight="14" x14ac:dyDescent="0.15"/>
  <cols>
    <col min="1" max="1" width="3.83203125" style="1" bestFit="1" customWidth="1"/>
    <col min="2" max="2" width="90" style="10" customWidth="1"/>
    <col min="3" max="3" width="9.1640625" style="1"/>
    <col min="4" max="4" width="16" style="10" customWidth="1"/>
    <col min="5" max="16384" width="9.1640625" style="1"/>
  </cols>
  <sheetData>
    <row r="1" spans="1:4" ht="16" x14ac:dyDescent="0.2">
      <c r="A1" s="236" t="s">
        <v>164</v>
      </c>
      <c r="B1" s="236"/>
      <c r="C1" s="236"/>
      <c r="D1" s="236"/>
    </row>
    <row r="3" spans="1:4" s="14" customFormat="1" ht="60" x14ac:dyDescent="0.2">
      <c r="A3" s="7" t="s">
        <v>0</v>
      </c>
      <c r="B3" s="3" t="s">
        <v>136</v>
      </c>
      <c r="C3" s="7" t="s">
        <v>166</v>
      </c>
      <c r="D3" s="3" t="s">
        <v>178</v>
      </c>
    </row>
    <row r="4" spans="1:4" ht="15" x14ac:dyDescent="0.15">
      <c r="A4" s="11"/>
      <c r="B4" s="15" t="s">
        <v>6</v>
      </c>
      <c r="C4" s="8"/>
      <c r="D4" s="9"/>
    </row>
    <row r="5" spans="1:4" ht="15" x14ac:dyDescent="0.15">
      <c r="A5" s="11">
        <f>+MAX(A$3:A4)+1</f>
        <v>1</v>
      </c>
      <c r="B5" s="9" t="s">
        <v>7</v>
      </c>
      <c r="C5" s="8">
        <v>1</v>
      </c>
      <c r="D5" s="9" t="s">
        <v>179</v>
      </c>
    </row>
    <row r="6" spans="1:4" ht="15" x14ac:dyDescent="0.15">
      <c r="A6" s="11">
        <f>+MAX(A$3:A5)+1</f>
        <v>2</v>
      </c>
      <c r="B6" s="9" t="s">
        <v>8</v>
      </c>
      <c r="C6" s="8">
        <v>1</v>
      </c>
      <c r="D6" s="9" t="s">
        <v>179</v>
      </c>
    </row>
    <row r="7" spans="1:4" ht="15" x14ac:dyDescent="0.15">
      <c r="A7" s="11">
        <f>+MAX(A$3:A6)+1</f>
        <v>3</v>
      </c>
      <c r="B7" s="9" t="s">
        <v>9</v>
      </c>
      <c r="C7" s="8"/>
      <c r="D7" s="9" t="s">
        <v>179</v>
      </c>
    </row>
    <row r="8" spans="1:4" ht="15" x14ac:dyDescent="0.15">
      <c r="A8" s="11"/>
      <c r="B8" s="15" t="s">
        <v>10</v>
      </c>
      <c r="C8" s="8"/>
      <c r="D8" s="9"/>
    </row>
    <row r="9" spans="1:4" ht="15" x14ac:dyDescent="0.15">
      <c r="A9" s="11">
        <f>+MAX(A$3:A8)+1</f>
        <v>4</v>
      </c>
      <c r="B9" s="9" t="s">
        <v>11</v>
      </c>
      <c r="C9" s="8">
        <v>1</v>
      </c>
      <c r="D9" s="9" t="s">
        <v>180</v>
      </c>
    </row>
    <row r="10" spans="1:4" ht="15" x14ac:dyDescent="0.15">
      <c r="A10" s="11">
        <f>+MAX(A$3:A9)+1</f>
        <v>5</v>
      </c>
      <c r="B10" s="9" t="s">
        <v>12</v>
      </c>
      <c r="C10" s="8">
        <v>1</v>
      </c>
      <c r="D10" s="9" t="s">
        <v>180</v>
      </c>
    </row>
    <row r="11" spans="1:4" ht="15" x14ac:dyDescent="0.15">
      <c r="A11" s="11">
        <f>+MAX(A$3:A10)+1</f>
        <v>6</v>
      </c>
      <c r="B11" s="9" t="s">
        <v>13</v>
      </c>
      <c r="C11" s="8"/>
      <c r="D11" s="9" t="s">
        <v>180</v>
      </c>
    </row>
    <row r="12" spans="1:4" ht="15" x14ac:dyDescent="0.15">
      <c r="A12" s="11"/>
      <c r="B12" s="15" t="s">
        <v>14</v>
      </c>
      <c r="C12" s="8"/>
      <c r="D12" s="9"/>
    </row>
    <row r="13" spans="1:4" ht="15" x14ac:dyDescent="0.15">
      <c r="A13" s="11">
        <f>+MAX(A$3:A12)+1</f>
        <v>7</v>
      </c>
      <c r="B13" s="9" t="s">
        <v>15</v>
      </c>
      <c r="C13" s="8"/>
      <c r="D13" s="9" t="s">
        <v>181</v>
      </c>
    </row>
    <row r="14" spans="1:4" ht="45" x14ac:dyDescent="0.15">
      <c r="A14" s="11">
        <f>+MAX(A$3:A13)+1</f>
        <v>8</v>
      </c>
      <c r="B14" s="9" t="s">
        <v>16</v>
      </c>
      <c r="C14" s="8"/>
      <c r="D14" s="9" t="s">
        <v>181</v>
      </c>
    </row>
    <row r="15" spans="1:4" ht="30" x14ac:dyDescent="0.15">
      <c r="A15" s="11">
        <f>+MAX(A$3:A14)+1</f>
        <v>9</v>
      </c>
      <c r="B15" s="9" t="s">
        <v>17</v>
      </c>
      <c r="C15" s="8"/>
      <c r="D15" s="9" t="s">
        <v>181</v>
      </c>
    </row>
    <row r="16" spans="1:4" ht="15" x14ac:dyDescent="0.15">
      <c r="A16" s="11"/>
      <c r="B16" s="15" t="s">
        <v>18</v>
      </c>
      <c r="C16" s="8"/>
      <c r="D16" s="9"/>
    </row>
    <row r="17" spans="1:4" ht="30" x14ac:dyDescent="0.15">
      <c r="A17" s="11">
        <f>+MAX(A$3:A16)+1</f>
        <v>10</v>
      </c>
      <c r="B17" s="9" t="s">
        <v>19</v>
      </c>
      <c r="C17" s="8"/>
      <c r="D17" s="9" t="s">
        <v>180</v>
      </c>
    </row>
    <row r="18" spans="1:4" ht="15" x14ac:dyDescent="0.15">
      <c r="A18" s="11"/>
      <c r="B18" s="15" t="s">
        <v>20</v>
      </c>
      <c r="C18" s="8"/>
      <c r="D18" s="9"/>
    </row>
    <row r="19" spans="1:4" ht="45" x14ac:dyDescent="0.15">
      <c r="A19" s="11">
        <f>+MAX(A$3:A18)+1</f>
        <v>11</v>
      </c>
      <c r="B19" s="9" t="s">
        <v>21</v>
      </c>
      <c r="C19" s="8"/>
      <c r="D19" s="9" t="s">
        <v>180</v>
      </c>
    </row>
    <row r="20" spans="1:4" ht="30" x14ac:dyDescent="0.15">
      <c r="A20" s="11">
        <f>+MAX(A$3:A19)+1</f>
        <v>12</v>
      </c>
      <c r="B20" s="9" t="s">
        <v>22</v>
      </c>
      <c r="C20" s="8"/>
      <c r="D20" s="9" t="s">
        <v>180</v>
      </c>
    </row>
    <row r="21" spans="1:4" ht="30" x14ac:dyDescent="0.15">
      <c r="A21" s="11">
        <f>+MAX(A$3:A20)+1</f>
        <v>13</v>
      </c>
      <c r="B21" s="9" t="s">
        <v>23</v>
      </c>
      <c r="C21" s="8">
        <v>0</v>
      </c>
      <c r="D21" s="9" t="s">
        <v>180</v>
      </c>
    </row>
    <row r="22" spans="1:4" ht="30" x14ac:dyDescent="0.15">
      <c r="A22" s="11">
        <f>+MAX(A$3:A21)+1</f>
        <v>14</v>
      </c>
      <c r="B22" s="9" t="s">
        <v>24</v>
      </c>
      <c r="C22" s="8"/>
      <c r="D22" s="9" t="s">
        <v>181</v>
      </c>
    </row>
    <row r="23" spans="1:4" ht="15" x14ac:dyDescent="0.15">
      <c r="A23" s="11"/>
      <c r="B23" s="15" t="s">
        <v>25</v>
      </c>
      <c r="C23" s="8"/>
      <c r="D23" s="9"/>
    </row>
    <row r="24" spans="1:4" ht="30" x14ac:dyDescent="0.15">
      <c r="A24" s="11">
        <f>+MAX(A$3:A23)+1</f>
        <v>15</v>
      </c>
      <c r="B24" s="9" t="s">
        <v>26</v>
      </c>
      <c r="C24" s="8"/>
      <c r="D24" s="9" t="s">
        <v>180</v>
      </c>
    </row>
    <row r="25" spans="1:4" ht="15" x14ac:dyDescent="0.15">
      <c r="A25" s="11"/>
      <c r="B25" s="15" t="s">
        <v>27</v>
      </c>
      <c r="C25" s="8"/>
      <c r="D25" s="9"/>
    </row>
    <row r="26" spans="1:4" ht="15" x14ac:dyDescent="0.15">
      <c r="A26" s="11">
        <f>+MAX(A$3:A25)+1</f>
        <v>16</v>
      </c>
      <c r="B26" s="9" t="s">
        <v>28</v>
      </c>
      <c r="C26" s="8"/>
      <c r="D26" s="9" t="s">
        <v>180</v>
      </c>
    </row>
    <row r="27" spans="1:4" ht="15" x14ac:dyDescent="0.15">
      <c r="A27" s="11">
        <f>+MAX(A$3:A26)+1</f>
        <v>17</v>
      </c>
      <c r="B27" s="9" t="s">
        <v>29</v>
      </c>
      <c r="C27" s="8"/>
      <c r="D27" s="9" t="s">
        <v>179</v>
      </c>
    </row>
    <row r="28" spans="1:4" ht="15" x14ac:dyDescent="0.15">
      <c r="A28" s="11"/>
      <c r="B28" s="15" t="s">
        <v>30</v>
      </c>
      <c r="C28" s="8"/>
      <c r="D28" s="9"/>
    </row>
    <row r="29" spans="1:4" ht="15" customHeight="1" x14ac:dyDescent="0.15">
      <c r="A29" s="11">
        <f>+MAX(A$3:A28)+1</f>
        <v>18</v>
      </c>
      <c r="B29" s="9" t="s">
        <v>31</v>
      </c>
      <c r="C29" s="8"/>
      <c r="D29" s="9" t="s">
        <v>180</v>
      </c>
    </row>
    <row r="30" spans="1:4" ht="15" x14ac:dyDescent="0.15">
      <c r="A30" s="11"/>
      <c r="B30" s="15" t="s">
        <v>32</v>
      </c>
      <c r="C30" s="8"/>
      <c r="D30" s="9"/>
    </row>
    <row r="31" spans="1:4" ht="15" x14ac:dyDescent="0.15">
      <c r="A31" s="11">
        <f>+MAX(A$3:A30)+1</f>
        <v>19</v>
      </c>
      <c r="B31" s="9" t="s">
        <v>33</v>
      </c>
      <c r="C31" s="8"/>
      <c r="D31" s="9" t="s">
        <v>179</v>
      </c>
    </row>
    <row r="32" spans="1:4" ht="15" x14ac:dyDescent="0.15">
      <c r="A32" s="11"/>
      <c r="B32" s="15" t="s">
        <v>34</v>
      </c>
      <c r="C32" s="8"/>
      <c r="D32" s="9"/>
    </row>
    <row r="33" spans="1:4" ht="15" x14ac:dyDescent="0.15">
      <c r="A33" s="11">
        <f>+MAX(A$3:A32)+1</f>
        <v>20</v>
      </c>
      <c r="B33" s="9" t="s">
        <v>35</v>
      </c>
      <c r="C33" s="8"/>
      <c r="D33" s="9" t="s">
        <v>180</v>
      </c>
    </row>
    <row r="34" spans="1:4" ht="15" x14ac:dyDescent="0.15">
      <c r="A34" s="11">
        <f>+MAX(A$3:A33)+1</f>
        <v>21</v>
      </c>
      <c r="B34" s="9" t="s">
        <v>36</v>
      </c>
      <c r="C34" s="8"/>
      <c r="D34" s="9" t="s">
        <v>179</v>
      </c>
    </row>
    <row r="35" spans="1:4" ht="15" x14ac:dyDescent="0.15">
      <c r="A35" s="11">
        <f>+MAX(A$3:A34)+1</f>
        <v>22</v>
      </c>
      <c r="B35" s="9" t="s">
        <v>37</v>
      </c>
      <c r="C35" s="8"/>
      <c r="D35" s="9" t="s">
        <v>179</v>
      </c>
    </row>
    <row r="36" spans="1:4" ht="15" x14ac:dyDescent="0.15">
      <c r="A36" s="11">
        <f>+MAX(A$3:A35)+1</f>
        <v>23</v>
      </c>
      <c r="B36" s="9" t="s">
        <v>38</v>
      </c>
      <c r="C36" s="8"/>
      <c r="D36" s="9" t="s">
        <v>179</v>
      </c>
    </row>
    <row r="37" spans="1:4" s="18" customFormat="1" ht="30" x14ac:dyDescent="0.15">
      <c r="A37" s="16"/>
      <c r="B37" s="15" t="s">
        <v>39</v>
      </c>
      <c r="C37" s="17"/>
      <c r="D37" s="15"/>
    </row>
    <row r="38" spans="1:4" ht="30" x14ac:dyDescent="0.15">
      <c r="A38" s="11">
        <f>+MAX(A$3:A37)+1</f>
        <v>24</v>
      </c>
      <c r="B38" s="9" t="s">
        <v>40</v>
      </c>
      <c r="C38" s="8"/>
      <c r="D38" s="9" t="s">
        <v>182</v>
      </c>
    </row>
    <row r="39" spans="1:4" ht="30" x14ac:dyDescent="0.15">
      <c r="A39" s="11">
        <f>+MAX(A$3:A38)+1</f>
        <v>25</v>
      </c>
      <c r="B39" s="9" t="s">
        <v>41</v>
      </c>
      <c r="C39" s="8"/>
      <c r="D39" s="9" t="s">
        <v>182</v>
      </c>
    </row>
    <row r="40" spans="1:4" ht="30" x14ac:dyDescent="0.15">
      <c r="A40" s="11">
        <f>+MAX(A$3:A39)+1</f>
        <v>26</v>
      </c>
      <c r="B40" s="9" t="s">
        <v>42</v>
      </c>
      <c r="C40" s="8"/>
      <c r="D40" s="9" t="s">
        <v>182</v>
      </c>
    </row>
    <row r="41" spans="1:4" ht="30" x14ac:dyDescent="0.15">
      <c r="A41" s="11">
        <f>+MAX(A$3:A40)+1</f>
        <v>27</v>
      </c>
      <c r="B41" s="9" t="s">
        <v>43</v>
      </c>
      <c r="C41" s="8"/>
      <c r="D41" s="9" t="s">
        <v>182</v>
      </c>
    </row>
    <row r="42" spans="1:4" ht="15" x14ac:dyDescent="0.15">
      <c r="A42" s="11">
        <f>+MAX(A$3:A41)+1</f>
        <v>28</v>
      </c>
      <c r="B42" s="9" t="s">
        <v>44</v>
      </c>
      <c r="C42" s="8"/>
      <c r="D42" s="9" t="s">
        <v>182</v>
      </c>
    </row>
    <row r="43" spans="1:4" ht="30" x14ac:dyDescent="0.15">
      <c r="A43" s="11">
        <f>+MAX(A$3:A42)+1</f>
        <v>29</v>
      </c>
      <c r="B43" s="9" t="s">
        <v>45</v>
      </c>
      <c r="C43" s="8"/>
      <c r="D43" s="9" t="s">
        <v>182</v>
      </c>
    </row>
    <row r="44" spans="1:4" ht="45" x14ac:dyDescent="0.15">
      <c r="A44" s="11">
        <f>+MAX(A$3:A43)+1</f>
        <v>30</v>
      </c>
      <c r="B44" s="9" t="s">
        <v>46</v>
      </c>
      <c r="C44" s="8"/>
      <c r="D44" s="9" t="s">
        <v>182</v>
      </c>
    </row>
    <row r="45" spans="1:4" ht="15" x14ac:dyDescent="0.15">
      <c r="A45" s="11"/>
      <c r="B45" s="15" t="s">
        <v>47</v>
      </c>
      <c r="C45" s="8"/>
      <c r="D45" s="9"/>
    </row>
    <row r="46" spans="1:4" ht="15" x14ac:dyDescent="0.15">
      <c r="A46" s="11">
        <f>+MAX(A$3:A45)+1</f>
        <v>31</v>
      </c>
      <c r="B46" s="9" t="s">
        <v>48</v>
      </c>
      <c r="C46" s="8"/>
      <c r="D46" s="9" t="s">
        <v>182</v>
      </c>
    </row>
    <row r="47" spans="1:4" ht="15" x14ac:dyDescent="0.15">
      <c r="A47" s="11">
        <f>+MAX(A$3:A46)+1</f>
        <v>32</v>
      </c>
      <c r="B47" s="9" t="s">
        <v>49</v>
      </c>
      <c r="C47" s="8"/>
      <c r="D47" s="9" t="s">
        <v>182</v>
      </c>
    </row>
    <row r="48" spans="1:4" ht="15" x14ac:dyDescent="0.15">
      <c r="A48" s="11">
        <f>+MAX(A$3:A47)+1</f>
        <v>33</v>
      </c>
      <c r="B48" s="9" t="s">
        <v>50</v>
      </c>
      <c r="C48" s="8"/>
      <c r="D48" s="9" t="s">
        <v>182</v>
      </c>
    </row>
    <row r="49" spans="1:4" ht="15" x14ac:dyDescent="0.15">
      <c r="A49" s="11"/>
      <c r="B49" s="15" t="s">
        <v>51</v>
      </c>
      <c r="C49" s="8"/>
      <c r="D49" s="9"/>
    </row>
    <row r="50" spans="1:4" ht="15" x14ac:dyDescent="0.15">
      <c r="A50" s="11">
        <f>+MAX(A$3:A49)+1</f>
        <v>34</v>
      </c>
      <c r="B50" s="9" t="s">
        <v>52</v>
      </c>
      <c r="C50" s="8"/>
      <c r="D50" s="9" t="s">
        <v>179</v>
      </c>
    </row>
    <row r="51" spans="1:4" ht="15" x14ac:dyDescent="0.15">
      <c r="A51" s="11">
        <f>+MAX(A$3:A50)+1</f>
        <v>35</v>
      </c>
      <c r="B51" s="9" t="s">
        <v>53</v>
      </c>
      <c r="C51" s="8"/>
      <c r="D51" s="9" t="s">
        <v>179</v>
      </c>
    </row>
    <row r="52" spans="1:4" ht="15" x14ac:dyDescent="0.15">
      <c r="A52" s="11">
        <f>+MAX(A$3:A51)+1</f>
        <v>36</v>
      </c>
      <c r="B52" s="9" t="s">
        <v>54</v>
      </c>
      <c r="C52" s="8"/>
      <c r="D52" s="9" t="s">
        <v>180</v>
      </c>
    </row>
    <row r="53" spans="1:4" ht="15" x14ac:dyDescent="0.15">
      <c r="A53" s="11">
        <f>+MAX(A$3:A52)+1</f>
        <v>37</v>
      </c>
      <c r="B53" s="9" t="s">
        <v>55</v>
      </c>
      <c r="C53" s="8">
        <v>0</v>
      </c>
      <c r="D53" s="9" t="s">
        <v>179</v>
      </c>
    </row>
    <row r="54" spans="1:4" ht="30" x14ac:dyDescent="0.15">
      <c r="A54" s="11">
        <f>+MAX(A$3:A53)+1</f>
        <v>38</v>
      </c>
      <c r="B54" s="9" t="s">
        <v>56</v>
      </c>
      <c r="C54" s="8"/>
      <c r="D54" s="9" t="s">
        <v>179</v>
      </c>
    </row>
    <row r="55" spans="1:4" ht="15" x14ac:dyDescent="0.15">
      <c r="A55" s="11">
        <f>+MAX(A$3:A54)+1</f>
        <v>39</v>
      </c>
      <c r="B55" s="9" t="s">
        <v>57</v>
      </c>
      <c r="C55" s="8"/>
      <c r="D55" s="9" t="s">
        <v>180</v>
      </c>
    </row>
    <row r="56" spans="1:4" ht="15" x14ac:dyDescent="0.15">
      <c r="A56" s="11">
        <f>+MAX(A$3:A55)+1</f>
        <v>40</v>
      </c>
      <c r="B56" s="9" t="s">
        <v>58</v>
      </c>
      <c r="C56" s="8"/>
      <c r="D56" s="9" t="s">
        <v>179</v>
      </c>
    </row>
    <row r="57" spans="1:4" ht="15" x14ac:dyDescent="0.15">
      <c r="A57" s="11">
        <f>+MAX(A$3:A56)+1</f>
        <v>41</v>
      </c>
      <c r="B57" s="9" t="s">
        <v>59</v>
      </c>
      <c r="C57" s="8"/>
      <c r="D57" s="9" t="s">
        <v>179</v>
      </c>
    </row>
    <row r="58" spans="1:4" ht="15" x14ac:dyDescent="0.15">
      <c r="A58" s="11"/>
      <c r="B58" s="15" t="s">
        <v>60</v>
      </c>
      <c r="C58" s="8"/>
      <c r="D58" s="9"/>
    </row>
    <row r="59" spans="1:4" ht="15" x14ac:dyDescent="0.15">
      <c r="A59" s="11">
        <f>+MAX(A$3:A58)+1</f>
        <v>42</v>
      </c>
      <c r="B59" s="9" t="s">
        <v>61</v>
      </c>
      <c r="C59" s="8">
        <v>0</v>
      </c>
      <c r="D59" s="9" t="s">
        <v>180</v>
      </c>
    </row>
    <row r="60" spans="1:4" ht="15" x14ac:dyDescent="0.15">
      <c r="A60" s="11">
        <f>+MAX(A$3:A59)+1</f>
        <v>43</v>
      </c>
      <c r="B60" s="9" t="s">
        <v>62</v>
      </c>
      <c r="C60" s="8"/>
      <c r="D60" s="9" t="s">
        <v>180</v>
      </c>
    </row>
    <row r="61" spans="1:4" ht="15" x14ac:dyDescent="0.15">
      <c r="A61" s="11">
        <f>+MAX(A$3:A60)+1</f>
        <v>44</v>
      </c>
      <c r="B61" s="9" t="s">
        <v>63</v>
      </c>
      <c r="C61" s="8"/>
      <c r="D61" s="9" t="s">
        <v>180</v>
      </c>
    </row>
    <row r="62" spans="1:4" ht="15" x14ac:dyDescent="0.15">
      <c r="A62" s="11"/>
      <c r="B62" s="15" t="s">
        <v>64</v>
      </c>
      <c r="C62" s="8"/>
      <c r="D62" s="9"/>
    </row>
    <row r="63" spans="1:4" s="19" customFormat="1" ht="30" x14ac:dyDescent="0.15">
      <c r="A63" s="11">
        <f>+MAX(A$3:A62)+1</f>
        <v>45</v>
      </c>
      <c r="B63" s="9" t="s">
        <v>65</v>
      </c>
      <c r="C63" s="8"/>
      <c r="D63" s="9" t="s">
        <v>180</v>
      </c>
    </row>
    <row r="64" spans="1:4" ht="15" x14ac:dyDescent="0.15">
      <c r="A64" s="11"/>
      <c r="B64" s="15" t="s">
        <v>66</v>
      </c>
      <c r="C64" s="8"/>
      <c r="D64" s="9"/>
    </row>
    <row r="65" spans="1:4" ht="15" x14ac:dyDescent="0.15">
      <c r="A65" s="11">
        <f>+MAX(A$3:A64)+1</f>
        <v>46</v>
      </c>
      <c r="B65" s="9" t="s">
        <v>67</v>
      </c>
      <c r="C65" s="8">
        <v>0</v>
      </c>
      <c r="D65" s="9" t="s">
        <v>179</v>
      </c>
    </row>
    <row r="66" spans="1:4" ht="30" x14ac:dyDescent="0.15">
      <c r="A66" s="11">
        <f>+MAX(A$3:A65)+1</f>
        <v>47</v>
      </c>
      <c r="B66" s="9" t="s">
        <v>68</v>
      </c>
      <c r="C66" s="8"/>
      <c r="D66" s="9" t="s">
        <v>182</v>
      </c>
    </row>
    <row r="67" spans="1:4" ht="15" x14ac:dyDescent="0.15">
      <c r="A67" s="11">
        <f>+MAX(A$3:A66)+1</f>
        <v>48</v>
      </c>
      <c r="B67" s="9" t="s">
        <v>69</v>
      </c>
      <c r="C67" s="8"/>
      <c r="D67" s="9" t="s">
        <v>179</v>
      </c>
    </row>
    <row r="68" spans="1:4" ht="15" x14ac:dyDescent="0.15">
      <c r="A68" s="11">
        <f>+MAX(A$3:A67)+1</f>
        <v>49</v>
      </c>
      <c r="B68" s="9" t="s">
        <v>70</v>
      </c>
      <c r="C68" s="8"/>
      <c r="D68" s="9" t="s">
        <v>182</v>
      </c>
    </row>
    <row r="69" spans="1:4" ht="15" x14ac:dyDescent="0.15">
      <c r="A69" s="11">
        <f>+MAX(A$3:A68)+1</f>
        <v>50</v>
      </c>
      <c r="B69" s="9" t="s">
        <v>71</v>
      </c>
      <c r="C69" s="8"/>
      <c r="D69" s="9" t="s">
        <v>180</v>
      </c>
    </row>
    <row r="70" spans="1:4" ht="15" x14ac:dyDescent="0.15">
      <c r="A70" s="11"/>
      <c r="B70" s="15" t="s">
        <v>72</v>
      </c>
      <c r="C70" s="8"/>
      <c r="D70" s="9"/>
    </row>
    <row r="71" spans="1:4" ht="15" x14ac:dyDescent="0.15">
      <c r="A71" s="11">
        <f>+MAX(A$3:A70)+1</f>
        <v>51</v>
      </c>
      <c r="B71" s="9" t="s">
        <v>73</v>
      </c>
      <c r="C71" s="8">
        <v>0</v>
      </c>
      <c r="D71" s="9" t="s">
        <v>179</v>
      </c>
    </row>
    <row r="72" spans="1:4" ht="15" x14ac:dyDescent="0.15">
      <c r="A72" s="11">
        <f>+MAX(A$3:A71)+1</f>
        <v>52</v>
      </c>
      <c r="B72" s="9" t="s">
        <v>74</v>
      </c>
      <c r="C72" s="8"/>
      <c r="D72" s="9" t="s">
        <v>179</v>
      </c>
    </row>
    <row r="73" spans="1:4" ht="15" x14ac:dyDescent="0.15">
      <c r="A73" s="11">
        <f>+MAX(A$3:A72)+1</f>
        <v>53</v>
      </c>
      <c r="B73" s="9" t="s">
        <v>75</v>
      </c>
      <c r="C73" s="8"/>
      <c r="D73" s="9" t="s">
        <v>179</v>
      </c>
    </row>
    <row r="74" spans="1:4" ht="15" x14ac:dyDescent="0.15">
      <c r="A74" s="11"/>
      <c r="B74" s="15" t="s">
        <v>76</v>
      </c>
      <c r="C74" s="8"/>
      <c r="D74" s="9"/>
    </row>
    <row r="75" spans="1:4" ht="15" x14ac:dyDescent="0.15">
      <c r="A75" s="11">
        <f>+MAX(A$3:A74)+1</f>
        <v>54</v>
      </c>
      <c r="B75" s="9" t="s">
        <v>77</v>
      </c>
      <c r="C75" s="8"/>
      <c r="D75" s="9" t="s">
        <v>181</v>
      </c>
    </row>
    <row r="76" spans="1:4" ht="15" x14ac:dyDescent="0.15">
      <c r="A76" s="11">
        <f>+MAX(A$3:A75)+1</f>
        <v>55</v>
      </c>
      <c r="B76" s="9" t="s">
        <v>78</v>
      </c>
      <c r="C76" s="8"/>
      <c r="D76" s="9" t="s">
        <v>181</v>
      </c>
    </row>
    <row r="77" spans="1:4" ht="15" x14ac:dyDescent="0.15">
      <c r="A77" s="11">
        <f>+MAX(A$3:A76)+1</f>
        <v>56</v>
      </c>
      <c r="B77" s="9" t="s">
        <v>79</v>
      </c>
      <c r="C77" s="8"/>
      <c r="D77" s="9" t="s">
        <v>182</v>
      </c>
    </row>
    <row r="78" spans="1:4" ht="15" x14ac:dyDescent="0.15">
      <c r="A78" s="11">
        <f>+MAX(A$3:A77)+1</f>
        <v>57</v>
      </c>
      <c r="B78" s="9" t="s">
        <v>80</v>
      </c>
      <c r="C78" s="8"/>
      <c r="D78" s="9" t="s">
        <v>182</v>
      </c>
    </row>
    <row r="79" spans="1:4" ht="15" x14ac:dyDescent="0.15">
      <c r="A79" s="11"/>
      <c r="B79" s="15" t="s">
        <v>81</v>
      </c>
      <c r="C79" s="8"/>
      <c r="D79" s="9"/>
    </row>
    <row r="80" spans="1:4" ht="15" x14ac:dyDescent="0.15">
      <c r="A80" s="11">
        <f>+MAX(A$3:A79)+1</f>
        <v>58</v>
      </c>
      <c r="B80" s="9" t="s">
        <v>82</v>
      </c>
      <c r="C80" s="8"/>
      <c r="D80" s="9" t="s">
        <v>180</v>
      </c>
    </row>
    <row r="81" spans="1:4" ht="15" x14ac:dyDescent="0.15">
      <c r="A81" s="11">
        <f>+MAX(A$3:A80)+1</f>
        <v>59</v>
      </c>
      <c r="B81" s="9" t="s">
        <v>83</v>
      </c>
      <c r="C81" s="8">
        <v>0</v>
      </c>
      <c r="D81" s="9" t="s">
        <v>179</v>
      </c>
    </row>
    <row r="82" spans="1:4" ht="15" x14ac:dyDescent="0.15">
      <c r="A82" s="11"/>
      <c r="B82" s="15" t="s">
        <v>84</v>
      </c>
      <c r="C82" s="8"/>
      <c r="D82" s="9"/>
    </row>
    <row r="83" spans="1:4" ht="15" x14ac:dyDescent="0.15">
      <c r="A83" s="11">
        <f>+MAX(A$3:A82)+1</f>
        <v>60</v>
      </c>
      <c r="B83" s="9" t="s">
        <v>85</v>
      </c>
      <c r="C83" s="8"/>
      <c r="D83" s="9" t="s">
        <v>179</v>
      </c>
    </row>
    <row r="84" spans="1:4" ht="15" x14ac:dyDescent="0.15">
      <c r="A84" s="11"/>
      <c r="B84" s="15" t="s">
        <v>86</v>
      </c>
      <c r="C84" s="8"/>
      <c r="D84" s="9"/>
    </row>
    <row r="85" spans="1:4" ht="15" x14ac:dyDescent="0.15">
      <c r="A85" s="11">
        <f>+MAX(A$3:A84)+1</f>
        <v>61</v>
      </c>
      <c r="B85" s="9" t="s">
        <v>87</v>
      </c>
      <c r="C85" s="8"/>
      <c r="D85" s="9" t="s">
        <v>182</v>
      </c>
    </row>
    <row r="86" spans="1:4" ht="15" x14ac:dyDescent="0.15">
      <c r="A86" s="11">
        <f>+MAX(A$3:A85)+1</f>
        <v>62</v>
      </c>
      <c r="B86" s="9" t="s">
        <v>88</v>
      </c>
      <c r="C86" s="8"/>
      <c r="D86" s="9" t="s">
        <v>182</v>
      </c>
    </row>
    <row r="87" spans="1:4" ht="15" x14ac:dyDescent="0.15">
      <c r="A87" s="11">
        <f>+MAX(A$3:A86)+1</f>
        <v>63</v>
      </c>
      <c r="B87" s="9" t="s">
        <v>89</v>
      </c>
      <c r="C87" s="8"/>
      <c r="D87" s="9" t="s">
        <v>182</v>
      </c>
    </row>
    <row r="88" spans="1:4" ht="30" x14ac:dyDescent="0.15">
      <c r="A88" s="11">
        <f>+MAX(A$3:A87)+1</f>
        <v>64</v>
      </c>
      <c r="B88" s="9" t="s">
        <v>90</v>
      </c>
      <c r="C88" s="8"/>
      <c r="D88" s="9" t="s">
        <v>182</v>
      </c>
    </row>
    <row r="89" spans="1:4" ht="15" x14ac:dyDescent="0.15">
      <c r="A89" s="11">
        <f>+MAX(A$3:A88)+1</f>
        <v>65</v>
      </c>
      <c r="B89" s="9" t="s">
        <v>91</v>
      </c>
      <c r="C89" s="8">
        <v>0</v>
      </c>
      <c r="D89" s="9" t="s">
        <v>179</v>
      </c>
    </row>
    <row r="90" spans="1:4" ht="15" x14ac:dyDescent="0.15">
      <c r="A90" s="11"/>
      <c r="B90" s="15" t="s">
        <v>92</v>
      </c>
      <c r="C90" s="8"/>
      <c r="D90" s="9"/>
    </row>
    <row r="91" spans="1:4" ht="15" x14ac:dyDescent="0.15">
      <c r="A91" s="11">
        <f>+MAX(A$3:A90)+1</f>
        <v>66</v>
      </c>
      <c r="B91" s="9" t="s">
        <v>93</v>
      </c>
      <c r="C91" s="8">
        <v>0</v>
      </c>
      <c r="D91" s="9" t="s">
        <v>179</v>
      </c>
    </row>
    <row r="92" spans="1:4" ht="15" x14ac:dyDescent="0.15">
      <c r="A92" s="11"/>
      <c r="B92" s="15" t="s">
        <v>94</v>
      </c>
      <c r="C92" s="8"/>
      <c r="D92" s="9"/>
    </row>
    <row r="93" spans="1:4" ht="30" x14ac:dyDescent="0.15">
      <c r="A93" s="11">
        <f>+MAX(A$3:A92)+1</f>
        <v>67</v>
      </c>
      <c r="B93" s="9" t="s">
        <v>95</v>
      </c>
      <c r="C93" s="8"/>
      <c r="D93" s="9" t="s">
        <v>179</v>
      </c>
    </row>
    <row r="94" spans="1:4" ht="15" x14ac:dyDescent="0.15">
      <c r="A94" s="11">
        <f>+MAX(A$3:A93)+1</f>
        <v>68</v>
      </c>
      <c r="B94" s="9" t="s">
        <v>96</v>
      </c>
      <c r="C94" s="8">
        <v>1</v>
      </c>
      <c r="D94" s="9" t="s">
        <v>179</v>
      </c>
    </row>
    <row r="95" spans="1:4" ht="15" x14ac:dyDescent="0.15">
      <c r="A95" s="11">
        <f>+MAX(A$3:A94)+1</f>
        <v>69</v>
      </c>
      <c r="B95" s="9" t="s">
        <v>97</v>
      </c>
      <c r="C95" s="8">
        <v>0</v>
      </c>
      <c r="D95" s="9" t="s">
        <v>179</v>
      </c>
    </row>
    <row r="96" spans="1:4" ht="15" x14ac:dyDescent="0.15">
      <c r="A96" s="11"/>
      <c r="B96" s="15" t="s">
        <v>98</v>
      </c>
      <c r="C96" s="8"/>
      <c r="D96" s="9"/>
    </row>
    <row r="97" spans="1:4" ht="15" x14ac:dyDescent="0.15">
      <c r="A97" s="11">
        <f>+MAX(A$3:A96)+1</f>
        <v>70</v>
      </c>
      <c r="B97" s="9" t="s">
        <v>99</v>
      </c>
      <c r="C97" s="8"/>
      <c r="D97" s="9" t="s">
        <v>182</v>
      </c>
    </row>
    <row r="98" spans="1:4" ht="15" x14ac:dyDescent="0.15">
      <c r="A98" s="11">
        <f>+MAX(A$3:A97)+1</f>
        <v>71</v>
      </c>
      <c r="B98" s="9" t="s">
        <v>100</v>
      </c>
      <c r="C98" s="8"/>
      <c r="D98" s="9" t="s">
        <v>182</v>
      </c>
    </row>
    <row r="99" spans="1:4" ht="15" x14ac:dyDescent="0.15">
      <c r="A99" s="11"/>
      <c r="B99" s="15" t="s">
        <v>101</v>
      </c>
      <c r="C99" s="8"/>
      <c r="D99" s="9"/>
    </row>
    <row r="100" spans="1:4" ht="15" x14ac:dyDescent="0.15">
      <c r="A100" s="11">
        <f>+MAX(A$3:A99)+1</f>
        <v>72</v>
      </c>
      <c r="B100" s="9" t="s">
        <v>102</v>
      </c>
      <c r="C100" s="8"/>
      <c r="D100" s="9" t="s">
        <v>180</v>
      </c>
    </row>
    <row r="101" spans="1:4" ht="15" x14ac:dyDescent="0.15">
      <c r="A101" s="11">
        <f>+MAX(A$3:A100)+1</f>
        <v>73</v>
      </c>
      <c r="B101" s="9" t="s">
        <v>103</v>
      </c>
      <c r="C101" s="8"/>
      <c r="D101" s="9" t="s">
        <v>180</v>
      </c>
    </row>
    <row r="102" spans="1:4" ht="15" x14ac:dyDescent="0.15">
      <c r="A102" s="11">
        <f>+MAX(A$3:A101)+1</f>
        <v>74</v>
      </c>
      <c r="B102" s="9" t="s">
        <v>104</v>
      </c>
      <c r="C102" s="8"/>
      <c r="D102" s="9" t="s">
        <v>180</v>
      </c>
    </row>
    <row r="103" spans="1:4" ht="15" x14ac:dyDescent="0.15">
      <c r="A103" s="11">
        <f>+MAX(A$3:A102)+1</f>
        <v>75</v>
      </c>
      <c r="B103" s="9" t="s">
        <v>105</v>
      </c>
      <c r="C103" s="8"/>
      <c r="D103" s="9" t="s">
        <v>180</v>
      </c>
    </row>
    <row r="104" spans="1:4" ht="15" x14ac:dyDescent="0.15">
      <c r="A104" s="11"/>
      <c r="B104" s="15" t="s">
        <v>106</v>
      </c>
      <c r="C104" s="8"/>
      <c r="D104" s="9"/>
    </row>
    <row r="105" spans="1:4" ht="15" x14ac:dyDescent="0.15">
      <c r="A105" s="11">
        <f>+MAX(A$3:A104)+1</f>
        <v>76</v>
      </c>
      <c r="B105" s="9" t="s">
        <v>107</v>
      </c>
      <c r="C105" s="8">
        <v>0</v>
      </c>
      <c r="D105" s="9" t="s">
        <v>182</v>
      </c>
    </row>
    <row r="106" spans="1:4" ht="30" x14ac:dyDescent="0.15">
      <c r="A106" s="11">
        <f>+MAX(A$3:A105)+1</f>
        <v>77</v>
      </c>
      <c r="B106" s="9" t="s">
        <v>108</v>
      </c>
      <c r="C106" s="8"/>
      <c r="D106" s="9" t="s">
        <v>182</v>
      </c>
    </row>
    <row r="107" spans="1:4" ht="15" x14ac:dyDescent="0.15">
      <c r="A107" s="11"/>
      <c r="B107" s="15" t="s">
        <v>109</v>
      </c>
      <c r="C107" s="8"/>
      <c r="D107" s="9"/>
    </row>
    <row r="108" spans="1:4" ht="30" x14ac:dyDescent="0.15">
      <c r="A108" s="11">
        <f>+MAX(A$3:A107)+1</f>
        <v>78</v>
      </c>
      <c r="B108" s="9" t="s">
        <v>110</v>
      </c>
      <c r="C108" s="8">
        <v>0</v>
      </c>
      <c r="D108" s="9" t="s">
        <v>182</v>
      </c>
    </row>
    <row r="109" spans="1:4" ht="15" x14ac:dyDescent="0.15">
      <c r="A109" s="11">
        <f>+MAX(A$3:A108)+1</f>
        <v>79</v>
      </c>
      <c r="B109" s="9" t="s">
        <v>111</v>
      </c>
      <c r="C109" s="8"/>
      <c r="D109" s="9" t="s">
        <v>182</v>
      </c>
    </row>
    <row r="110" spans="1:4" ht="15" x14ac:dyDescent="0.15">
      <c r="A110" s="11">
        <f>+MAX(A$3:A109)+1</f>
        <v>80</v>
      </c>
      <c r="B110" s="9" t="s">
        <v>112</v>
      </c>
      <c r="C110" s="8"/>
      <c r="D110" s="9" t="s">
        <v>182</v>
      </c>
    </row>
    <row r="111" spans="1:4" ht="15" x14ac:dyDescent="0.15">
      <c r="A111" s="11"/>
      <c r="B111" s="15" t="s">
        <v>113</v>
      </c>
      <c r="C111" s="8"/>
      <c r="D111" s="9"/>
    </row>
    <row r="112" spans="1:4" s="19" customFormat="1" ht="15" x14ac:dyDescent="0.15">
      <c r="A112" s="11">
        <f>+MAX(A$3:A111)+1</f>
        <v>81</v>
      </c>
      <c r="B112" s="9" t="s">
        <v>114</v>
      </c>
      <c r="C112" s="8"/>
      <c r="D112" s="9" t="s">
        <v>182</v>
      </c>
    </row>
    <row r="113" spans="1:4" s="19" customFormat="1" ht="15" x14ac:dyDescent="0.15">
      <c r="A113" s="11">
        <f>+MAX(A$3:A112)+1</f>
        <v>82</v>
      </c>
      <c r="B113" s="9" t="s">
        <v>115</v>
      </c>
      <c r="C113" s="8"/>
      <c r="D113" s="9" t="s">
        <v>182</v>
      </c>
    </row>
    <row r="114" spans="1:4" ht="15" x14ac:dyDescent="0.15">
      <c r="A114" s="11"/>
      <c r="B114" s="15" t="s">
        <v>116</v>
      </c>
      <c r="C114" s="8"/>
      <c r="D114" s="9"/>
    </row>
    <row r="115" spans="1:4" ht="30" x14ac:dyDescent="0.15">
      <c r="A115" s="11">
        <f>+MAX(A$3:A114)+1</f>
        <v>83</v>
      </c>
      <c r="B115" s="9" t="s">
        <v>117</v>
      </c>
      <c r="C115" s="8">
        <v>0</v>
      </c>
      <c r="D115" s="9" t="s">
        <v>179</v>
      </c>
    </row>
    <row r="116" spans="1:4" ht="15" x14ac:dyDescent="0.15">
      <c r="A116" s="11">
        <f>+MAX(A$3:A115)+1</f>
        <v>84</v>
      </c>
      <c r="B116" s="9" t="s">
        <v>118</v>
      </c>
      <c r="C116" s="8"/>
      <c r="D116" s="9" t="s">
        <v>180</v>
      </c>
    </row>
    <row r="117" spans="1:4" ht="15" x14ac:dyDescent="0.15">
      <c r="A117" s="11">
        <f>+MAX(A$3:A116)+1</f>
        <v>85</v>
      </c>
      <c r="B117" s="9" t="s">
        <v>119</v>
      </c>
      <c r="C117" s="8"/>
      <c r="D117" s="9" t="s">
        <v>180</v>
      </c>
    </row>
    <row r="118" spans="1:4" ht="15" x14ac:dyDescent="0.15">
      <c r="A118" s="11"/>
      <c r="B118" s="15" t="s">
        <v>120</v>
      </c>
      <c r="C118" s="8"/>
      <c r="D118" s="9"/>
    </row>
    <row r="119" spans="1:4" ht="15" x14ac:dyDescent="0.15">
      <c r="A119" s="11">
        <f>+MAX(A$3:A118)+1</f>
        <v>86</v>
      </c>
      <c r="B119" s="9" t="s">
        <v>121</v>
      </c>
      <c r="C119" s="8"/>
      <c r="D119" s="9" t="s">
        <v>182</v>
      </c>
    </row>
    <row r="120" spans="1:4" ht="30" x14ac:dyDescent="0.15">
      <c r="A120" s="11">
        <f>+MAX(A$3:A119)+1</f>
        <v>87</v>
      </c>
      <c r="B120" s="9" t="s">
        <v>122</v>
      </c>
      <c r="C120" s="8"/>
      <c r="D120" s="9" t="s">
        <v>182</v>
      </c>
    </row>
    <row r="121" spans="1:4" ht="30" x14ac:dyDescent="0.15">
      <c r="A121" s="11">
        <f>+MAX(A$3:A120)+1</f>
        <v>88</v>
      </c>
      <c r="B121" s="9" t="s">
        <v>123</v>
      </c>
      <c r="C121" s="8"/>
      <c r="D121" s="9" t="s">
        <v>182</v>
      </c>
    </row>
    <row r="122" spans="1:4" ht="15" x14ac:dyDescent="0.15">
      <c r="A122" s="11"/>
      <c r="B122" s="15" t="s">
        <v>124</v>
      </c>
      <c r="C122" s="8"/>
      <c r="D122" s="9"/>
    </row>
    <row r="123" spans="1:4" ht="15" x14ac:dyDescent="0.15">
      <c r="A123" s="11">
        <f>+MAX(A$3:A122)+1</f>
        <v>89</v>
      </c>
      <c r="B123" s="9" t="s">
        <v>125</v>
      </c>
      <c r="C123" s="8"/>
      <c r="D123" s="9" t="s">
        <v>182</v>
      </c>
    </row>
    <row r="124" spans="1:4" ht="15" x14ac:dyDescent="0.15">
      <c r="A124" s="11">
        <f>+MAX(A$3:A123)+1</f>
        <v>90</v>
      </c>
      <c r="B124" s="9" t="s">
        <v>126</v>
      </c>
      <c r="C124" s="8"/>
      <c r="D124" s="9" t="s">
        <v>182</v>
      </c>
    </row>
    <row r="125" spans="1:4" ht="15" x14ac:dyDescent="0.15">
      <c r="A125" s="11">
        <f>+MAX(A$3:A124)+1</f>
        <v>91</v>
      </c>
      <c r="B125" s="9" t="s">
        <v>127</v>
      </c>
      <c r="C125" s="8"/>
      <c r="D125" s="9" t="s">
        <v>182</v>
      </c>
    </row>
    <row r="127" spans="1:4" ht="15" x14ac:dyDescent="0.15">
      <c r="B127" s="13" t="s">
        <v>173</v>
      </c>
      <c r="D127" s="13"/>
    </row>
  </sheetData>
  <autoFilter ref="A3:D125" xr:uid="{00000000-0009-0000-0000-000003000000}"/>
  <mergeCells count="1">
    <mergeCell ref="A1:D1"/>
  </mergeCells>
  <pageMargins left="0.28999999999999998" right="0.17" top="0.37" bottom="0.39" header="0.31496062992125984" footer="0.31496062992125984"/>
  <pageSetup paperSize="9" scale="77" fitToHeight="3"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B7E09-44B7-8947-82E8-D0184F1B36A6}">
  <sheetPr>
    <pageSetUpPr fitToPage="1"/>
  </sheetPr>
  <dimension ref="A1:F33"/>
  <sheetViews>
    <sheetView view="pageBreakPreview" zoomScaleNormal="100" zoomScaleSheetLayoutView="100" workbookViewId="0">
      <selection activeCell="A4" sqref="A4:E4"/>
    </sheetView>
  </sheetViews>
  <sheetFormatPr baseColWidth="10" defaultColWidth="9.1640625" defaultRowHeight="14" x14ac:dyDescent="0.15"/>
  <cols>
    <col min="1" max="1" width="3.83203125" style="1" bestFit="1" customWidth="1"/>
    <col min="2" max="2" width="58.5" style="10" customWidth="1"/>
    <col min="3" max="3" width="11.83203125" style="1" customWidth="1"/>
    <col min="4" max="4" width="15.83203125" style="1" customWidth="1"/>
    <col min="5" max="5" width="19.83203125" style="1" customWidth="1"/>
    <col min="6" max="6" width="18.83203125" style="1" customWidth="1"/>
    <col min="7" max="16384" width="9.1640625" style="1"/>
  </cols>
  <sheetData>
    <row r="1" spans="1:6" ht="44.5" customHeight="1" x14ac:dyDescent="0.15">
      <c r="A1" s="242" t="s">
        <v>511</v>
      </c>
      <c r="B1" s="242"/>
      <c r="C1" s="242"/>
      <c r="D1" s="242"/>
      <c r="E1" s="242"/>
    </row>
    <row r="2" spans="1:6" ht="28.5" customHeight="1" x14ac:dyDescent="0.15">
      <c r="A2" s="242" t="s">
        <v>165</v>
      </c>
      <c r="B2" s="242"/>
      <c r="C2" s="242"/>
      <c r="D2" s="242"/>
      <c r="E2" s="242"/>
    </row>
    <row r="4" spans="1:6" s="6" customFormat="1" ht="75" x14ac:dyDescent="0.2">
      <c r="A4" s="7" t="s">
        <v>0</v>
      </c>
      <c r="B4" s="3" t="s">
        <v>510</v>
      </c>
      <c r="C4" s="3" t="s">
        <v>509</v>
      </c>
      <c r="D4" s="3" t="s">
        <v>508</v>
      </c>
      <c r="E4" s="3" t="s">
        <v>507</v>
      </c>
      <c r="F4" s="3" t="s">
        <v>506</v>
      </c>
    </row>
    <row r="5" spans="1:6" s="6" customFormat="1" ht="15" customHeight="1" x14ac:dyDescent="0.2">
      <c r="A5" s="240" t="s">
        <v>505</v>
      </c>
      <c r="B5" s="241"/>
      <c r="C5" s="43" t="s">
        <v>504</v>
      </c>
      <c r="D5" s="3" t="s">
        <v>503</v>
      </c>
      <c r="E5" s="3" t="s">
        <v>503</v>
      </c>
      <c r="F5" s="3"/>
    </row>
    <row r="6" spans="1:6" ht="30" x14ac:dyDescent="0.15">
      <c r="A6" s="5">
        <v>1</v>
      </c>
      <c r="B6" s="34" t="s">
        <v>153</v>
      </c>
      <c r="C6" s="4" t="s">
        <v>183</v>
      </c>
      <c r="D6" s="5" t="s">
        <v>378</v>
      </c>
      <c r="E6" s="47" t="s">
        <v>502</v>
      </c>
      <c r="F6" s="4"/>
    </row>
    <row r="7" spans="1:6" ht="30" x14ac:dyDescent="0.15">
      <c r="A7" s="5">
        <f>MAX(A$4:A6)+1</f>
        <v>2</v>
      </c>
      <c r="B7" s="34" t="s">
        <v>140</v>
      </c>
      <c r="C7" s="4" t="s">
        <v>184</v>
      </c>
      <c r="D7" s="5" t="s">
        <v>357</v>
      </c>
      <c r="E7" s="237" t="s">
        <v>501</v>
      </c>
      <c r="F7" s="34" t="s">
        <v>500</v>
      </c>
    </row>
    <row r="8" spans="1:6" ht="15" x14ac:dyDescent="0.15">
      <c r="A8" s="5">
        <f>MAX(A$4:A7)+1</f>
        <v>3</v>
      </c>
      <c r="B8" s="34" t="s">
        <v>143</v>
      </c>
      <c r="C8" s="4" t="s">
        <v>184</v>
      </c>
      <c r="D8" s="5" t="s">
        <v>357</v>
      </c>
      <c r="E8" s="239"/>
      <c r="F8" s="34"/>
    </row>
    <row r="9" spans="1:6" ht="60" x14ac:dyDescent="0.15">
      <c r="A9" s="5">
        <f>MAX(A$4:A8)+1</f>
        <v>4</v>
      </c>
      <c r="B9" s="34" t="s">
        <v>147</v>
      </c>
      <c r="C9" s="4" t="s">
        <v>184</v>
      </c>
      <c r="D9" s="5" t="s">
        <v>346</v>
      </c>
      <c r="E9" s="237" t="s">
        <v>499</v>
      </c>
      <c r="F9" s="34" t="s">
        <v>498</v>
      </c>
    </row>
    <row r="10" spans="1:6" ht="78.75" customHeight="1" x14ac:dyDescent="0.15">
      <c r="A10" s="5">
        <f>MAX(A$4:A9)+1</f>
        <v>5</v>
      </c>
      <c r="B10" s="34" t="s">
        <v>154</v>
      </c>
      <c r="C10" s="4" t="s">
        <v>184</v>
      </c>
      <c r="D10" s="5" t="s">
        <v>346</v>
      </c>
      <c r="E10" s="238"/>
      <c r="F10" s="34"/>
    </row>
    <row r="11" spans="1:6" ht="30" x14ac:dyDescent="0.15">
      <c r="A11" s="5">
        <f>MAX(A$4:A10)+1</f>
        <v>6</v>
      </c>
      <c r="B11" s="34" t="s">
        <v>155</v>
      </c>
      <c r="C11" s="4" t="s">
        <v>184</v>
      </c>
      <c r="D11" s="5" t="s">
        <v>346</v>
      </c>
      <c r="E11" s="238"/>
      <c r="F11" s="34"/>
    </row>
    <row r="12" spans="1:6" ht="30" x14ac:dyDescent="0.15">
      <c r="A12" s="5">
        <f>MAX(A$4:A11)+1</f>
        <v>7</v>
      </c>
      <c r="B12" s="34" t="s">
        <v>156</v>
      </c>
      <c r="C12" s="4" t="s">
        <v>184</v>
      </c>
      <c r="D12" s="5" t="s">
        <v>346</v>
      </c>
      <c r="E12" s="238"/>
      <c r="F12" s="34"/>
    </row>
    <row r="13" spans="1:6" ht="30" x14ac:dyDescent="0.15">
      <c r="A13" s="5">
        <f>MAX(A$4:A12)+1</f>
        <v>8</v>
      </c>
      <c r="B13" s="34" t="s">
        <v>157</v>
      </c>
      <c r="C13" s="4" t="s">
        <v>184</v>
      </c>
      <c r="D13" s="5" t="s">
        <v>346</v>
      </c>
      <c r="E13" s="238"/>
      <c r="F13" s="34"/>
    </row>
    <row r="14" spans="1:6" ht="30" x14ac:dyDescent="0.15">
      <c r="A14" s="5">
        <f>MAX(A$4:A13)+1</f>
        <v>9</v>
      </c>
      <c r="B14" s="34" t="s">
        <v>158</v>
      </c>
      <c r="C14" s="4" t="s">
        <v>184</v>
      </c>
      <c r="D14" s="5" t="s">
        <v>346</v>
      </c>
      <c r="E14" s="239"/>
      <c r="F14" s="34"/>
    </row>
    <row r="15" spans="1:6" ht="30" x14ac:dyDescent="0.15">
      <c r="A15" s="5">
        <f>MAX(A$4:A14)+1</f>
        <v>10</v>
      </c>
      <c r="B15" s="34" t="s">
        <v>137</v>
      </c>
      <c r="C15" s="4" t="s">
        <v>496</v>
      </c>
      <c r="D15" s="5" t="s">
        <v>495</v>
      </c>
      <c r="E15" s="237" t="s">
        <v>497</v>
      </c>
      <c r="F15" s="34"/>
    </row>
    <row r="16" spans="1:6" ht="36" customHeight="1" x14ac:dyDescent="0.15">
      <c r="A16" s="5">
        <f>MAX(A$4:A15)+1</f>
        <v>11</v>
      </c>
      <c r="B16" s="34" t="s">
        <v>138</v>
      </c>
      <c r="C16" s="4" t="s">
        <v>496</v>
      </c>
      <c r="D16" s="5" t="s">
        <v>495</v>
      </c>
      <c r="E16" s="238"/>
      <c r="F16" s="34"/>
    </row>
    <row r="17" spans="1:6" ht="63" customHeight="1" x14ac:dyDescent="0.15">
      <c r="A17" s="5">
        <f>MAX(A$4:A16)+1</f>
        <v>12</v>
      </c>
      <c r="B17" s="34" t="s">
        <v>159</v>
      </c>
      <c r="C17" s="4" t="s">
        <v>496</v>
      </c>
      <c r="D17" s="5" t="s">
        <v>495</v>
      </c>
      <c r="E17" s="238"/>
      <c r="F17" s="34"/>
    </row>
    <row r="18" spans="1:6" ht="49.5" customHeight="1" x14ac:dyDescent="0.15">
      <c r="A18" s="5">
        <f>MAX(A$4:A17)+1</f>
        <v>13</v>
      </c>
      <c r="B18" s="34" t="s">
        <v>160</v>
      </c>
      <c r="C18" s="4" t="s">
        <v>496</v>
      </c>
      <c r="D18" s="5" t="s">
        <v>495</v>
      </c>
      <c r="E18" s="239"/>
      <c r="F18" s="34"/>
    </row>
    <row r="19" spans="1:6" ht="30" x14ac:dyDescent="0.15">
      <c r="A19" s="5">
        <f>MAX(A$4:A18)+1</f>
        <v>14</v>
      </c>
      <c r="B19" s="34" t="s">
        <v>142</v>
      </c>
      <c r="C19" s="4" t="s">
        <v>184</v>
      </c>
      <c r="D19" s="5" t="s">
        <v>492</v>
      </c>
      <c r="E19" s="237" t="s">
        <v>494</v>
      </c>
      <c r="F19" s="34" t="s">
        <v>493</v>
      </c>
    </row>
    <row r="20" spans="1:6" ht="30" x14ac:dyDescent="0.15">
      <c r="A20" s="5">
        <f>MAX(A$4:A19)+1</f>
        <v>15</v>
      </c>
      <c r="B20" s="34" t="s">
        <v>144</v>
      </c>
      <c r="C20" s="4" t="s">
        <v>184</v>
      </c>
      <c r="D20" s="5" t="s">
        <v>492</v>
      </c>
      <c r="E20" s="239"/>
      <c r="F20" s="34"/>
    </row>
    <row r="21" spans="1:6" ht="50.25" customHeight="1" x14ac:dyDescent="0.15">
      <c r="A21" s="5">
        <f>MAX(A$4:A20)+1</f>
        <v>16</v>
      </c>
      <c r="B21" s="34" t="s">
        <v>145</v>
      </c>
      <c r="C21" s="4" t="s">
        <v>184</v>
      </c>
      <c r="D21" s="5" t="s">
        <v>489</v>
      </c>
      <c r="E21" s="237" t="s">
        <v>491</v>
      </c>
      <c r="F21" s="34" t="s">
        <v>490</v>
      </c>
    </row>
    <row r="22" spans="1:6" ht="30" x14ac:dyDescent="0.15">
      <c r="A22" s="5">
        <f>MAX(A$4:A21)+1</f>
        <v>17</v>
      </c>
      <c r="B22" s="34" t="s">
        <v>146</v>
      </c>
      <c r="C22" s="4" t="s">
        <v>184</v>
      </c>
      <c r="D22" s="5" t="s">
        <v>489</v>
      </c>
      <c r="E22" s="239"/>
      <c r="F22" s="34"/>
    </row>
    <row r="23" spans="1:6" ht="14.25" customHeight="1" x14ac:dyDescent="0.15">
      <c r="A23" s="5">
        <f>MAX(A$4:A22)+1</f>
        <v>18</v>
      </c>
      <c r="B23" s="34" t="s">
        <v>139</v>
      </c>
      <c r="C23" s="4" t="s">
        <v>184</v>
      </c>
      <c r="D23" s="5" t="s">
        <v>362</v>
      </c>
      <c r="E23" s="237" t="s">
        <v>488</v>
      </c>
      <c r="F23" s="34"/>
    </row>
    <row r="24" spans="1:6" ht="30" x14ac:dyDescent="0.15">
      <c r="A24" s="5">
        <f>MAX(A$4:A23)+1</f>
        <v>19</v>
      </c>
      <c r="B24" s="34" t="s">
        <v>141</v>
      </c>
      <c r="C24" s="4" t="s">
        <v>184</v>
      </c>
      <c r="D24" s="5" t="s">
        <v>362</v>
      </c>
      <c r="E24" s="239"/>
      <c r="F24" s="34"/>
    </row>
    <row r="25" spans="1:6" ht="30" x14ac:dyDescent="0.15">
      <c r="A25" s="5">
        <f>MAX(A$4:A24)+1</f>
        <v>20</v>
      </c>
      <c r="B25" s="34" t="s">
        <v>148</v>
      </c>
      <c r="C25" s="4" t="s">
        <v>183</v>
      </c>
      <c r="D25" s="5" t="s">
        <v>410</v>
      </c>
      <c r="E25" s="237" t="s">
        <v>487</v>
      </c>
      <c r="F25" s="34" t="s">
        <v>486</v>
      </c>
    </row>
    <row r="26" spans="1:6" ht="45" x14ac:dyDescent="0.15">
      <c r="A26" s="5">
        <f>MAX(A$4:A25)+1</f>
        <v>21</v>
      </c>
      <c r="B26" s="34" t="s">
        <v>149</v>
      </c>
      <c r="C26" s="4" t="s">
        <v>183</v>
      </c>
      <c r="D26" s="5" t="s">
        <v>410</v>
      </c>
      <c r="E26" s="238"/>
      <c r="F26" s="34"/>
    </row>
    <row r="27" spans="1:6" ht="30" x14ac:dyDescent="0.15">
      <c r="A27" s="5">
        <f>MAX(A$4:A26)+1</f>
        <v>22</v>
      </c>
      <c r="B27" s="34" t="s">
        <v>150</v>
      </c>
      <c r="C27" s="4" t="s">
        <v>183</v>
      </c>
      <c r="D27" s="5" t="s">
        <v>410</v>
      </c>
      <c r="E27" s="238"/>
      <c r="F27" s="34"/>
    </row>
    <row r="28" spans="1:6" ht="30" x14ac:dyDescent="0.15">
      <c r="A28" s="5">
        <f>MAX(A$4:A27)+1</f>
        <v>23</v>
      </c>
      <c r="B28" s="34" t="s">
        <v>151</v>
      </c>
      <c r="C28" s="4" t="s">
        <v>183</v>
      </c>
      <c r="D28" s="5" t="s">
        <v>410</v>
      </c>
      <c r="E28" s="238"/>
      <c r="F28" s="34"/>
    </row>
    <row r="29" spans="1:6" ht="30" x14ac:dyDescent="0.15">
      <c r="A29" s="5">
        <f>MAX(A$4:A28)+1</f>
        <v>24</v>
      </c>
      <c r="B29" s="34" t="s">
        <v>152</v>
      </c>
      <c r="C29" s="4" t="s">
        <v>183</v>
      </c>
      <c r="D29" s="5" t="s">
        <v>410</v>
      </c>
      <c r="E29" s="238"/>
      <c r="F29" s="34"/>
    </row>
    <row r="30" spans="1:6" ht="30" x14ac:dyDescent="0.15">
      <c r="A30" s="5">
        <f>MAX(A$4:A29)+1</f>
        <v>25</v>
      </c>
      <c r="B30" s="34" t="s">
        <v>161</v>
      </c>
      <c r="C30" s="4" t="s">
        <v>183</v>
      </c>
      <c r="D30" s="5" t="s">
        <v>410</v>
      </c>
      <c r="E30" s="238"/>
      <c r="F30" s="34"/>
    </row>
    <row r="31" spans="1:6" ht="45" x14ac:dyDescent="0.15">
      <c r="A31" s="5">
        <f>MAX(A$4:A30)+1</f>
        <v>26</v>
      </c>
      <c r="B31" s="34" t="s">
        <v>485</v>
      </c>
      <c r="C31" s="4" t="s">
        <v>183</v>
      </c>
      <c r="D31" s="5" t="s">
        <v>410</v>
      </c>
      <c r="E31" s="239"/>
      <c r="F31" s="34"/>
    </row>
    <row r="32" spans="1:6" x14ac:dyDescent="0.15">
      <c r="A32" s="46"/>
    </row>
    <row r="33" spans="2:5" ht="39.5" customHeight="1" x14ac:dyDescent="0.15">
      <c r="B33" s="243" t="s">
        <v>484</v>
      </c>
      <c r="C33" s="243"/>
      <c r="D33" s="243"/>
      <c r="E33" s="243"/>
    </row>
  </sheetData>
  <mergeCells count="11">
    <mergeCell ref="E9:E14"/>
    <mergeCell ref="A5:B5"/>
    <mergeCell ref="A1:E1"/>
    <mergeCell ref="A2:E2"/>
    <mergeCell ref="B33:E33"/>
    <mergeCell ref="E25:E31"/>
    <mergeCell ref="E23:E24"/>
    <mergeCell ref="E7:E8"/>
    <mergeCell ref="E21:E22"/>
    <mergeCell ref="E19:E20"/>
    <mergeCell ref="E15:E18"/>
  </mergeCells>
  <printOptions horizontalCentered="1"/>
  <pageMargins left="0.23622047244094491" right="0.23622047244094491" top="0.35" bottom="0.23622047244094491" header="0.11811023622047245" footer="0.19685039370078741"/>
  <pageSetup paperSize="9" scale="84" fitToHeight="10" orientation="portrait" horizontalDpi="4294967295" verticalDpi="4294967295" r:id="rId1"/>
  <rowBreaks count="1" manualBreakCount="1">
    <brk id="22" max="4"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7B2AC-BB9A-CC43-A1FE-0BD7264E96C9}">
  <sheetPr>
    <pageSetUpPr fitToPage="1"/>
  </sheetPr>
  <dimension ref="A1:E26"/>
  <sheetViews>
    <sheetView view="pageBreakPreview" zoomScaleNormal="100" zoomScaleSheetLayoutView="100" workbookViewId="0">
      <selection activeCell="C3" sqref="C3"/>
    </sheetView>
  </sheetViews>
  <sheetFormatPr baseColWidth="10" defaultColWidth="11.5" defaultRowHeight="18" x14ac:dyDescent="0.2"/>
  <cols>
    <col min="1" max="1" width="4.5" style="48" bestFit="1" customWidth="1"/>
    <col min="2" max="2" width="44.6640625" style="48" customWidth="1"/>
    <col min="3" max="3" width="33.83203125" style="48" customWidth="1"/>
    <col min="4" max="4" width="34.33203125" style="49" customWidth="1"/>
    <col min="5" max="16384" width="11.5" style="48"/>
  </cols>
  <sheetData>
    <row r="1" spans="1:5" ht="36" customHeight="1" x14ac:dyDescent="0.2">
      <c r="A1" s="214" t="s">
        <v>539</v>
      </c>
      <c r="B1" s="244"/>
      <c r="C1" s="244"/>
      <c r="D1" s="244"/>
    </row>
    <row r="2" spans="1:5" ht="16.5" customHeight="1" x14ac:dyDescent="0.2"/>
    <row r="3" spans="1:5" s="42" customFormat="1" ht="19" x14ac:dyDescent="0.2">
      <c r="A3" s="56" t="s">
        <v>171</v>
      </c>
      <c r="B3" s="56" t="s">
        <v>538</v>
      </c>
      <c r="C3" s="56" t="s">
        <v>537</v>
      </c>
      <c r="D3" s="55" t="s">
        <v>536</v>
      </c>
    </row>
    <row r="4" spans="1:5" s="42" customFormat="1" x14ac:dyDescent="0.2">
      <c r="A4" s="245" t="str">
        <f>"Жами: "&amp;SUM(A5:A255)&amp;" нафар ходим бириктирилган"</f>
        <v>Жами: 15 нафар ходим бириктирилган</v>
      </c>
      <c r="B4" s="246"/>
      <c r="C4" s="246"/>
      <c r="D4" s="247"/>
      <c r="E4" s="54"/>
    </row>
    <row r="5" spans="1:5" ht="36" customHeight="1" x14ac:dyDescent="0.2">
      <c r="A5" s="53"/>
      <c r="B5" s="99" t="s">
        <v>535</v>
      </c>
      <c r="C5" s="51" t="s">
        <v>531</v>
      </c>
      <c r="D5" s="248" t="s">
        <v>534</v>
      </c>
    </row>
    <row r="6" spans="1:5" ht="36" customHeight="1" x14ac:dyDescent="0.2">
      <c r="A6" s="53">
        <v>1</v>
      </c>
      <c r="B6" s="52" t="s">
        <v>533</v>
      </c>
      <c r="C6" s="51" t="s">
        <v>531</v>
      </c>
      <c r="D6" s="249"/>
      <c r="E6" s="48" t="s">
        <v>574</v>
      </c>
    </row>
    <row r="7" spans="1:5" ht="36" customHeight="1" x14ac:dyDescent="0.2">
      <c r="A7" s="53">
        <v>1</v>
      </c>
      <c r="B7" s="52" t="s">
        <v>532</v>
      </c>
      <c r="C7" s="51" t="s">
        <v>531</v>
      </c>
      <c r="D7" s="249"/>
    </row>
    <row r="8" spans="1:5" ht="36" customHeight="1" x14ac:dyDescent="0.2">
      <c r="A8" s="53"/>
      <c r="B8" s="99" t="s">
        <v>530</v>
      </c>
      <c r="C8" s="51" t="s">
        <v>529</v>
      </c>
      <c r="D8" s="249"/>
    </row>
    <row r="9" spans="1:5" ht="36" customHeight="1" x14ac:dyDescent="0.2">
      <c r="A9" s="53">
        <v>1</v>
      </c>
      <c r="B9" s="52" t="s">
        <v>528</v>
      </c>
      <c r="C9" s="51" t="s">
        <v>521</v>
      </c>
      <c r="D9" s="249"/>
      <c r="E9" s="48" t="s">
        <v>574</v>
      </c>
    </row>
    <row r="10" spans="1:5" ht="36" customHeight="1" x14ac:dyDescent="0.2">
      <c r="A10" s="53"/>
      <c r="B10" s="99" t="s">
        <v>527</v>
      </c>
      <c r="C10" s="51" t="s">
        <v>517</v>
      </c>
      <c r="D10" s="249"/>
    </row>
    <row r="11" spans="1:5" ht="36" customHeight="1" x14ac:dyDescent="0.2">
      <c r="A11" s="53"/>
      <c r="B11" s="99" t="s">
        <v>526</v>
      </c>
      <c r="C11" s="51" t="s">
        <v>517</v>
      </c>
      <c r="D11" s="249"/>
    </row>
    <row r="12" spans="1:5" ht="36.75" customHeight="1" x14ac:dyDescent="0.2">
      <c r="A12" s="53"/>
      <c r="B12" s="99" t="s">
        <v>525</v>
      </c>
      <c r="C12" s="51" t="s">
        <v>517</v>
      </c>
      <c r="D12" s="250"/>
    </row>
    <row r="13" spans="1:5" ht="19" x14ac:dyDescent="0.2">
      <c r="A13" s="53">
        <v>1</v>
      </c>
      <c r="B13" s="52" t="s">
        <v>524</v>
      </c>
      <c r="C13" s="51" t="s">
        <v>523</v>
      </c>
      <c r="D13" s="248" t="s">
        <v>517</v>
      </c>
      <c r="E13" s="48" t="s">
        <v>574</v>
      </c>
    </row>
    <row r="14" spans="1:5" ht="19" x14ac:dyDescent="0.2">
      <c r="A14" s="53">
        <v>1</v>
      </c>
      <c r="B14" s="52" t="s">
        <v>522</v>
      </c>
      <c r="C14" s="51" t="s">
        <v>521</v>
      </c>
      <c r="D14" s="249"/>
      <c r="E14" s="48" t="s">
        <v>574</v>
      </c>
    </row>
    <row r="15" spans="1:5" ht="36.75" customHeight="1" x14ac:dyDescent="0.2">
      <c r="A15" s="53"/>
      <c r="B15" s="99" t="s">
        <v>520</v>
      </c>
      <c r="C15" s="51" t="s">
        <v>517</v>
      </c>
      <c r="D15" s="249"/>
      <c r="E15" s="48" t="s">
        <v>574</v>
      </c>
    </row>
    <row r="16" spans="1:5" ht="36.75" customHeight="1" x14ac:dyDescent="0.2">
      <c r="A16" s="53"/>
      <c r="B16" s="99" t="s">
        <v>519</v>
      </c>
      <c r="C16" s="51" t="s">
        <v>517</v>
      </c>
      <c r="D16" s="249"/>
      <c r="E16" s="48" t="s">
        <v>574</v>
      </c>
    </row>
    <row r="17" spans="1:5" ht="36.75" customHeight="1" x14ac:dyDescent="0.2">
      <c r="A17" s="53">
        <v>1</v>
      </c>
      <c r="B17" s="52" t="s">
        <v>518</v>
      </c>
      <c r="C17" s="51" t="s">
        <v>517</v>
      </c>
      <c r="D17" s="250"/>
      <c r="E17" s="48" t="s">
        <v>574</v>
      </c>
    </row>
    <row r="18" spans="1:5" ht="36.75" customHeight="1" x14ac:dyDescent="0.2">
      <c r="A18" s="53">
        <v>1</v>
      </c>
      <c r="B18" s="52" t="s">
        <v>516</v>
      </c>
      <c r="C18" s="51" t="s">
        <v>513</v>
      </c>
      <c r="D18" s="50" t="s">
        <v>515</v>
      </c>
      <c r="E18" s="48" t="s">
        <v>574</v>
      </c>
    </row>
    <row r="19" spans="1:5" ht="36.75" customHeight="1" x14ac:dyDescent="0.2">
      <c r="A19" s="53">
        <v>1</v>
      </c>
      <c r="B19" s="52" t="s">
        <v>514</v>
      </c>
      <c r="C19" s="51" t="s">
        <v>513</v>
      </c>
      <c r="D19" s="50" t="s">
        <v>512</v>
      </c>
    </row>
    <row r="20" spans="1:5" x14ac:dyDescent="0.2">
      <c r="A20" s="48">
        <v>1</v>
      </c>
      <c r="B20" s="48" t="s">
        <v>1794</v>
      </c>
    </row>
    <row r="21" spans="1:5" x14ac:dyDescent="0.2">
      <c r="A21" s="48">
        <v>1</v>
      </c>
      <c r="B21" s="48" t="s">
        <v>1770</v>
      </c>
    </row>
    <row r="22" spans="1:5" x14ac:dyDescent="0.2">
      <c r="A22" s="48">
        <v>1</v>
      </c>
      <c r="B22" s="48" t="s">
        <v>1771</v>
      </c>
    </row>
    <row r="23" spans="1:5" x14ac:dyDescent="0.2">
      <c r="A23" s="48">
        <v>1</v>
      </c>
      <c r="B23" s="48" t="s">
        <v>1772</v>
      </c>
    </row>
    <row r="24" spans="1:5" x14ac:dyDescent="0.2">
      <c r="A24" s="48">
        <v>1</v>
      </c>
      <c r="B24" s="48" t="s">
        <v>1773</v>
      </c>
    </row>
    <row r="25" spans="1:5" x14ac:dyDescent="0.2">
      <c r="A25" s="48">
        <v>1</v>
      </c>
      <c r="B25" s="48" t="s">
        <v>1780</v>
      </c>
    </row>
    <row r="26" spans="1:5" x14ac:dyDescent="0.2">
      <c r="A26" s="48">
        <v>1</v>
      </c>
      <c r="B26" s="48" t="s">
        <v>1795</v>
      </c>
    </row>
  </sheetData>
  <mergeCells count="4">
    <mergeCell ref="A1:D1"/>
    <mergeCell ref="A4:D4"/>
    <mergeCell ref="D5:D12"/>
    <mergeCell ref="D13:D17"/>
  </mergeCells>
  <printOptions horizontalCentered="1"/>
  <pageMargins left="0.31496062992125984" right="0.27559055118110237" top="0.47244094488188981" bottom="0.23622047244094491" header="0.15748031496062992" footer="0.15748031496062992"/>
  <pageSetup paperSize="9" scale="78"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13</vt:i4>
      </vt:variant>
      <vt:variant>
        <vt:lpstr>Именованные диапазоны</vt:lpstr>
      </vt:variant>
      <vt:variant>
        <vt:i4>19</vt:i4>
      </vt:variant>
    </vt:vector>
  </HeadingPairs>
  <TitlesOfParts>
    <vt:vector size="32" baseType="lpstr">
      <vt:lpstr>тахлил</vt:lpstr>
      <vt:lpstr>Микросервис (2025-05-24)</vt:lpstr>
      <vt:lpstr>Свод</vt:lpstr>
      <vt:lpstr>ИИ</vt:lpstr>
      <vt:lpstr>Муаммолик АПИ</vt:lpstr>
      <vt:lpstr>Микросервис</vt:lpstr>
      <vt:lpstr>Микросервис (2)</vt:lpstr>
      <vt:lpstr>Ташқи манба</vt:lpstr>
      <vt:lpstr>Риск йўналишлари</vt:lpstr>
      <vt:lpstr>Риск йўналишлари (1)</vt:lpstr>
      <vt:lpstr>Микросервис (эски)</vt:lpstr>
      <vt:lpstr>Риск йўналишлари (Ход. Кес.)</vt:lpstr>
      <vt:lpstr>Узинфоком ходимлари</vt:lpstr>
      <vt:lpstr>Микросервис!Заголовки_для_печати</vt:lpstr>
      <vt:lpstr>'Микросервис (2025-05-24)'!Заголовки_для_печати</vt:lpstr>
      <vt:lpstr>'Муаммолик АПИ'!Заголовки_для_печати</vt:lpstr>
      <vt:lpstr>'Риск йўналишлари'!Заголовки_для_печати</vt:lpstr>
      <vt:lpstr>'Риск йўналишлари (1)'!Заголовки_для_печати</vt:lpstr>
      <vt:lpstr>'Риск йўналишлари (Ход. Кес.)'!Заголовки_для_печати</vt:lpstr>
      <vt:lpstr>Свод!Заголовки_для_печати</vt:lpstr>
      <vt:lpstr>'Ташқи манба'!Заголовки_для_печати</vt:lpstr>
      <vt:lpstr>Микросервис!Область_печати</vt:lpstr>
      <vt:lpstr>'Микросервис (2)'!Область_печати</vt:lpstr>
      <vt:lpstr>'Микросервис (2025-05-24)'!Область_печати</vt:lpstr>
      <vt:lpstr>'Микросервис (эски)'!Область_печати</vt:lpstr>
      <vt:lpstr>'Муаммолик АПИ'!Область_печати</vt:lpstr>
      <vt:lpstr>'Риск йўналишлари'!Область_печати</vt:lpstr>
      <vt:lpstr>'Риск йўналишлари (1)'!Область_печати</vt:lpstr>
      <vt:lpstr>'Риск йўналишлари (Ход. Кес.)'!Область_печати</vt:lpstr>
      <vt:lpstr>Свод!Область_печати</vt:lpstr>
      <vt:lpstr>'Ташқи манба'!Область_печати</vt:lpstr>
      <vt:lpstr>'Узинфоком ходимлари'!Область_печати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user_adm</dc:creator>
  <cp:lastModifiedBy>Asliddin</cp:lastModifiedBy>
  <cp:lastPrinted>2025-10-18T05:23:02Z</cp:lastPrinted>
  <dcterms:created xsi:type="dcterms:W3CDTF">2023-12-25T16:00:18Z</dcterms:created>
  <dcterms:modified xsi:type="dcterms:W3CDTF">2026-06-20T05:06:24Z</dcterms:modified>
</cp:coreProperties>
</file>